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F2370822-438B-41A4-98C9-5756FBCE922F}" xr6:coauthVersionLast="47" xr6:coauthVersionMax="47" xr10:uidLastSave="{00000000-0000-0000-0000-000000000000}"/>
  <bookViews>
    <workbookView xWindow="38280" yWindow="-120" windowWidth="38640" windowHeight="21120" activeTab="10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9)" sheetId="21" r:id="rId10"/>
    <sheet name="Plates(FR#11)" sheetId="22" r:id="rId11"/>
    <sheet name="Stiffeners(FR#2)" sheetId="10" r:id="rId12"/>
    <sheet name="Stiffeners(FR#4+2000)" sheetId="13" r:id="rId13"/>
    <sheet name="Stiffeners(FR#7)" sheetId="14" r:id="rId14"/>
    <sheet name="Sheet3" sheetId="4" r:id="rId15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10">'Plates(FR#11)'!#REF!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'Plates(FR#9)'!#REF!</definedName>
    <definedName name="grav" localSheetId="11">'Stiffeners(FR#2)'!#REF!</definedName>
    <definedName name="grav" localSheetId="12">'Stiffeners(FR#4+2000)'!#REF!</definedName>
    <definedName name="grav" localSheetId="13">'Stiffeners(FR#7)'!#REF!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10">'Plates(FR#11)'!#REF!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'Plates(FR#9)'!#REF!</definedName>
    <definedName name="rho" localSheetId="11">'Stiffeners(FR#2)'!#REF!</definedName>
    <definedName name="rho" localSheetId="12">'Stiffeners(FR#4+2000)'!#REF!</definedName>
    <definedName name="rho" localSheetId="13">'Stiffeners(FR#7)'!#REF!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" i="22" l="1"/>
  <c r="M13" i="22"/>
  <c r="M12" i="22"/>
  <c r="M11" i="22"/>
  <c r="Q44" i="22" s="1"/>
  <c r="T44" i="22" s="1"/>
  <c r="U44" i="22" s="1"/>
  <c r="V47" i="22"/>
  <c r="H47" i="22"/>
  <c r="J47" i="22" s="1"/>
  <c r="G47" i="22"/>
  <c r="V46" i="22"/>
  <c r="H46" i="22"/>
  <c r="J46" i="22" s="1"/>
  <c r="G46" i="22"/>
  <c r="V45" i="22"/>
  <c r="H45" i="22"/>
  <c r="J45" i="22" s="1"/>
  <c r="G45" i="22"/>
  <c r="V44" i="22"/>
  <c r="H44" i="22"/>
  <c r="J44" i="22" s="1"/>
  <c r="G44" i="22"/>
  <c r="V43" i="22"/>
  <c r="H43" i="22"/>
  <c r="J43" i="22" s="1"/>
  <c r="G43" i="22"/>
  <c r="V42" i="22"/>
  <c r="H42" i="22"/>
  <c r="J42" i="22" s="1"/>
  <c r="G42" i="22"/>
  <c r="V41" i="22"/>
  <c r="G41" i="22"/>
  <c r="V40" i="22"/>
  <c r="G40" i="22"/>
  <c r="V39" i="22"/>
  <c r="G39" i="22"/>
  <c r="V38" i="22"/>
  <c r="G38" i="22"/>
  <c r="V37" i="22"/>
  <c r="G37" i="22"/>
  <c r="V36" i="22"/>
  <c r="G36" i="22"/>
  <c r="V35" i="22"/>
  <c r="G35" i="22"/>
  <c r="V34" i="22"/>
  <c r="G34" i="22"/>
  <c r="V33" i="22"/>
  <c r="G33" i="22"/>
  <c r="V32" i="22"/>
  <c r="G32" i="22"/>
  <c r="D32" i="22"/>
  <c r="H32" i="22" s="1"/>
  <c r="J32" i="22" s="1"/>
  <c r="V31" i="22"/>
  <c r="H31" i="22"/>
  <c r="J31" i="22" s="1"/>
  <c r="G31" i="22"/>
  <c r="V30" i="22"/>
  <c r="Q30" i="22"/>
  <c r="T30" i="22" s="1"/>
  <c r="U30" i="22" s="1"/>
  <c r="H30" i="22"/>
  <c r="J30" i="22" s="1"/>
  <c r="G30" i="22"/>
  <c r="V29" i="22"/>
  <c r="Q29" i="22"/>
  <c r="T29" i="22" s="1"/>
  <c r="U29" i="22" s="1"/>
  <c r="H29" i="22"/>
  <c r="J29" i="22" s="1"/>
  <c r="G29" i="22"/>
  <c r="V28" i="22"/>
  <c r="H28" i="22"/>
  <c r="J28" i="22" s="1"/>
  <c r="G28" i="22"/>
  <c r="V27" i="22"/>
  <c r="H27" i="22"/>
  <c r="J27" i="22" s="1"/>
  <c r="G27" i="22"/>
  <c r="V26" i="22"/>
  <c r="H26" i="22"/>
  <c r="J26" i="22" s="1"/>
  <c r="G26" i="22"/>
  <c r="V25" i="22"/>
  <c r="H25" i="22"/>
  <c r="J25" i="22" s="1"/>
  <c r="G25" i="22"/>
  <c r="V24" i="22"/>
  <c r="Q24" i="22"/>
  <c r="T24" i="22" s="1"/>
  <c r="U24" i="22" s="1"/>
  <c r="H24" i="22"/>
  <c r="J24" i="22" s="1"/>
  <c r="G24" i="22"/>
  <c r="V23" i="22"/>
  <c r="H23" i="22"/>
  <c r="J23" i="22" s="1"/>
  <c r="G23" i="22"/>
  <c r="Q51" i="21"/>
  <c r="Q50" i="21"/>
  <c r="Q49" i="21"/>
  <c r="Q48" i="21"/>
  <c r="Q47" i="21"/>
  <c r="Q46" i="21"/>
  <c r="Q45" i="21"/>
  <c r="Q44" i="21"/>
  <c r="Q43" i="21"/>
  <c r="Q42" i="21"/>
  <c r="Q41" i="21"/>
  <c r="Q40" i="21"/>
  <c r="Q39" i="21"/>
  <c r="Q38" i="21"/>
  <c r="Q37" i="21"/>
  <c r="Q36" i="21"/>
  <c r="Q35" i="21"/>
  <c r="Q34" i="21"/>
  <c r="Q33" i="21"/>
  <c r="T33" i="21" s="1"/>
  <c r="U33" i="21" s="1"/>
  <c r="Q32" i="21"/>
  <c r="T32" i="21" s="1"/>
  <c r="U32" i="21" s="1"/>
  <c r="Q31" i="21"/>
  <c r="H50" i="21"/>
  <c r="Q30" i="21"/>
  <c r="Q29" i="21"/>
  <c r="T29" i="21" s="1"/>
  <c r="U29" i="21" s="1"/>
  <c r="Q28" i="21"/>
  <c r="T28" i="21" s="1"/>
  <c r="U28" i="21" s="1"/>
  <c r="Q27" i="21"/>
  <c r="T27" i="21" s="1"/>
  <c r="U27" i="21" s="1"/>
  <c r="Q26" i="21"/>
  <c r="Q25" i="21"/>
  <c r="Q24" i="21"/>
  <c r="T24" i="21" s="1"/>
  <c r="U24" i="21" s="1"/>
  <c r="Q23" i="21"/>
  <c r="H11" i="18"/>
  <c r="M15" i="21"/>
  <c r="M13" i="21"/>
  <c r="M12" i="21"/>
  <c r="M11" i="21"/>
  <c r="H43" i="21"/>
  <c r="V23" i="12"/>
  <c r="D42" i="12"/>
  <c r="D41" i="12" s="1"/>
  <c r="M15" i="12"/>
  <c r="M12" i="12"/>
  <c r="M13" i="12"/>
  <c r="M11" i="12"/>
  <c r="Q23" i="12" s="1"/>
  <c r="T23" i="12" s="1"/>
  <c r="U23" i="12" s="1"/>
  <c r="W23" i="12" s="1"/>
  <c r="X23" i="12" s="1"/>
  <c r="Z23" i="12" s="1"/>
  <c r="T54" i="15"/>
  <c r="U54" i="15" s="1"/>
  <c r="W54" i="15" s="1"/>
  <c r="X54" i="15" s="1"/>
  <c r="Z54" i="15" s="1"/>
  <c r="V54" i="15"/>
  <c r="D42" i="15"/>
  <c r="D43" i="15"/>
  <c r="M15" i="15"/>
  <c r="M13" i="15"/>
  <c r="M12" i="15"/>
  <c r="M11" i="15"/>
  <c r="Q30" i="15"/>
  <c r="T30" i="15" s="1"/>
  <c r="U30" i="15" s="1"/>
  <c r="Q51" i="15"/>
  <c r="T51" i="15" s="1"/>
  <c r="U51" i="15" s="1"/>
  <c r="M13" i="11"/>
  <c r="M12" i="11"/>
  <c r="M11" i="11"/>
  <c r="M15" i="11"/>
  <c r="G49" i="5"/>
  <c r="H49" i="5"/>
  <c r="J49" i="5"/>
  <c r="V23" i="11"/>
  <c r="V64" i="21"/>
  <c r="T64" i="21"/>
  <c r="U64" i="21" s="1"/>
  <c r="H64" i="21"/>
  <c r="J64" i="21" s="1"/>
  <c r="G64" i="21"/>
  <c r="V63" i="21"/>
  <c r="T63" i="21"/>
  <c r="U63" i="21" s="1"/>
  <c r="H63" i="21"/>
  <c r="J63" i="21" s="1"/>
  <c r="G63" i="21"/>
  <c r="V62" i="21"/>
  <c r="T62" i="21"/>
  <c r="U62" i="21" s="1"/>
  <c r="H62" i="21"/>
  <c r="J62" i="21" s="1"/>
  <c r="W62" i="21" s="1"/>
  <c r="G62" i="21"/>
  <c r="V61" i="21"/>
  <c r="T61" i="21"/>
  <c r="U61" i="21" s="1"/>
  <c r="H61" i="21"/>
  <c r="J61" i="21" s="1"/>
  <c r="W61" i="21" s="1"/>
  <c r="G61" i="21"/>
  <c r="V60" i="21"/>
  <c r="T60" i="21"/>
  <c r="U60" i="21" s="1"/>
  <c r="H60" i="21"/>
  <c r="J60" i="21" s="1"/>
  <c r="G60" i="21"/>
  <c r="V59" i="21"/>
  <c r="T59" i="21"/>
  <c r="U59" i="21" s="1"/>
  <c r="H59" i="21"/>
  <c r="J59" i="21" s="1"/>
  <c r="W59" i="21" s="1"/>
  <c r="G59" i="21"/>
  <c r="V58" i="21"/>
  <c r="T58" i="21"/>
  <c r="U58" i="21" s="1"/>
  <c r="H58" i="21"/>
  <c r="J58" i="21" s="1"/>
  <c r="G58" i="21"/>
  <c r="V57" i="21"/>
  <c r="T57" i="21"/>
  <c r="U57" i="21" s="1"/>
  <c r="H57" i="21"/>
  <c r="J57" i="21" s="1"/>
  <c r="W57" i="21" s="1"/>
  <c r="G57" i="21"/>
  <c r="V56" i="21"/>
  <c r="T56" i="21"/>
  <c r="U56" i="21" s="1"/>
  <c r="H56" i="21"/>
  <c r="J56" i="21" s="1"/>
  <c r="G56" i="21"/>
  <c r="V55" i="21"/>
  <c r="T55" i="21"/>
  <c r="U55" i="21" s="1"/>
  <c r="H55" i="21"/>
  <c r="J55" i="21" s="1"/>
  <c r="G55" i="21"/>
  <c r="V54" i="21"/>
  <c r="T54" i="21"/>
  <c r="U54" i="21" s="1"/>
  <c r="H54" i="21"/>
  <c r="J54" i="21" s="1"/>
  <c r="G54" i="21"/>
  <c r="V53" i="21"/>
  <c r="T53" i="21"/>
  <c r="U53" i="21" s="1"/>
  <c r="H53" i="21"/>
  <c r="J53" i="21" s="1"/>
  <c r="G53" i="21"/>
  <c r="V52" i="21"/>
  <c r="T52" i="21"/>
  <c r="U52" i="21" s="1"/>
  <c r="H52" i="21"/>
  <c r="J52" i="21" s="1"/>
  <c r="W52" i="21" s="1"/>
  <c r="G52" i="21"/>
  <c r="V51" i="21"/>
  <c r="H51" i="21"/>
  <c r="J51" i="21" s="1"/>
  <c r="G51" i="21"/>
  <c r="V50" i="21"/>
  <c r="J50" i="21"/>
  <c r="G50" i="21"/>
  <c r="V49" i="21"/>
  <c r="T49" i="21"/>
  <c r="U49" i="21" s="1"/>
  <c r="H49" i="21"/>
  <c r="J49" i="21" s="1"/>
  <c r="G49" i="21"/>
  <c r="V48" i="21"/>
  <c r="T48" i="21"/>
  <c r="U48" i="21" s="1"/>
  <c r="H48" i="21"/>
  <c r="J48" i="21" s="1"/>
  <c r="G48" i="21"/>
  <c r="V47" i="21"/>
  <c r="T47" i="21"/>
  <c r="U47" i="21" s="1"/>
  <c r="H47" i="21"/>
  <c r="J47" i="21" s="1"/>
  <c r="G47" i="21"/>
  <c r="V46" i="21"/>
  <c r="H46" i="21"/>
  <c r="J46" i="21" s="1"/>
  <c r="G46" i="21"/>
  <c r="V45" i="21"/>
  <c r="H45" i="21"/>
  <c r="J45" i="21" s="1"/>
  <c r="G45" i="21"/>
  <c r="V44" i="21"/>
  <c r="H44" i="21"/>
  <c r="J44" i="21" s="1"/>
  <c r="G44" i="21"/>
  <c r="V43" i="21"/>
  <c r="G43" i="21"/>
  <c r="V42" i="21"/>
  <c r="G42" i="21"/>
  <c r="V41" i="21"/>
  <c r="G41" i="21"/>
  <c r="V40" i="21"/>
  <c r="G40" i="21"/>
  <c r="V39" i="21"/>
  <c r="G39" i="21"/>
  <c r="V38" i="21"/>
  <c r="G38" i="21"/>
  <c r="V37" i="21"/>
  <c r="G37" i="21"/>
  <c r="V36" i="21"/>
  <c r="G36" i="21"/>
  <c r="V35" i="21"/>
  <c r="G35" i="21"/>
  <c r="V34" i="21"/>
  <c r="G34" i="21"/>
  <c r="D34" i="21"/>
  <c r="D35" i="21" s="1"/>
  <c r="V33" i="21"/>
  <c r="H33" i="21"/>
  <c r="J33" i="21" s="1"/>
  <c r="G33" i="21"/>
  <c r="V32" i="21"/>
  <c r="H32" i="21"/>
  <c r="J32" i="21" s="1"/>
  <c r="G32" i="21"/>
  <c r="V31" i="21"/>
  <c r="H31" i="21"/>
  <c r="J31" i="21" s="1"/>
  <c r="G31" i="21"/>
  <c r="V30" i="21"/>
  <c r="H30" i="21"/>
  <c r="J30" i="21" s="1"/>
  <c r="G30" i="21"/>
  <c r="V29" i="21"/>
  <c r="H29" i="21"/>
  <c r="J29" i="21" s="1"/>
  <c r="G29" i="21"/>
  <c r="V28" i="21"/>
  <c r="H28" i="21"/>
  <c r="J28" i="21" s="1"/>
  <c r="G28" i="21"/>
  <c r="V27" i="21"/>
  <c r="H27" i="21"/>
  <c r="J27" i="21" s="1"/>
  <c r="G27" i="21"/>
  <c r="V26" i="21"/>
  <c r="H26" i="21"/>
  <c r="J26" i="21" s="1"/>
  <c r="G26" i="21"/>
  <c r="V25" i="21"/>
  <c r="H25" i="21"/>
  <c r="J25" i="21" s="1"/>
  <c r="G25" i="21"/>
  <c r="V24" i="21"/>
  <c r="H24" i="21"/>
  <c r="J24" i="21" s="1"/>
  <c r="G24" i="21"/>
  <c r="V23" i="21"/>
  <c r="H23" i="21"/>
  <c r="J23" i="21" s="1"/>
  <c r="G23" i="21"/>
  <c r="V64" i="12"/>
  <c r="T64" i="12"/>
  <c r="U64" i="12" s="1"/>
  <c r="H64" i="12"/>
  <c r="J64" i="12" s="1"/>
  <c r="G64" i="12"/>
  <c r="V63" i="12"/>
  <c r="T63" i="12"/>
  <c r="U63" i="12" s="1"/>
  <c r="H63" i="12"/>
  <c r="J63" i="12" s="1"/>
  <c r="G63" i="12"/>
  <c r="V62" i="12"/>
  <c r="T62" i="12"/>
  <c r="U62" i="12" s="1"/>
  <c r="H62" i="12"/>
  <c r="J62" i="12" s="1"/>
  <c r="G62" i="12"/>
  <c r="V61" i="12"/>
  <c r="T61" i="12"/>
  <c r="U61" i="12" s="1"/>
  <c r="H61" i="12"/>
  <c r="J61" i="12" s="1"/>
  <c r="G61" i="12"/>
  <c r="V60" i="12"/>
  <c r="T60" i="12"/>
  <c r="U60" i="12" s="1"/>
  <c r="H60" i="12"/>
  <c r="J60" i="12" s="1"/>
  <c r="G60" i="12"/>
  <c r="V59" i="12"/>
  <c r="T59" i="12"/>
  <c r="U59" i="12" s="1"/>
  <c r="H59" i="12"/>
  <c r="J59" i="12" s="1"/>
  <c r="W59" i="12" s="1"/>
  <c r="G59" i="12"/>
  <c r="V58" i="12"/>
  <c r="T58" i="12"/>
  <c r="U58" i="12" s="1"/>
  <c r="H58" i="12"/>
  <c r="J58" i="12" s="1"/>
  <c r="G58" i="12"/>
  <c r="V57" i="12"/>
  <c r="T57" i="12"/>
  <c r="U57" i="12" s="1"/>
  <c r="H57" i="12"/>
  <c r="J57" i="12" s="1"/>
  <c r="G57" i="12"/>
  <c r="V56" i="12"/>
  <c r="T56" i="12"/>
  <c r="U56" i="12" s="1"/>
  <c r="H56" i="12"/>
  <c r="J56" i="12" s="1"/>
  <c r="G56" i="12"/>
  <c r="V55" i="12"/>
  <c r="T55" i="12"/>
  <c r="U55" i="12" s="1"/>
  <c r="H55" i="12"/>
  <c r="J55" i="12" s="1"/>
  <c r="G55" i="12"/>
  <c r="V54" i="12"/>
  <c r="T54" i="12"/>
  <c r="U54" i="12" s="1"/>
  <c r="H54" i="12"/>
  <c r="J54" i="12" s="1"/>
  <c r="G54" i="12"/>
  <c r="V53" i="12"/>
  <c r="T53" i="12"/>
  <c r="U53" i="12" s="1"/>
  <c r="H53" i="12"/>
  <c r="J53" i="12" s="1"/>
  <c r="G53" i="12"/>
  <c r="V52" i="12"/>
  <c r="T52" i="12"/>
  <c r="U52" i="12" s="1"/>
  <c r="H52" i="12"/>
  <c r="J52" i="12" s="1"/>
  <c r="G52" i="12"/>
  <c r="V51" i="12"/>
  <c r="H51" i="12"/>
  <c r="J51" i="12" s="1"/>
  <c r="G51" i="12"/>
  <c r="V50" i="12"/>
  <c r="H50" i="12"/>
  <c r="J50" i="12" s="1"/>
  <c r="G50" i="12"/>
  <c r="V49" i="12"/>
  <c r="H49" i="12"/>
  <c r="J49" i="12" s="1"/>
  <c r="G49" i="12"/>
  <c r="V48" i="12"/>
  <c r="Q48" i="12"/>
  <c r="T48" i="12" s="1"/>
  <c r="U48" i="12" s="1"/>
  <c r="H48" i="12"/>
  <c r="J48" i="12" s="1"/>
  <c r="G48" i="12"/>
  <c r="V47" i="12"/>
  <c r="H47" i="12"/>
  <c r="J47" i="12" s="1"/>
  <c r="G47" i="12"/>
  <c r="V46" i="12"/>
  <c r="H46" i="12"/>
  <c r="J46" i="12" s="1"/>
  <c r="G46" i="12"/>
  <c r="V45" i="12"/>
  <c r="H45" i="12"/>
  <c r="J45" i="12" s="1"/>
  <c r="G45" i="12"/>
  <c r="V44" i="12"/>
  <c r="H44" i="12"/>
  <c r="J44" i="12" s="1"/>
  <c r="G44" i="12"/>
  <c r="V43" i="12"/>
  <c r="G43" i="12"/>
  <c r="V42" i="12"/>
  <c r="G42" i="12"/>
  <c r="V41" i="12"/>
  <c r="G41" i="12"/>
  <c r="V40" i="12"/>
  <c r="G40" i="12"/>
  <c r="V39" i="12"/>
  <c r="G39" i="12"/>
  <c r="V38" i="12"/>
  <c r="G38" i="12"/>
  <c r="V37" i="12"/>
  <c r="G37" i="12"/>
  <c r="V36" i="12"/>
  <c r="G36" i="12"/>
  <c r="V35" i="12"/>
  <c r="G35" i="12"/>
  <c r="V34" i="12"/>
  <c r="G34" i="12"/>
  <c r="D34" i="12"/>
  <c r="V33" i="12"/>
  <c r="H33" i="12"/>
  <c r="J33" i="12" s="1"/>
  <c r="G33" i="12"/>
  <c r="V32" i="12"/>
  <c r="H32" i="12"/>
  <c r="J32" i="12" s="1"/>
  <c r="G32" i="12"/>
  <c r="V31" i="12"/>
  <c r="H31" i="12"/>
  <c r="J31" i="12" s="1"/>
  <c r="G31" i="12"/>
  <c r="V30" i="12"/>
  <c r="H30" i="12"/>
  <c r="J30" i="12" s="1"/>
  <c r="G30" i="12"/>
  <c r="V29" i="12"/>
  <c r="H29" i="12"/>
  <c r="J29" i="12" s="1"/>
  <c r="G29" i="12"/>
  <c r="V28" i="12"/>
  <c r="H28" i="12"/>
  <c r="J28" i="12" s="1"/>
  <c r="G28" i="12"/>
  <c r="V27" i="12"/>
  <c r="H27" i="12"/>
  <c r="J27" i="12" s="1"/>
  <c r="G27" i="12"/>
  <c r="V26" i="12"/>
  <c r="H26" i="12"/>
  <c r="J26" i="12" s="1"/>
  <c r="G26" i="12"/>
  <c r="V25" i="12"/>
  <c r="H25" i="12"/>
  <c r="J25" i="12" s="1"/>
  <c r="G25" i="12"/>
  <c r="V24" i="12"/>
  <c r="H24" i="12"/>
  <c r="J24" i="12" s="1"/>
  <c r="G24" i="12"/>
  <c r="H23" i="12"/>
  <c r="J23" i="12" s="1"/>
  <c r="G23" i="12"/>
  <c r="V68" i="15"/>
  <c r="T68" i="15"/>
  <c r="U68" i="15" s="1"/>
  <c r="H68" i="15"/>
  <c r="J68" i="15" s="1"/>
  <c r="G68" i="15"/>
  <c r="V67" i="15"/>
  <c r="T67" i="15"/>
  <c r="U67" i="15" s="1"/>
  <c r="H67" i="15"/>
  <c r="J67" i="15" s="1"/>
  <c r="G67" i="15"/>
  <c r="V66" i="15"/>
  <c r="T66" i="15"/>
  <c r="U66" i="15" s="1"/>
  <c r="H66" i="15"/>
  <c r="J66" i="15" s="1"/>
  <c r="G66" i="15"/>
  <c r="V65" i="15"/>
  <c r="T65" i="15"/>
  <c r="U65" i="15" s="1"/>
  <c r="H65" i="15"/>
  <c r="J65" i="15" s="1"/>
  <c r="G65" i="15"/>
  <c r="V64" i="15"/>
  <c r="T64" i="15"/>
  <c r="U64" i="15" s="1"/>
  <c r="H64" i="15"/>
  <c r="J64" i="15" s="1"/>
  <c r="G64" i="15"/>
  <c r="V63" i="15"/>
  <c r="T63" i="15"/>
  <c r="U63" i="15" s="1"/>
  <c r="H63" i="15"/>
  <c r="J63" i="15" s="1"/>
  <c r="G63" i="15"/>
  <c r="V62" i="15"/>
  <c r="T62" i="15"/>
  <c r="U62" i="15" s="1"/>
  <c r="H62" i="15"/>
  <c r="J62" i="15" s="1"/>
  <c r="G62" i="15"/>
  <c r="V61" i="15"/>
  <c r="T61" i="15"/>
  <c r="U61" i="15" s="1"/>
  <c r="H61" i="15"/>
  <c r="J61" i="15" s="1"/>
  <c r="G61" i="15"/>
  <c r="V60" i="15"/>
  <c r="T60" i="15"/>
  <c r="U60" i="15" s="1"/>
  <c r="H60" i="15"/>
  <c r="J60" i="15" s="1"/>
  <c r="G60" i="15"/>
  <c r="V59" i="15"/>
  <c r="T59" i="15"/>
  <c r="U59" i="15" s="1"/>
  <c r="H59" i="15"/>
  <c r="J59" i="15" s="1"/>
  <c r="G59" i="15"/>
  <c r="V58" i="15"/>
  <c r="T58" i="15"/>
  <c r="U58" i="15" s="1"/>
  <c r="H58" i="15"/>
  <c r="J58" i="15" s="1"/>
  <c r="G58" i="15"/>
  <c r="V57" i="15"/>
  <c r="T57" i="15"/>
  <c r="U57" i="15" s="1"/>
  <c r="H57" i="15"/>
  <c r="J57" i="15" s="1"/>
  <c r="W57" i="15" s="1"/>
  <c r="G57" i="15"/>
  <c r="V56" i="15"/>
  <c r="T56" i="15"/>
  <c r="U56" i="15" s="1"/>
  <c r="H56" i="15"/>
  <c r="J56" i="15" s="1"/>
  <c r="G56" i="15"/>
  <c r="V55" i="15"/>
  <c r="T55" i="15"/>
  <c r="U55" i="15" s="1"/>
  <c r="H55" i="15"/>
  <c r="J55" i="15" s="1"/>
  <c r="W55" i="15" s="1"/>
  <c r="G55" i="15"/>
  <c r="H54" i="15"/>
  <c r="J54" i="15" s="1"/>
  <c r="G54" i="15"/>
  <c r="V53" i="15"/>
  <c r="H53" i="15"/>
  <c r="J53" i="15" s="1"/>
  <c r="G53" i="15"/>
  <c r="V52" i="15"/>
  <c r="Q52" i="15"/>
  <c r="T52" i="15" s="1"/>
  <c r="U52" i="15" s="1"/>
  <c r="H52" i="15"/>
  <c r="J52" i="15" s="1"/>
  <c r="G52" i="15"/>
  <c r="V51" i="15"/>
  <c r="H51" i="15"/>
  <c r="J51" i="15" s="1"/>
  <c r="G51" i="15"/>
  <c r="V50" i="15"/>
  <c r="Q50" i="15"/>
  <c r="T50" i="15" s="1"/>
  <c r="U50" i="15" s="1"/>
  <c r="H50" i="15"/>
  <c r="J50" i="15" s="1"/>
  <c r="G50" i="15"/>
  <c r="V49" i="15"/>
  <c r="H49" i="15"/>
  <c r="J49" i="15" s="1"/>
  <c r="G49" i="15"/>
  <c r="V48" i="15"/>
  <c r="H48" i="15"/>
  <c r="J48" i="15" s="1"/>
  <c r="G48" i="15"/>
  <c r="V47" i="15"/>
  <c r="Q47" i="15"/>
  <c r="T47" i="15" s="1"/>
  <c r="U47" i="15" s="1"/>
  <c r="H47" i="15"/>
  <c r="J47" i="15" s="1"/>
  <c r="G47" i="15"/>
  <c r="V46" i="15"/>
  <c r="H46" i="15"/>
  <c r="J46" i="15" s="1"/>
  <c r="G46" i="15"/>
  <c r="V45" i="15"/>
  <c r="G45" i="15"/>
  <c r="V44" i="15"/>
  <c r="G44" i="15"/>
  <c r="V43" i="15"/>
  <c r="G43" i="15"/>
  <c r="V42" i="15"/>
  <c r="G42" i="15"/>
  <c r="V41" i="15"/>
  <c r="G41" i="15"/>
  <c r="V40" i="15"/>
  <c r="G40" i="15"/>
  <c r="V39" i="15"/>
  <c r="G39" i="15"/>
  <c r="V38" i="15"/>
  <c r="G38" i="15"/>
  <c r="V37" i="15"/>
  <c r="G37" i="15"/>
  <c r="V36" i="15"/>
  <c r="G36" i="15"/>
  <c r="V35" i="15"/>
  <c r="G35" i="15"/>
  <c r="V34" i="15"/>
  <c r="G34" i="15"/>
  <c r="D34" i="15"/>
  <c r="D35" i="15" s="1"/>
  <c r="V33" i="15"/>
  <c r="H33" i="15"/>
  <c r="J33" i="15" s="1"/>
  <c r="G33" i="15"/>
  <c r="V32" i="15"/>
  <c r="H32" i="15"/>
  <c r="J32" i="15" s="1"/>
  <c r="G32" i="15"/>
  <c r="V31" i="15"/>
  <c r="Q31" i="15"/>
  <c r="T31" i="15" s="1"/>
  <c r="U31" i="15" s="1"/>
  <c r="H31" i="15"/>
  <c r="J31" i="15" s="1"/>
  <c r="G31" i="15"/>
  <c r="V30" i="15"/>
  <c r="H30" i="15"/>
  <c r="J30" i="15" s="1"/>
  <c r="G30" i="15"/>
  <c r="V29" i="15"/>
  <c r="H29" i="15"/>
  <c r="J29" i="15" s="1"/>
  <c r="G29" i="15"/>
  <c r="V28" i="15"/>
  <c r="H28" i="15"/>
  <c r="J28" i="15" s="1"/>
  <c r="G28" i="15"/>
  <c r="V27" i="15"/>
  <c r="Q27" i="15"/>
  <c r="T27" i="15" s="1"/>
  <c r="U27" i="15" s="1"/>
  <c r="H27" i="15"/>
  <c r="J27" i="15" s="1"/>
  <c r="G27" i="15"/>
  <c r="V26" i="15"/>
  <c r="H26" i="15"/>
  <c r="J26" i="15" s="1"/>
  <c r="G26" i="15"/>
  <c r="V25" i="15"/>
  <c r="Q25" i="15"/>
  <c r="T25" i="15" s="1"/>
  <c r="U25" i="15" s="1"/>
  <c r="J25" i="15"/>
  <c r="H25" i="15"/>
  <c r="G25" i="15"/>
  <c r="V24" i="15"/>
  <c r="Q24" i="15"/>
  <c r="T24" i="15" s="1"/>
  <c r="U24" i="15" s="1"/>
  <c r="H24" i="15"/>
  <c r="J24" i="15" s="1"/>
  <c r="G24" i="15"/>
  <c r="V23" i="15"/>
  <c r="H23" i="15"/>
  <c r="J23" i="15" s="1"/>
  <c r="G23" i="15"/>
  <c r="F14" i="22"/>
  <c r="F12" i="22"/>
  <c r="V70" i="11"/>
  <c r="T70" i="11"/>
  <c r="U70" i="11" s="1"/>
  <c r="H70" i="11"/>
  <c r="J70" i="11" s="1"/>
  <c r="G70" i="11"/>
  <c r="V69" i="11"/>
  <c r="T69" i="11"/>
  <c r="U69" i="11" s="1"/>
  <c r="H69" i="11"/>
  <c r="J69" i="11" s="1"/>
  <c r="G69" i="11"/>
  <c r="V68" i="11"/>
  <c r="T68" i="11"/>
  <c r="U68" i="11" s="1"/>
  <c r="H68" i="11"/>
  <c r="J68" i="11" s="1"/>
  <c r="W68" i="11" s="1"/>
  <c r="G68" i="11"/>
  <c r="V67" i="11"/>
  <c r="T67" i="11"/>
  <c r="U67" i="11" s="1"/>
  <c r="H67" i="11"/>
  <c r="J67" i="11" s="1"/>
  <c r="W67" i="11" s="1"/>
  <c r="G67" i="11"/>
  <c r="V66" i="11"/>
  <c r="T66" i="11"/>
  <c r="U66" i="11" s="1"/>
  <c r="H66" i="11"/>
  <c r="J66" i="11" s="1"/>
  <c r="W66" i="11" s="1"/>
  <c r="G66" i="11"/>
  <c r="V65" i="11"/>
  <c r="T65" i="11"/>
  <c r="U65" i="11" s="1"/>
  <c r="H65" i="11"/>
  <c r="J65" i="11" s="1"/>
  <c r="G65" i="11"/>
  <c r="V64" i="11"/>
  <c r="T64" i="11"/>
  <c r="U64" i="11" s="1"/>
  <c r="H64" i="11"/>
  <c r="J64" i="11" s="1"/>
  <c r="G64" i="11"/>
  <c r="V63" i="11"/>
  <c r="T63" i="11"/>
  <c r="U63" i="11" s="1"/>
  <c r="H63" i="11"/>
  <c r="J63" i="11" s="1"/>
  <c r="W63" i="11" s="1"/>
  <c r="G63" i="11"/>
  <c r="V62" i="11"/>
  <c r="T62" i="11"/>
  <c r="U62" i="11" s="1"/>
  <c r="H62" i="11"/>
  <c r="J62" i="11" s="1"/>
  <c r="W62" i="11" s="1"/>
  <c r="G62" i="11"/>
  <c r="V61" i="11"/>
  <c r="T61" i="11"/>
  <c r="U61" i="11" s="1"/>
  <c r="H61" i="11"/>
  <c r="J61" i="11" s="1"/>
  <c r="G61" i="11"/>
  <c r="V60" i="11"/>
  <c r="T60" i="11"/>
  <c r="U60" i="11" s="1"/>
  <c r="H60" i="11"/>
  <c r="J60" i="11" s="1"/>
  <c r="W60" i="11" s="1"/>
  <c r="G60" i="11"/>
  <c r="V59" i="11"/>
  <c r="T59" i="11"/>
  <c r="U59" i="11" s="1"/>
  <c r="H59" i="11"/>
  <c r="J59" i="11" s="1"/>
  <c r="G59" i="11"/>
  <c r="V58" i="11"/>
  <c r="T58" i="11"/>
  <c r="U58" i="11" s="1"/>
  <c r="H58" i="11"/>
  <c r="J58" i="11" s="1"/>
  <c r="G58" i="11"/>
  <c r="V57" i="11"/>
  <c r="T57" i="11"/>
  <c r="U57" i="11" s="1"/>
  <c r="H57" i="11"/>
  <c r="J57" i="11" s="1"/>
  <c r="G57" i="11"/>
  <c r="V56" i="11"/>
  <c r="T56" i="11"/>
  <c r="U56" i="11" s="1"/>
  <c r="H56" i="11"/>
  <c r="J56" i="11" s="1"/>
  <c r="G56" i="11"/>
  <c r="V55" i="11"/>
  <c r="T55" i="11"/>
  <c r="U55" i="11" s="1"/>
  <c r="H55" i="11"/>
  <c r="J55" i="11" s="1"/>
  <c r="W55" i="11" s="1"/>
  <c r="G55" i="11"/>
  <c r="V54" i="11"/>
  <c r="Q54" i="11"/>
  <c r="T54" i="11" s="1"/>
  <c r="U54" i="11" s="1"/>
  <c r="H54" i="11"/>
  <c r="J54" i="11" s="1"/>
  <c r="G54" i="11"/>
  <c r="V53" i="11"/>
  <c r="Q53" i="11"/>
  <c r="T53" i="11" s="1"/>
  <c r="U53" i="11" s="1"/>
  <c r="H53" i="11"/>
  <c r="J53" i="11" s="1"/>
  <c r="G53" i="11"/>
  <c r="V52" i="11"/>
  <c r="Q52" i="11"/>
  <c r="T52" i="11" s="1"/>
  <c r="U52" i="11" s="1"/>
  <c r="H52" i="11"/>
  <c r="J52" i="11" s="1"/>
  <c r="G52" i="11"/>
  <c r="V51" i="11"/>
  <c r="Q51" i="11"/>
  <c r="T51" i="11" s="1"/>
  <c r="U51" i="11" s="1"/>
  <c r="H51" i="11"/>
  <c r="J51" i="11" s="1"/>
  <c r="G51" i="11"/>
  <c r="V50" i="11"/>
  <c r="Q50" i="11"/>
  <c r="T50" i="11" s="1"/>
  <c r="U50" i="11" s="1"/>
  <c r="H50" i="11"/>
  <c r="J50" i="11" s="1"/>
  <c r="G50" i="11"/>
  <c r="V49" i="11"/>
  <c r="Q49" i="11"/>
  <c r="T49" i="11" s="1"/>
  <c r="U49" i="11" s="1"/>
  <c r="H49" i="11"/>
  <c r="J49" i="11" s="1"/>
  <c r="G49" i="11"/>
  <c r="V48" i="11"/>
  <c r="Q48" i="11"/>
  <c r="T48" i="11" s="1"/>
  <c r="U48" i="11" s="1"/>
  <c r="H48" i="11"/>
  <c r="J48" i="11" s="1"/>
  <c r="G48" i="11"/>
  <c r="V47" i="11"/>
  <c r="Q47" i="11"/>
  <c r="T47" i="11" s="1"/>
  <c r="U47" i="11" s="1"/>
  <c r="H47" i="11"/>
  <c r="J47" i="11" s="1"/>
  <c r="G47" i="11"/>
  <c r="V46" i="11"/>
  <c r="G46" i="11"/>
  <c r="V45" i="11"/>
  <c r="G45" i="11"/>
  <c r="V44" i="11"/>
  <c r="G44" i="11"/>
  <c r="V43" i="11"/>
  <c r="G43" i="11"/>
  <c r="V42" i="11"/>
  <c r="G42" i="11"/>
  <c r="V41" i="11"/>
  <c r="G41" i="11"/>
  <c r="V40" i="11"/>
  <c r="G40" i="11"/>
  <c r="V39" i="11"/>
  <c r="G39" i="11"/>
  <c r="V38" i="11"/>
  <c r="G38" i="11"/>
  <c r="V37" i="11"/>
  <c r="G37" i="11"/>
  <c r="V36" i="11"/>
  <c r="G36" i="11"/>
  <c r="V35" i="11"/>
  <c r="G35" i="11"/>
  <c r="V34" i="11"/>
  <c r="G34" i="11"/>
  <c r="D34" i="11"/>
  <c r="D35" i="11" s="1"/>
  <c r="D36" i="11" s="1"/>
  <c r="V33" i="11"/>
  <c r="Q33" i="11"/>
  <c r="T33" i="11" s="1"/>
  <c r="U33" i="11" s="1"/>
  <c r="H33" i="11"/>
  <c r="J33" i="11" s="1"/>
  <c r="G33" i="11"/>
  <c r="V32" i="11"/>
  <c r="Q32" i="11"/>
  <c r="T32" i="11" s="1"/>
  <c r="U32" i="11" s="1"/>
  <c r="H32" i="11"/>
  <c r="J32" i="11" s="1"/>
  <c r="G32" i="11"/>
  <c r="V31" i="11"/>
  <c r="Q31" i="11"/>
  <c r="T31" i="11" s="1"/>
  <c r="U31" i="11" s="1"/>
  <c r="H31" i="11"/>
  <c r="J31" i="11" s="1"/>
  <c r="G31" i="11"/>
  <c r="V30" i="11"/>
  <c r="Q30" i="11"/>
  <c r="T30" i="11" s="1"/>
  <c r="U30" i="11" s="1"/>
  <c r="H30" i="11"/>
  <c r="J30" i="11" s="1"/>
  <c r="G30" i="11"/>
  <c r="V29" i="11"/>
  <c r="Q29" i="11"/>
  <c r="T29" i="11" s="1"/>
  <c r="U29" i="11" s="1"/>
  <c r="H29" i="11"/>
  <c r="J29" i="11" s="1"/>
  <c r="G29" i="11"/>
  <c r="V28" i="11"/>
  <c r="Q28" i="11"/>
  <c r="T28" i="11" s="1"/>
  <c r="U28" i="11" s="1"/>
  <c r="H28" i="11"/>
  <c r="J28" i="11" s="1"/>
  <c r="G28" i="11"/>
  <c r="V27" i="11"/>
  <c r="Q27" i="11"/>
  <c r="T27" i="11" s="1"/>
  <c r="U27" i="11" s="1"/>
  <c r="H27" i="11"/>
  <c r="J27" i="11" s="1"/>
  <c r="G27" i="11"/>
  <c r="V26" i="11"/>
  <c r="Q26" i="11"/>
  <c r="T26" i="11" s="1"/>
  <c r="U26" i="11" s="1"/>
  <c r="H26" i="11"/>
  <c r="J26" i="11" s="1"/>
  <c r="G26" i="11"/>
  <c r="V25" i="11"/>
  <c r="Q25" i="11"/>
  <c r="T25" i="11" s="1"/>
  <c r="U25" i="11" s="1"/>
  <c r="H25" i="11"/>
  <c r="J25" i="11" s="1"/>
  <c r="G25" i="11"/>
  <c r="V24" i="11"/>
  <c r="Q24" i="11"/>
  <c r="T24" i="11" s="1"/>
  <c r="U24" i="11" s="1"/>
  <c r="H24" i="11"/>
  <c r="J24" i="11" s="1"/>
  <c r="G24" i="11"/>
  <c r="H23" i="11"/>
  <c r="J23" i="11" s="1"/>
  <c r="G23" i="11"/>
  <c r="H23" i="5"/>
  <c r="V74" i="5"/>
  <c r="T74" i="5"/>
  <c r="U74" i="5" s="1"/>
  <c r="H74" i="5"/>
  <c r="J74" i="5" s="1"/>
  <c r="G74" i="5"/>
  <c r="V73" i="5"/>
  <c r="T73" i="5"/>
  <c r="U73" i="5" s="1"/>
  <c r="H73" i="5"/>
  <c r="J73" i="5" s="1"/>
  <c r="G73" i="5"/>
  <c r="V72" i="5"/>
  <c r="T72" i="5"/>
  <c r="U72" i="5" s="1"/>
  <c r="H72" i="5"/>
  <c r="J72" i="5" s="1"/>
  <c r="W72" i="5" s="1"/>
  <c r="X72" i="5" s="1"/>
  <c r="Z72" i="5" s="1"/>
  <c r="G72" i="5"/>
  <c r="V71" i="5"/>
  <c r="T71" i="5"/>
  <c r="U71" i="5" s="1"/>
  <c r="H71" i="5"/>
  <c r="J71" i="5" s="1"/>
  <c r="G71" i="5"/>
  <c r="V70" i="5"/>
  <c r="T70" i="5"/>
  <c r="U70" i="5" s="1"/>
  <c r="H70" i="5"/>
  <c r="J70" i="5" s="1"/>
  <c r="G70" i="5"/>
  <c r="V69" i="5"/>
  <c r="T69" i="5"/>
  <c r="U69" i="5" s="1"/>
  <c r="H69" i="5"/>
  <c r="J69" i="5" s="1"/>
  <c r="G69" i="5"/>
  <c r="V68" i="5"/>
  <c r="T68" i="5"/>
  <c r="U68" i="5" s="1"/>
  <c r="H68" i="5"/>
  <c r="J68" i="5" s="1"/>
  <c r="G68" i="5"/>
  <c r="V67" i="5"/>
  <c r="T67" i="5"/>
  <c r="U67" i="5" s="1"/>
  <c r="H67" i="5"/>
  <c r="J67" i="5" s="1"/>
  <c r="G67" i="5"/>
  <c r="V66" i="5"/>
  <c r="T66" i="5"/>
  <c r="U66" i="5" s="1"/>
  <c r="H66" i="5"/>
  <c r="J66" i="5" s="1"/>
  <c r="G66" i="5"/>
  <c r="V65" i="5"/>
  <c r="T65" i="5"/>
  <c r="U65" i="5" s="1"/>
  <c r="H65" i="5"/>
  <c r="J65" i="5" s="1"/>
  <c r="G65" i="5"/>
  <c r="V64" i="5"/>
  <c r="T64" i="5"/>
  <c r="U64" i="5" s="1"/>
  <c r="H64" i="5"/>
  <c r="J64" i="5" s="1"/>
  <c r="G64" i="5"/>
  <c r="V63" i="5"/>
  <c r="T63" i="5"/>
  <c r="U63" i="5" s="1"/>
  <c r="H63" i="5"/>
  <c r="J63" i="5" s="1"/>
  <c r="G63" i="5"/>
  <c r="V62" i="5"/>
  <c r="T62" i="5"/>
  <c r="U62" i="5" s="1"/>
  <c r="H62" i="5"/>
  <c r="J62" i="5" s="1"/>
  <c r="G62" i="5"/>
  <c r="V61" i="5"/>
  <c r="T61" i="5"/>
  <c r="U61" i="5" s="1"/>
  <c r="H61" i="5"/>
  <c r="J61" i="5" s="1"/>
  <c r="G61" i="5"/>
  <c r="V60" i="5"/>
  <c r="T60" i="5"/>
  <c r="U60" i="5" s="1"/>
  <c r="H60" i="5"/>
  <c r="J60" i="5" s="1"/>
  <c r="W60" i="5" s="1"/>
  <c r="G60" i="5"/>
  <c r="V59" i="5"/>
  <c r="T59" i="5"/>
  <c r="U59" i="5" s="1"/>
  <c r="H59" i="5"/>
  <c r="J59" i="5" s="1"/>
  <c r="G59" i="5"/>
  <c r="V58" i="5"/>
  <c r="T58" i="5"/>
  <c r="U58" i="5" s="1"/>
  <c r="H58" i="5"/>
  <c r="J58" i="5" s="1"/>
  <c r="G58" i="5"/>
  <c r="V57" i="5"/>
  <c r="T57" i="5"/>
  <c r="U57" i="5" s="1"/>
  <c r="H57" i="5"/>
  <c r="J57" i="5" s="1"/>
  <c r="G57" i="5"/>
  <c r="V56" i="5"/>
  <c r="H56" i="5"/>
  <c r="J56" i="5" s="1"/>
  <c r="G56" i="5"/>
  <c r="V55" i="5"/>
  <c r="H55" i="5"/>
  <c r="J55" i="5" s="1"/>
  <c r="G55" i="5"/>
  <c r="V54" i="5"/>
  <c r="Q54" i="5"/>
  <c r="T54" i="5" s="1"/>
  <c r="U54" i="5" s="1"/>
  <c r="H54" i="5"/>
  <c r="J54" i="5" s="1"/>
  <c r="W54" i="5" s="1"/>
  <c r="G54" i="5"/>
  <c r="V53" i="5"/>
  <c r="Q53" i="5"/>
  <c r="T53" i="5" s="1"/>
  <c r="U53" i="5" s="1"/>
  <c r="H53" i="5"/>
  <c r="J53" i="5" s="1"/>
  <c r="G53" i="5"/>
  <c r="V52" i="5"/>
  <c r="Q52" i="5"/>
  <c r="T52" i="5" s="1"/>
  <c r="U52" i="5" s="1"/>
  <c r="H52" i="5"/>
  <c r="J52" i="5" s="1"/>
  <c r="G52" i="5"/>
  <c r="V51" i="5"/>
  <c r="H51" i="5"/>
  <c r="J51" i="5" s="1"/>
  <c r="G51" i="5"/>
  <c r="V50" i="5"/>
  <c r="H50" i="5"/>
  <c r="J50" i="5" s="1"/>
  <c r="G50" i="5"/>
  <c r="V49" i="5"/>
  <c r="Q49" i="5"/>
  <c r="T49" i="5" s="1"/>
  <c r="U49" i="5" s="1"/>
  <c r="V48" i="5"/>
  <c r="G48" i="5"/>
  <c r="V47" i="5"/>
  <c r="G47" i="5"/>
  <c r="V46" i="5"/>
  <c r="G46" i="5"/>
  <c r="V45" i="5"/>
  <c r="G45" i="5"/>
  <c r="V44" i="5"/>
  <c r="G44" i="5"/>
  <c r="V43" i="5"/>
  <c r="G43" i="5"/>
  <c r="V42" i="5"/>
  <c r="G42" i="5"/>
  <c r="V41" i="5"/>
  <c r="G41" i="5"/>
  <c r="V40" i="5"/>
  <c r="G40" i="5"/>
  <c r="V39" i="5"/>
  <c r="G39" i="5"/>
  <c r="V38" i="5"/>
  <c r="G38" i="5"/>
  <c r="V37" i="5"/>
  <c r="G37" i="5"/>
  <c r="V36" i="5"/>
  <c r="G36" i="5"/>
  <c r="V35" i="5"/>
  <c r="G35" i="5"/>
  <c r="V34" i="5"/>
  <c r="G34" i="5"/>
  <c r="D34" i="5"/>
  <c r="D35" i="5" s="1"/>
  <c r="H35" i="5" s="1"/>
  <c r="J35" i="5" s="1"/>
  <c r="V33" i="5"/>
  <c r="Q33" i="5"/>
  <c r="T33" i="5" s="1"/>
  <c r="U33" i="5" s="1"/>
  <c r="H33" i="5"/>
  <c r="J33" i="5" s="1"/>
  <c r="G33" i="5"/>
  <c r="V32" i="5"/>
  <c r="Q32" i="5"/>
  <c r="T32" i="5" s="1"/>
  <c r="U32" i="5" s="1"/>
  <c r="H32" i="5"/>
  <c r="J32" i="5" s="1"/>
  <c r="G32" i="5"/>
  <c r="V31" i="5"/>
  <c r="H31" i="5"/>
  <c r="J31" i="5" s="1"/>
  <c r="G31" i="5"/>
  <c r="V30" i="5"/>
  <c r="H30" i="5"/>
  <c r="J30" i="5" s="1"/>
  <c r="G30" i="5"/>
  <c r="V29" i="5"/>
  <c r="Q29" i="5"/>
  <c r="T29" i="5" s="1"/>
  <c r="U29" i="5" s="1"/>
  <c r="H29" i="5"/>
  <c r="J29" i="5" s="1"/>
  <c r="W29" i="5" s="1"/>
  <c r="G29" i="5"/>
  <c r="V28" i="5"/>
  <c r="Q28" i="5"/>
  <c r="T28" i="5" s="1"/>
  <c r="U28" i="5" s="1"/>
  <c r="H28" i="5"/>
  <c r="J28" i="5" s="1"/>
  <c r="G28" i="5"/>
  <c r="V27" i="5"/>
  <c r="H27" i="5"/>
  <c r="J27" i="5" s="1"/>
  <c r="G27" i="5"/>
  <c r="V26" i="5"/>
  <c r="H26" i="5"/>
  <c r="J26" i="5" s="1"/>
  <c r="G26" i="5"/>
  <c r="V25" i="5"/>
  <c r="Q25" i="5"/>
  <c r="T25" i="5" s="1"/>
  <c r="U25" i="5" s="1"/>
  <c r="H25" i="5"/>
  <c r="J25" i="5" s="1"/>
  <c r="G25" i="5"/>
  <c r="V24" i="5"/>
  <c r="Q24" i="5"/>
  <c r="T24" i="5" s="1"/>
  <c r="U24" i="5" s="1"/>
  <c r="H24" i="5"/>
  <c r="J24" i="5" s="1"/>
  <c r="G24" i="5"/>
  <c r="V23" i="5"/>
  <c r="Q23" i="5"/>
  <c r="T23" i="5" s="1"/>
  <c r="U23" i="5" s="1"/>
  <c r="J23" i="5"/>
  <c r="G23" i="5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H31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0" i="16"/>
  <c r="H29" i="16"/>
  <c r="H28" i="16"/>
  <c r="H27" i="16"/>
  <c r="H26" i="16"/>
  <c r="H25" i="16"/>
  <c r="H24" i="16"/>
  <c r="H23" i="16"/>
  <c r="J23" i="16"/>
  <c r="C51" i="16"/>
  <c r="C52" i="16" s="1"/>
  <c r="C53" i="16" s="1"/>
  <c r="C54" i="16" s="1"/>
  <c r="C55" i="16" s="1"/>
  <c r="D34" i="16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V24" i="16"/>
  <c r="F14" i="21"/>
  <c r="F12" i="21"/>
  <c r="M15" i="5"/>
  <c r="M15" i="16"/>
  <c r="M13" i="5"/>
  <c r="M12" i="5"/>
  <c r="M11" i="5"/>
  <c r="Q27" i="5" s="1"/>
  <c r="T27" i="5" s="1"/>
  <c r="U27" i="5" s="1"/>
  <c r="M13" i="16"/>
  <c r="M12" i="16"/>
  <c r="M11" i="16"/>
  <c r="Q29" i="16" s="1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C12" i="18" s="1"/>
  <c r="C14" i="18" s="1"/>
  <c r="I9" i="18"/>
  <c r="H9" i="18"/>
  <c r="G9" i="18"/>
  <c r="F9" i="18"/>
  <c r="E9" i="18"/>
  <c r="D9" i="18"/>
  <c r="C9" i="18"/>
  <c r="I8" i="18"/>
  <c r="H8" i="18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L24" i="13" a="1"/>
  <c r="L24" i="10" a="1"/>
  <c r="D33" i="22" l="1"/>
  <c r="W29" i="22"/>
  <c r="Q47" i="22"/>
  <c r="T47" i="22" s="1"/>
  <c r="U47" i="22" s="1"/>
  <c r="Q42" i="22"/>
  <c r="T42" i="22" s="1"/>
  <c r="U42" i="22" s="1"/>
  <c r="Q25" i="22"/>
  <c r="T25" i="22" s="1"/>
  <c r="U25" i="22" s="1"/>
  <c r="W25" i="22" s="1"/>
  <c r="X25" i="22" s="1"/>
  <c r="Z25" i="22" s="1"/>
  <c r="Q46" i="22"/>
  <c r="T46" i="22" s="1"/>
  <c r="U46" i="22" s="1"/>
  <c r="W46" i="22" s="1"/>
  <c r="X46" i="22" s="1"/>
  <c r="Z46" i="22" s="1"/>
  <c r="W42" i="22"/>
  <c r="X42" i="22" s="1"/>
  <c r="Z42" i="22" s="1"/>
  <c r="Q26" i="22"/>
  <c r="T26" i="22" s="1"/>
  <c r="U26" i="22" s="1"/>
  <c r="W26" i="22" s="1"/>
  <c r="X26" i="22" s="1"/>
  <c r="Z26" i="22" s="1"/>
  <c r="Q31" i="22"/>
  <c r="T31" i="22" s="1"/>
  <c r="U31" i="22" s="1"/>
  <c r="W31" i="22" s="1"/>
  <c r="X31" i="22" s="1"/>
  <c r="Z31" i="22" s="1"/>
  <c r="Q43" i="22"/>
  <c r="T43" i="22" s="1"/>
  <c r="U43" i="22" s="1"/>
  <c r="W43" i="22" s="1"/>
  <c r="X43" i="22" s="1"/>
  <c r="Z43" i="22" s="1"/>
  <c r="Q27" i="22"/>
  <c r="T27" i="22" s="1"/>
  <c r="U27" i="22" s="1"/>
  <c r="W27" i="22" s="1"/>
  <c r="X27" i="22" s="1"/>
  <c r="Z27" i="22" s="1"/>
  <c r="Q32" i="22"/>
  <c r="T32" i="22" s="1"/>
  <c r="U32" i="22" s="1"/>
  <c r="W32" i="22" s="1"/>
  <c r="X32" i="22" s="1"/>
  <c r="Z32" i="22" s="1"/>
  <c r="W24" i="22"/>
  <c r="X24" i="22" s="1"/>
  <c r="Z24" i="22" s="1"/>
  <c r="W30" i="22"/>
  <c r="X30" i="22" s="1"/>
  <c r="Z30" i="22" s="1"/>
  <c r="W47" i="22"/>
  <c r="X47" i="22" s="1"/>
  <c r="Z47" i="22" s="1"/>
  <c r="Q23" i="22"/>
  <c r="T23" i="22" s="1"/>
  <c r="U23" i="22" s="1"/>
  <c r="W23" i="22" s="1"/>
  <c r="X23" i="22" s="1"/>
  <c r="Z23" i="22" s="1"/>
  <c r="Q28" i="22"/>
  <c r="T28" i="22" s="1"/>
  <c r="U28" i="22" s="1"/>
  <c r="W28" i="22" s="1"/>
  <c r="X28" i="22" s="1"/>
  <c r="Z28" i="22" s="1"/>
  <c r="Q45" i="22"/>
  <c r="T45" i="22" s="1"/>
  <c r="U45" i="22" s="1"/>
  <c r="W45" i="22" s="1"/>
  <c r="X45" i="22" s="1"/>
  <c r="Z45" i="22" s="1"/>
  <c r="Q33" i="22"/>
  <c r="T33" i="22" s="1"/>
  <c r="U33" i="22" s="1"/>
  <c r="W44" i="22"/>
  <c r="X44" i="22" s="1"/>
  <c r="Z44" i="22" s="1"/>
  <c r="X29" i="22"/>
  <c r="Z29" i="22" s="1"/>
  <c r="H33" i="22"/>
  <c r="J33" i="22" s="1"/>
  <c r="D34" i="22"/>
  <c r="T44" i="21"/>
  <c r="U44" i="21" s="1"/>
  <c r="W44" i="21" s="1"/>
  <c r="T23" i="21"/>
  <c r="U23" i="21" s="1"/>
  <c r="W23" i="21" s="1"/>
  <c r="X23" i="21" s="1"/>
  <c r="Z23" i="21" s="1"/>
  <c r="W24" i="21"/>
  <c r="W29" i="21"/>
  <c r="T51" i="21"/>
  <c r="U51" i="21" s="1"/>
  <c r="T25" i="21"/>
  <c r="U25" i="21" s="1"/>
  <c r="T30" i="21"/>
  <c r="U30" i="21" s="1"/>
  <c r="W30" i="21" s="1"/>
  <c r="X30" i="21" s="1"/>
  <c r="Z30" i="21" s="1"/>
  <c r="T45" i="21"/>
  <c r="U45" i="21" s="1"/>
  <c r="T50" i="21"/>
  <c r="U50" i="21" s="1"/>
  <c r="W50" i="21" s="1"/>
  <c r="X50" i="21" s="1"/>
  <c r="Z50" i="21" s="1"/>
  <c r="T26" i="21"/>
  <c r="U26" i="21" s="1"/>
  <c r="T31" i="21"/>
  <c r="U31" i="21" s="1"/>
  <c r="W31" i="21" s="1"/>
  <c r="X31" i="21" s="1"/>
  <c r="Z31" i="21" s="1"/>
  <c r="W49" i="21"/>
  <c r="X49" i="21" s="1"/>
  <c r="Z49" i="21" s="1"/>
  <c r="T46" i="21"/>
  <c r="U46" i="21" s="1"/>
  <c r="W46" i="21" s="1"/>
  <c r="X46" i="21" s="1"/>
  <c r="Z46" i="21" s="1"/>
  <c r="W28" i="21"/>
  <c r="X28" i="21" s="1"/>
  <c r="Z28" i="21" s="1"/>
  <c r="W33" i="21"/>
  <c r="X33" i="21" s="1"/>
  <c r="Z33" i="21" s="1"/>
  <c r="W47" i="21"/>
  <c r="X47" i="21" s="1"/>
  <c r="Z47" i="21" s="1"/>
  <c r="W64" i="21"/>
  <c r="W53" i="21"/>
  <c r="W63" i="21"/>
  <c r="X63" i="21" s="1"/>
  <c r="Z63" i="21" s="1"/>
  <c r="W25" i="21"/>
  <c r="X25" i="21" s="1"/>
  <c r="Z25" i="21" s="1"/>
  <c r="W55" i="21"/>
  <c r="X55" i="21" s="1"/>
  <c r="Z55" i="21" s="1"/>
  <c r="W48" i="21"/>
  <c r="X48" i="21" s="1"/>
  <c r="Z48" i="21" s="1"/>
  <c r="X44" i="21"/>
  <c r="Z44" i="21" s="1"/>
  <c r="W58" i="21"/>
  <c r="X58" i="21" s="1"/>
  <c r="Z58" i="21" s="1"/>
  <c r="W54" i="21"/>
  <c r="W27" i="21"/>
  <c r="X27" i="21" s="1"/>
  <c r="Z27" i="21" s="1"/>
  <c r="W32" i="21"/>
  <c r="X32" i="21" s="1"/>
  <c r="Z32" i="21" s="1"/>
  <c r="W45" i="21"/>
  <c r="X45" i="21" s="1"/>
  <c r="Z45" i="21" s="1"/>
  <c r="Q28" i="12"/>
  <c r="T28" i="12" s="1"/>
  <c r="U28" i="12" s="1"/>
  <c r="Q33" i="12"/>
  <c r="T33" i="12" s="1"/>
  <c r="U33" i="12" s="1"/>
  <c r="Q51" i="12"/>
  <c r="T51" i="12" s="1"/>
  <c r="U51" i="12" s="1"/>
  <c r="W51" i="12" s="1"/>
  <c r="X51" i="12" s="1"/>
  <c r="Z51" i="12" s="1"/>
  <c r="Q31" i="12"/>
  <c r="T31" i="12" s="1"/>
  <c r="U31" i="12" s="1"/>
  <c r="Q47" i="12"/>
  <c r="T47" i="12" s="1"/>
  <c r="U47" i="12" s="1"/>
  <c r="W47" i="12" s="1"/>
  <c r="X47" i="12" s="1"/>
  <c r="Z47" i="12" s="1"/>
  <c r="Q32" i="12"/>
  <c r="T32" i="12" s="1"/>
  <c r="U32" i="12" s="1"/>
  <c r="Q24" i="12"/>
  <c r="T24" i="12" s="1"/>
  <c r="U24" i="12" s="1"/>
  <c r="W24" i="12" s="1"/>
  <c r="X24" i="12" s="1"/>
  <c r="Z24" i="12" s="1"/>
  <c r="Q26" i="12"/>
  <c r="T26" i="12" s="1"/>
  <c r="U26" i="12" s="1"/>
  <c r="W26" i="12" s="1"/>
  <c r="X26" i="12" s="1"/>
  <c r="Z26" i="12" s="1"/>
  <c r="Q46" i="12"/>
  <c r="T46" i="12" s="1"/>
  <c r="U46" i="12" s="1"/>
  <c r="W46" i="12" s="1"/>
  <c r="X46" i="12" s="1"/>
  <c r="Z46" i="12" s="1"/>
  <c r="Q27" i="12"/>
  <c r="T27" i="12" s="1"/>
  <c r="U27" i="12" s="1"/>
  <c r="W27" i="12" s="1"/>
  <c r="X27" i="12" s="1"/>
  <c r="Z27" i="12" s="1"/>
  <c r="W52" i="12"/>
  <c r="X52" i="12" s="1"/>
  <c r="Z52" i="12" s="1"/>
  <c r="W62" i="12"/>
  <c r="X62" i="12" s="1"/>
  <c r="Z62" i="12" s="1"/>
  <c r="W58" i="12"/>
  <c r="X58" i="12" s="1"/>
  <c r="Z58" i="12" s="1"/>
  <c r="W53" i="12"/>
  <c r="X53" i="12" s="1"/>
  <c r="Z53" i="12" s="1"/>
  <c r="Q29" i="12"/>
  <c r="T29" i="12" s="1"/>
  <c r="U29" i="12" s="1"/>
  <c r="W29" i="12" s="1"/>
  <c r="X29" i="12" s="1"/>
  <c r="Z29" i="12" s="1"/>
  <c r="Q50" i="12"/>
  <c r="T50" i="12" s="1"/>
  <c r="U50" i="12" s="1"/>
  <c r="W50" i="12" s="1"/>
  <c r="X50" i="12" s="1"/>
  <c r="Z50" i="12" s="1"/>
  <c r="W56" i="12"/>
  <c r="X56" i="12" s="1"/>
  <c r="Z56" i="12" s="1"/>
  <c r="W61" i="12"/>
  <c r="X61" i="12" s="1"/>
  <c r="Z61" i="12" s="1"/>
  <c r="Q49" i="12"/>
  <c r="T49" i="12" s="1"/>
  <c r="U49" i="12" s="1"/>
  <c r="W49" i="12" s="1"/>
  <c r="X49" i="12" s="1"/>
  <c r="Z49" i="12" s="1"/>
  <c r="Q45" i="12"/>
  <c r="T45" i="12" s="1"/>
  <c r="U45" i="12" s="1"/>
  <c r="W45" i="12" s="1"/>
  <c r="X45" i="12" s="1"/>
  <c r="Z45" i="12" s="1"/>
  <c r="Q25" i="12"/>
  <c r="T25" i="12" s="1"/>
  <c r="U25" i="12" s="1"/>
  <c r="W25" i="12" s="1"/>
  <c r="X25" i="12" s="1"/>
  <c r="Z25" i="12" s="1"/>
  <c r="Q30" i="12"/>
  <c r="T30" i="12" s="1"/>
  <c r="U30" i="12" s="1"/>
  <c r="W30" i="12" s="1"/>
  <c r="X30" i="12" s="1"/>
  <c r="Z30" i="12" s="1"/>
  <c r="W55" i="12"/>
  <c r="X55" i="12" s="1"/>
  <c r="Z55" i="12" s="1"/>
  <c r="W31" i="12"/>
  <c r="X31" i="12" s="1"/>
  <c r="Z31" i="12" s="1"/>
  <c r="W32" i="12"/>
  <c r="X32" i="12" s="1"/>
  <c r="Z32" i="12" s="1"/>
  <c r="Q44" i="12"/>
  <c r="T44" i="12" s="1"/>
  <c r="U44" i="12" s="1"/>
  <c r="W44" i="12" s="1"/>
  <c r="X44" i="12" s="1"/>
  <c r="Z44" i="12" s="1"/>
  <c r="W28" i="12"/>
  <c r="X28" i="12" s="1"/>
  <c r="Z28" i="12" s="1"/>
  <c r="W33" i="12"/>
  <c r="X33" i="12" s="1"/>
  <c r="Z33" i="12" s="1"/>
  <c r="W63" i="15"/>
  <c r="X63" i="15" s="1"/>
  <c r="Z63" i="15" s="1"/>
  <c r="W47" i="15"/>
  <c r="X47" i="15" s="1"/>
  <c r="Z47" i="15" s="1"/>
  <c r="Q26" i="15"/>
  <c r="T26" i="15" s="1"/>
  <c r="U26" i="15" s="1"/>
  <c r="W26" i="15" s="1"/>
  <c r="X26" i="15" s="1"/>
  <c r="Z26" i="15" s="1"/>
  <c r="Q53" i="15"/>
  <c r="T53" i="15" s="1"/>
  <c r="U53" i="15" s="1"/>
  <c r="Q32" i="15"/>
  <c r="T32" i="15" s="1"/>
  <c r="U32" i="15" s="1"/>
  <c r="W32" i="15" s="1"/>
  <c r="X32" i="15" s="1"/>
  <c r="Z32" i="15" s="1"/>
  <c r="Q48" i="15"/>
  <c r="T48" i="15" s="1"/>
  <c r="U48" i="15" s="1"/>
  <c r="W48" i="15" s="1"/>
  <c r="X48" i="15" s="1"/>
  <c r="Z48" i="15" s="1"/>
  <c r="Q23" i="15"/>
  <c r="T23" i="15" s="1"/>
  <c r="U23" i="15" s="1"/>
  <c r="W23" i="15" s="1"/>
  <c r="X23" i="15" s="1"/>
  <c r="Z23" i="15" s="1"/>
  <c r="Q33" i="15"/>
  <c r="T33" i="15" s="1"/>
  <c r="U33" i="15" s="1"/>
  <c r="W33" i="15" s="1"/>
  <c r="X33" i="15" s="1"/>
  <c r="Z33" i="15" s="1"/>
  <c r="Q49" i="15"/>
  <c r="T49" i="15" s="1"/>
  <c r="U49" i="15" s="1"/>
  <c r="W49" i="15" s="1"/>
  <c r="X49" i="15" s="1"/>
  <c r="Z49" i="15" s="1"/>
  <c r="Q28" i="15"/>
  <c r="T28" i="15" s="1"/>
  <c r="U28" i="15" s="1"/>
  <c r="W28" i="15" s="1"/>
  <c r="X28" i="15" s="1"/>
  <c r="Z28" i="15" s="1"/>
  <c r="Q29" i="15"/>
  <c r="T29" i="15" s="1"/>
  <c r="U29" i="15" s="1"/>
  <c r="W29" i="15" s="1"/>
  <c r="X29" i="15" s="1"/>
  <c r="Z29" i="15" s="1"/>
  <c r="W51" i="15"/>
  <c r="X51" i="15" s="1"/>
  <c r="Z51" i="15" s="1"/>
  <c r="Q46" i="15"/>
  <c r="T46" i="15" s="1"/>
  <c r="U46" i="15" s="1"/>
  <c r="W46" i="15" s="1"/>
  <c r="X46" i="15" s="1"/>
  <c r="Z46" i="15" s="1"/>
  <c r="W26" i="11"/>
  <c r="Q23" i="11"/>
  <c r="T23" i="11" s="1"/>
  <c r="U23" i="11" s="1"/>
  <c r="W31" i="11"/>
  <c r="W68" i="15"/>
  <c r="X68" i="15" s="1"/>
  <c r="Z68" i="15" s="1"/>
  <c r="W61" i="15"/>
  <c r="X61" i="15" s="1"/>
  <c r="Z61" i="15" s="1"/>
  <c r="W59" i="15"/>
  <c r="X59" i="15" s="1"/>
  <c r="Z59" i="15" s="1"/>
  <c r="W31" i="15"/>
  <c r="X31" i="15" s="1"/>
  <c r="Z31" i="15" s="1"/>
  <c r="W27" i="15"/>
  <c r="X27" i="15" s="1"/>
  <c r="Z27" i="15" s="1"/>
  <c r="W58" i="15"/>
  <c r="X58" i="15" s="1"/>
  <c r="Z58" i="15" s="1"/>
  <c r="W64" i="15"/>
  <c r="X64" i="15" s="1"/>
  <c r="Z64" i="15" s="1"/>
  <c r="W60" i="15"/>
  <c r="X60" i="15" s="1"/>
  <c r="Z60" i="15" s="1"/>
  <c r="W53" i="15"/>
  <c r="X53" i="15" s="1"/>
  <c r="Z53" i="15" s="1"/>
  <c r="W67" i="15"/>
  <c r="X67" i="15" s="1"/>
  <c r="Z67" i="15" s="1"/>
  <c r="W30" i="15"/>
  <c r="X30" i="15" s="1"/>
  <c r="Z30" i="15" s="1"/>
  <c r="W25" i="15"/>
  <c r="X25" i="15" s="1"/>
  <c r="Z25" i="15" s="1"/>
  <c r="W23" i="11"/>
  <c r="X23" i="11" s="1"/>
  <c r="Z23" i="11" s="1"/>
  <c r="W64" i="11"/>
  <c r="W24" i="11"/>
  <c r="X24" i="11" s="1"/>
  <c r="Z24" i="11" s="1"/>
  <c r="W29" i="11"/>
  <c r="X29" i="11" s="1"/>
  <c r="Z29" i="11" s="1"/>
  <c r="W48" i="11"/>
  <c r="X48" i="11" s="1"/>
  <c r="Z48" i="11" s="1"/>
  <c r="W25" i="11"/>
  <c r="W56" i="11"/>
  <c r="X56" i="11" s="1"/>
  <c r="Z56" i="11" s="1"/>
  <c r="W50" i="11"/>
  <c r="X50" i="11" s="1"/>
  <c r="Z50" i="11" s="1"/>
  <c r="W69" i="11"/>
  <c r="X69" i="11" s="1"/>
  <c r="Z69" i="11" s="1"/>
  <c r="W32" i="11"/>
  <c r="X32" i="11" s="1"/>
  <c r="Z32" i="11" s="1"/>
  <c r="W52" i="11"/>
  <c r="X52" i="11" s="1"/>
  <c r="Z52" i="11" s="1"/>
  <c r="W57" i="5"/>
  <c r="X57" i="5" s="1"/>
  <c r="Z57" i="5" s="1"/>
  <c r="W63" i="5"/>
  <c r="X63" i="5" s="1"/>
  <c r="Z63" i="5" s="1"/>
  <c r="W32" i="5"/>
  <c r="W73" i="5"/>
  <c r="W65" i="5"/>
  <c r="W25" i="5"/>
  <c r="X25" i="5" s="1"/>
  <c r="Z25" i="5" s="1"/>
  <c r="W28" i="5"/>
  <c r="X28" i="5" s="1"/>
  <c r="Z28" i="5" s="1"/>
  <c r="W67" i="5"/>
  <c r="L24" i="13"/>
  <c r="L24" i="10"/>
  <c r="W63" i="12"/>
  <c r="X63" i="12" s="1"/>
  <c r="Z63" i="12" s="1"/>
  <c r="W54" i="12"/>
  <c r="X54" i="12" s="1"/>
  <c r="Z54" i="12" s="1"/>
  <c r="W64" i="12"/>
  <c r="X64" i="12" s="1"/>
  <c r="Z64" i="12" s="1"/>
  <c r="W57" i="12"/>
  <c r="X57" i="12" s="1"/>
  <c r="Z57" i="12" s="1"/>
  <c r="W60" i="12"/>
  <c r="X60" i="12" s="1"/>
  <c r="Z60" i="12" s="1"/>
  <c r="W65" i="15"/>
  <c r="X65" i="15" s="1"/>
  <c r="Z65" i="15" s="1"/>
  <c r="W50" i="15"/>
  <c r="X50" i="15" s="1"/>
  <c r="Z50" i="15" s="1"/>
  <c r="W52" i="15"/>
  <c r="X52" i="15" s="1"/>
  <c r="Z52" i="15" s="1"/>
  <c r="W56" i="15"/>
  <c r="X56" i="15" s="1"/>
  <c r="Z56" i="15" s="1"/>
  <c r="W56" i="21"/>
  <c r="X56" i="21" s="1"/>
  <c r="Z56" i="21" s="1"/>
  <c r="X53" i="21"/>
  <c r="Z53" i="21" s="1"/>
  <c r="X62" i="21"/>
  <c r="Z62" i="21" s="1"/>
  <c r="D36" i="21"/>
  <c r="H35" i="21"/>
  <c r="J35" i="21" s="1"/>
  <c r="T35" i="21"/>
  <c r="U35" i="21" s="1"/>
  <c r="X54" i="21"/>
  <c r="Z54" i="21" s="1"/>
  <c r="X59" i="21"/>
  <c r="Z59" i="21" s="1"/>
  <c r="X64" i="21"/>
  <c r="Z64" i="21" s="1"/>
  <c r="X57" i="21"/>
  <c r="Z57" i="21" s="1"/>
  <c r="X24" i="21"/>
  <c r="Z24" i="21" s="1"/>
  <c r="X29" i="21"/>
  <c r="Z29" i="21" s="1"/>
  <c r="W26" i="21"/>
  <c r="X26" i="21" s="1"/>
  <c r="Z26" i="21" s="1"/>
  <c r="X61" i="21"/>
  <c r="Z61" i="21" s="1"/>
  <c r="X52" i="21"/>
  <c r="Z52" i="21" s="1"/>
  <c r="W51" i="21"/>
  <c r="X51" i="21" s="1"/>
  <c r="Z51" i="21" s="1"/>
  <c r="W60" i="21"/>
  <c r="X60" i="21" s="1"/>
  <c r="Z60" i="21" s="1"/>
  <c r="T34" i="21"/>
  <c r="U34" i="21" s="1"/>
  <c r="H34" i="21"/>
  <c r="J34" i="21" s="1"/>
  <c r="X59" i="12"/>
  <c r="Z59" i="12" s="1"/>
  <c r="W48" i="12"/>
  <c r="X48" i="12" s="1"/>
  <c r="Z48" i="12" s="1"/>
  <c r="D35" i="12"/>
  <c r="Q34" i="12"/>
  <c r="T34" i="12" s="1"/>
  <c r="U34" i="12" s="1"/>
  <c r="H34" i="12"/>
  <c r="J34" i="12" s="1"/>
  <c r="W24" i="15"/>
  <c r="X24" i="15" s="1"/>
  <c r="Z24" i="15" s="1"/>
  <c r="W66" i="15"/>
  <c r="X66" i="15" s="1"/>
  <c r="Z66" i="15" s="1"/>
  <c r="X55" i="15"/>
  <c r="Z55" i="15" s="1"/>
  <c r="X57" i="15"/>
  <c r="Z57" i="15" s="1"/>
  <c r="W62" i="15"/>
  <c r="X62" i="15" s="1"/>
  <c r="Z62" i="15" s="1"/>
  <c r="D36" i="15"/>
  <c r="Q35" i="15"/>
  <c r="T35" i="15" s="1"/>
  <c r="U35" i="15" s="1"/>
  <c r="H35" i="15"/>
  <c r="J35" i="15" s="1"/>
  <c r="H34" i="15"/>
  <c r="J34" i="15" s="1"/>
  <c r="Q34" i="15"/>
  <c r="T34" i="15" s="1"/>
  <c r="U34" i="15" s="1"/>
  <c r="W28" i="11"/>
  <c r="X28" i="11" s="1"/>
  <c r="Z28" i="11" s="1"/>
  <c r="W51" i="11"/>
  <c r="X51" i="11" s="1"/>
  <c r="Z51" i="11" s="1"/>
  <c r="W27" i="11"/>
  <c r="X27" i="11" s="1"/>
  <c r="Z27" i="11" s="1"/>
  <c r="W61" i="11"/>
  <c r="X61" i="11" s="1"/>
  <c r="Z61" i="11" s="1"/>
  <c r="W70" i="11"/>
  <c r="X70" i="11" s="1"/>
  <c r="Z70" i="11" s="1"/>
  <c r="W59" i="11"/>
  <c r="X59" i="11" s="1"/>
  <c r="Z59" i="11" s="1"/>
  <c r="W47" i="11"/>
  <c r="X47" i="11" s="1"/>
  <c r="Z47" i="11" s="1"/>
  <c r="W33" i="11"/>
  <c r="X33" i="11" s="1"/>
  <c r="Z33" i="11" s="1"/>
  <c r="W57" i="11"/>
  <c r="X57" i="11" s="1"/>
  <c r="Z57" i="11" s="1"/>
  <c r="W30" i="11"/>
  <c r="X30" i="11" s="1"/>
  <c r="Z30" i="11" s="1"/>
  <c r="W49" i="11"/>
  <c r="X49" i="11" s="1"/>
  <c r="Z49" i="11" s="1"/>
  <c r="W58" i="11"/>
  <c r="X58" i="11" s="1"/>
  <c r="Z58" i="11" s="1"/>
  <c r="X67" i="11"/>
  <c r="Z67" i="11" s="1"/>
  <c r="W65" i="11"/>
  <c r="X65" i="11" s="1"/>
  <c r="Z65" i="11" s="1"/>
  <c r="H36" i="11"/>
  <c r="J36" i="11" s="1"/>
  <c r="Q36" i="11"/>
  <c r="T36" i="11" s="1"/>
  <c r="U36" i="11" s="1"/>
  <c r="X25" i="11"/>
  <c r="Z25" i="11" s="1"/>
  <c r="X63" i="11"/>
  <c r="Z63" i="11" s="1"/>
  <c r="W53" i="11"/>
  <c r="X53" i="11" s="1"/>
  <c r="Z53" i="11" s="1"/>
  <c r="X66" i="11"/>
  <c r="Z66" i="11" s="1"/>
  <c r="X68" i="11"/>
  <c r="Z68" i="11" s="1"/>
  <c r="H35" i="11"/>
  <c r="J35" i="11" s="1"/>
  <c r="X31" i="11"/>
  <c r="Z31" i="11" s="1"/>
  <c r="X55" i="11"/>
  <c r="Z55" i="11" s="1"/>
  <c r="X62" i="11"/>
  <c r="Z62" i="11" s="1"/>
  <c r="X26" i="11"/>
  <c r="Z26" i="11" s="1"/>
  <c r="X60" i="11"/>
  <c r="Z60" i="11" s="1"/>
  <c r="X64" i="11"/>
  <c r="Z64" i="11" s="1"/>
  <c r="Q35" i="11"/>
  <c r="T35" i="11" s="1"/>
  <c r="U35" i="11" s="1"/>
  <c r="D37" i="11"/>
  <c r="W54" i="11"/>
  <c r="X54" i="11" s="1"/>
  <c r="Z54" i="11" s="1"/>
  <c r="Q34" i="11"/>
  <c r="T34" i="11" s="1"/>
  <c r="U34" i="11" s="1"/>
  <c r="H34" i="11"/>
  <c r="J34" i="11" s="1"/>
  <c r="W70" i="5"/>
  <c r="X70" i="5" s="1"/>
  <c r="Z70" i="5" s="1"/>
  <c r="W49" i="5"/>
  <c r="X49" i="5" s="1"/>
  <c r="Z49" i="5" s="1"/>
  <c r="W33" i="5"/>
  <c r="X33" i="5" s="1"/>
  <c r="Z33" i="5" s="1"/>
  <c r="W68" i="5"/>
  <c r="X68" i="5" s="1"/>
  <c r="Z68" i="5" s="1"/>
  <c r="Q50" i="5"/>
  <c r="T50" i="5" s="1"/>
  <c r="U50" i="5" s="1"/>
  <c r="W50" i="5" s="1"/>
  <c r="X50" i="5" s="1"/>
  <c r="Z50" i="5" s="1"/>
  <c r="W59" i="5"/>
  <c r="X59" i="5" s="1"/>
  <c r="Z59" i="5" s="1"/>
  <c r="W64" i="5"/>
  <c r="X64" i="5" s="1"/>
  <c r="Z64" i="5" s="1"/>
  <c r="W24" i="5"/>
  <c r="X24" i="5" s="1"/>
  <c r="Z24" i="5" s="1"/>
  <c r="W71" i="5"/>
  <c r="X71" i="5" s="1"/>
  <c r="Z71" i="5" s="1"/>
  <c r="W69" i="5"/>
  <c r="X69" i="5" s="1"/>
  <c r="Z69" i="5" s="1"/>
  <c r="Q30" i="5"/>
  <c r="T30" i="5" s="1"/>
  <c r="U30" i="5" s="1"/>
  <c r="W30" i="5" s="1"/>
  <c r="X30" i="5" s="1"/>
  <c r="Z30" i="5" s="1"/>
  <c r="Q26" i="5"/>
  <c r="T26" i="5" s="1"/>
  <c r="U26" i="5" s="1"/>
  <c r="W26" i="5" s="1"/>
  <c r="X26" i="5" s="1"/>
  <c r="Z26" i="5" s="1"/>
  <c r="Q55" i="5"/>
  <c r="T55" i="5" s="1"/>
  <c r="U55" i="5" s="1"/>
  <c r="W55" i="5" s="1"/>
  <c r="X55" i="5" s="1"/>
  <c r="Z55" i="5" s="1"/>
  <c r="Q51" i="5"/>
  <c r="T51" i="5" s="1"/>
  <c r="U51" i="5" s="1"/>
  <c r="W51" i="5" s="1"/>
  <c r="X51" i="5" s="1"/>
  <c r="Z51" i="5" s="1"/>
  <c r="W74" i="5"/>
  <c r="X74" i="5" s="1"/>
  <c r="Z74" i="5" s="1"/>
  <c r="Q31" i="5"/>
  <c r="T31" i="5" s="1"/>
  <c r="U31" i="5" s="1"/>
  <c r="Q56" i="5"/>
  <c r="T56" i="5" s="1"/>
  <c r="U56" i="5" s="1"/>
  <c r="W56" i="5" s="1"/>
  <c r="X56" i="5" s="1"/>
  <c r="Z56" i="5" s="1"/>
  <c r="W52" i="5"/>
  <c r="X52" i="5" s="1"/>
  <c r="Z52" i="5" s="1"/>
  <c r="W61" i="5"/>
  <c r="X61" i="5" s="1"/>
  <c r="Z61" i="5" s="1"/>
  <c r="W66" i="5"/>
  <c r="X66" i="5" s="1"/>
  <c r="Z66" i="5" s="1"/>
  <c r="X67" i="5"/>
  <c r="Z67" i="5" s="1"/>
  <c r="W27" i="5"/>
  <c r="X27" i="5" s="1"/>
  <c r="Z27" i="5" s="1"/>
  <c r="W53" i="5"/>
  <c r="X53" i="5" s="1"/>
  <c r="Z53" i="5" s="1"/>
  <c r="X73" i="5"/>
  <c r="Z73" i="5" s="1"/>
  <c r="W23" i="5"/>
  <c r="X23" i="5" s="1"/>
  <c r="Z23" i="5" s="1"/>
  <c r="X32" i="5"/>
  <c r="Z32" i="5" s="1"/>
  <c r="X60" i="5"/>
  <c r="Z60" i="5" s="1"/>
  <c r="X65" i="5"/>
  <c r="Z65" i="5" s="1"/>
  <c r="X29" i="5"/>
  <c r="Z29" i="5" s="1"/>
  <c r="D36" i="5"/>
  <c r="Q35" i="5"/>
  <c r="T35" i="5" s="1"/>
  <c r="U35" i="5" s="1"/>
  <c r="W35" i="5" s="1"/>
  <c r="X35" i="5" s="1"/>
  <c r="Z35" i="5" s="1"/>
  <c r="W62" i="5"/>
  <c r="X62" i="5" s="1"/>
  <c r="Z62" i="5" s="1"/>
  <c r="X54" i="5"/>
  <c r="Z54" i="5" s="1"/>
  <c r="W31" i="5"/>
  <c r="X31" i="5" s="1"/>
  <c r="Z31" i="5" s="1"/>
  <c r="W58" i="5"/>
  <c r="X58" i="5" s="1"/>
  <c r="Z58" i="5" s="1"/>
  <c r="H34" i="5"/>
  <c r="J34" i="5" s="1"/>
  <c r="Q34" i="5"/>
  <c r="T34" i="5" s="1"/>
  <c r="U34" i="5" s="1"/>
  <c r="Q24" i="16"/>
  <c r="Q27" i="16"/>
  <c r="Q28" i="16"/>
  <c r="Q26" i="16"/>
  <c r="Q25" i="16"/>
  <c r="Q23" i="16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W33" i="22" l="1"/>
  <c r="X33" i="22" s="1"/>
  <c r="Z33" i="22" s="1"/>
  <c r="Q34" i="22"/>
  <c r="T34" i="22" s="1"/>
  <c r="U34" i="22" s="1"/>
  <c r="H34" i="22"/>
  <c r="J34" i="22" s="1"/>
  <c r="D35" i="22"/>
  <c r="W34" i="21"/>
  <c r="X34" i="21" s="1"/>
  <c r="Z34" i="21" s="1"/>
  <c r="W35" i="15"/>
  <c r="X35" i="15" s="1"/>
  <c r="Z35" i="15" s="1"/>
  <c r="W34" i="11"/>
  <c r="X34" i="11" s="1"/>
  <c r="Z34" i="11" s="1"/>
  <c r="D37" i="21"/>
  <c r="H36" i="21"/>
  <c r="J36" i="21" s="1"/>
  <c r="T36" i="21"/>
  <c r="U36" i="21" s="1"/>
  <c r="W35" i="21"/>
  <c r="X35" i="21" s="1"/>
  <c r="Z35" i="21" s="1"/>
  <c r="W34" i="12"/>
  <c r="X34" i="12" s="1"/>
  <c r="Z34" i="12" s="1"/>
  <c r="D36" i="12"/>
  <c r="H35" i="12"/>
  <c r="J35" i="12" s="1"/>
  <c r="Q35" i="12"/>
  <c r="T35" i="12" s="1"/>
  <c r="U35" i="12" s="1"/>
  <c r="W34" i="15"/>
  <c r="X34" i="15" s="1"/>
  <c r="Z34" i="15" s="1"/>
  <c r="H36" i="15"/>
  <c r="J36" i="15" s="1"/>
  <c r="Q36" i="15"/>
  <c r="T36" i="15" s="1"/>
  <c r="U36" i="15" s="1"/>
  <c r="D37" i="15"/>
  <c r="W35" i="11"/>
  <c r="X35" i="11" s="1"/>
  <c r="Z35" i="11" s="1"/>
  <c r="W36" i="11"/>
  <c r="X36" i="11" s="1"/>
  <c r="Z36" i="11" s="1"/>
  <c r="D38" i="11"/>
  <c r="Q37" i="11"/>
  <c r="T37" i="11" s="1"/>
  <c r="U37" i="11" s="1"/>
  <c r="H37" i="11"/>
  <c r="J37" i="11" s="1"/>
  <c r="W34" i="5"/>
  <c r="X34" i="5" s="1"/>
  <c r="Z34" i="5" s="1"/>
  <c r="H36" i="5"/>
  <c r="J36" i="5" s="1"/>
  <c r="Q36" i="5"/>
  <c r="T36" i="5" s="1"/>
  <c r="U36" i="5" s="1"/>
  <c r="D37" i="5"/>
  <c r="H12" i="18"/>
  <c r="H14" i="18" s="1"/>
  <c r="H13" i="18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D36" i="22" l="1"/>
  <c r="H35" i="22"/>
  <c r="J35" i="22" s="1"/>
  <c r="Q35" i="22"/>
  <c r="T35" i="22" s="1"/>
  <c r="U35" i="22" s="1"/>
  <c r="W34" i="22"/>
  <c r="X34" i="22" s="1"/>
  <c r="Z34" i="22" s="1"/>
  <c r="W36" i="15"/>
  <c r="X36" i="15" s="1"/>
  <c r="Z36" i="15" s="1"/>
  <c r="W36" i="21"/>
  <c r="X36" i="21" s="1"/>
  <c r="Z36" i="21" s="1"/>
  <c r="T37" i="21"/>
  <c r="U37" i="21" s="1"/>
  <c r="H37" i="21"/>
  <c r="J37" i="21" s="1"/>
  <c r="D38" i="21"/>
  <c r="W35" i="12"/>
  <c r="X35" i="12" s="1"/>
  <c r="Z35" i="12" s="1"/>
  <c r="Q36" i="12"/>
  <c r="T36" i="12" s="1"/>
  <c r="U36" i="12" s="1"/>
  <c r="H36" i="12"/>
  <c r="J36" i="12" s="1"/>
  <c r="D37" i="12"/>
  <c r="D38" i="15"/>
  <c r="Q37" i="15"/>
  <c r="T37" i="15" s="1"/>
  <c r="U37" i="15" s="1"/>
  <c r="H37" i="15"/>
  <c r="J37" i="15" s="1"/>
  <c r="W37" i="11"/>
  <c r="X37" i="11" s="1"/>
  <c r="Z37" i="11" s="1"/>
  <c r="Q38" i="11"/>
  <c r="T38" i="11" s="1"/>
  <c r="U38" i="11" s="1"/>
  <c r="H38" i="11"/>
  <c r="J38" i="11" s="1"/>
  <c r="D39" i="11"/>
  <c r="W36" i="5"/>
  <c r="X36" i="5" s="1"/>
  <c r="Z36" i="5" s="1"/>
  <c r="Q37" i="5"/>
  <c r="T37" i="5" s="1"/>
  <c r="U37" i="5" s="1"/>
  <c r="D38" i="5"/>
  <c r="H37" i="5"/>
  <c r="J37" i="5" s="1"/>
  <c r="E12" i="18"/>
  <c r="E14" i="18" s="1"/>
  <c r="E11" i="18"/>
  <c r="E13" i="18" s="1"/>
  <c r="H36" i="22" l="1"/>
  <c r="J36" i="22" s="1"/>
  <c r="D37" i="22"/>
  <c r="Q36" i="22"/>
  <c r="T36" i="22" s="1"/>
  <c r="U36" i="22" s="1"/>
  <c r="W35" i="22"/>
  <c r="X35" i="22" s="1"/>
  <c r="Z35" i="22" s="1"/>
  <c r="W36" i="12"/>
  <c r="X36" i="12" s="1"/>
  <c r="Z36" i="12" s="1"/>
  <c r="W37" i="15"/>
  <c r="X37" i="15" s="1"/>
  <c r="Z37" i="15" s="1"/>
  <c r="W37" i="21"/>
  <c r="X37" i="21" s="1"/>
  <c r="Z37" i="21" s="1"/>
  <c r="D39" i="21"/>
  <c r="T38" i="21"/>
  <c r="U38" i="21" s="1"/>
  <c r="H38" i="21"/>
  <c r="J38" i="21" s="1"/>
  <c r="D38" i="12"/>
  <c r="Q37" i="12"/>
  <c r="T37" i="12" s="1"/>
  <c r="U37" i="12" s="1"/>
  <c r="H37" i="12"/>
  <c r="J37" i="12" s="1"/>
  <c r="Q38" i="15"/>
  <c r="T38" i="15" s="1"/>
  <c r="U38" i="15" s="1"/>
  <c r="H38" i="15"/>
  <c r="J38" i="15" s="1"/>
  <c r="D39" i="15"/>
  <c r="Q39" i="11"/>
  <c r="T39" i="11" s="1"/>
  <c r="U39" i="11" s="1"/>
  <c r="D40" i="11"/>
  <c r="H39" i="11"/>
  <c r="J39" i="11" s="1"/>
  <c r="W38" i="11"/>
  <c r="X38" i="11" s="1"/>
  <c r="Z38" i="11" s="1"/>
  <c r="W37" i="5"/>
  <c r="X37" i="5" s="1"/>
  <c r="Z37" i="5" s="1"/>
  <c r="D39" i="5"/>
  <c r="Q38" i="5"/>
  <c r="T38" i="5" s="1"/>
  <c r="U38" i="5" s="1"/>
  <c r="H38" i="5"/>
  <c r="J38" i="5" s="1"/>
  <c r="V74" i="16"/>
  <c r="T74" i="16"/>
  <c r="U74" i="16" s="1"/>
  <c r="G74" i="16"/>
  <c r="V73" i="16"/>
  <c r="T73" i="16"/>
  <c r="U73" i="16" s="1"/>
  <c r="G73" i="16"/>
  <c r="V72" i="16"/>
  <c r="T72" i="16"/>
  <c r="U72" i="16" s="1"/>
  <c r="G72" i="16"/>
  <c r="V71" i="16"/>
  <c r="T71" i="16"/>
  <c r="U71" i="16" s="1"/>
  <c r="G71" i="16"/>
  <c r="V70" i="16"/>
  <c r="T70" i="16"/>
  <c r="U70" i="16" s="1"/>
  <c r="G70" i="16"/>
  <c r="V69" i="16"/>
  <c r="T69" i="16"/>
  <c r="U69" i="16" s="1"/>
  <c r="G69" i="16"/>
  <c r="V68" i="16"/>
  <c r="T68" i="16"/>
  <c r="U68" i="16" s="1"/>
  <c r="G68" i="16"/>
  <c r="V67" i="16"/>
  <c r="T67" i="16"/>
  <c r="U67" i="16" s="1"/>
  <c r="G67" i="16"/>
  <c r="V66" i="16"/>
  <c r="T66" i="16"/>
  <c r="U66" i="16" s="1"/>
  <c r="G66" i="16"/>
  <c r="V65" i="16"/>
  <c r="T65" i="16"/>
  <c r="U65" i="16" s="1"/>
  <c r="G65" i="16"/>
  <c r="V64" i="16"/>
  <c r="T64" i="16"/>
  <c r="U64" i="16" s="1"/>
  <c r="G64" i="16"/>
  <c r="V63" i="16"/>
  <c r="T63" i="16"/>
  <c r="U63" i="16" s="1"/>
  <c r="G63" i="16"/>
  <c r="V62" i="16"/>
  <c r="T62" i="16"/>
  <c r="U62" i="16" s="1"/>
  <c r="G62" i="16"/>
  <c r="V61" i="16"/>
  <c r="T61" i="16"/>
  <c r="U61" i="16" s="1"/>
  <c r="G61" i="16"/>
  <c r="V60" i="16"/>
  <c r="T60" i="16"/>
  <c r="U60" i="16" s="1"/>
  <c r="G60" i="16"/>
  <c r="V59" i="16"/>
  <c r="T59" i="16"/>
  <c r="U59" i="16" s="1"/>
  <c r="G59" i="16"/>
  <c r="V58" i="16"/>
  <c r="T58" i="16"/>
  <c r="U58" i="16" s="1"/>
  <c r="G58" i="16"/>
  <c r="V57" i="16"/>
  <c r="T57" i="16"/>
  <c r="U57" i="16" s="1"/>
  <c r="G57" i="16"/>
  <c r="V56" i="16"/>
  <c r="Q56" i="16"/>
  <c r="T56" i="16" s="1"/>
  <c r="U56" i="16" s="1"/>
  <c r="G56" i="16"/>
  <c r="V55" i="16"/>
  <c r="Q55" i="16"/>
  <c r="T55" i="16" s="1"/>
  <c r="U55" i="16" s="1"/>
  <c r="G55" i="16"/>
  <c r="V54" i="16"/>
  <c r="Q54" i="16"/>
  <c r="T54" i="16" s="1"/>
  <c r="U54" i="16" s="1"/>
  <c r="G54" i="16"/>
  <c r="V53" i="16"/>
  <c r="Q53" i="16"/>
  <c r="T53" i="16" s="1"/>
  <c r="U53" i="16" s="1"/>
  <c r="G53" i="16"/>
  <c r="V52" i="16"/>
  <c r="Q52" i="16"/>
  <c r="T52" i="16" s="1"/>
  <c r="U52" i="16" s="1"/>
  <c r="G52" i="16"/>
  <c r="V51" i="16"/>
  <c r="Q51" i="16"/>
  <c r="T51" i="16" s="1"/>
  <c r="U51" i="16" s="1"/>
  <c r="G51" i="16"/>
  <c r="V50" i="16"/>
  <c r="Q50" i="16"/>
  <c r="T50" i="16" s="1"/>
  <c r="U50" i="16" s="1"/>
  <c r="G50" i="16"/>
  <c r="V49" i="16"/>
  <c r="Q49" i="16"/>
  <c r="T49" i="16" s="1"/>
  <c r="U49" i="16" s="1"/>
  <c r="G49" i="16"/>
  <c r="V48" i="16"/>
  <c r="Q48" i="16"/>
  <c r="T48" i="16" s="1"/>
  <c r="U48" i="16" s="1"/>
  <c r="G48" i="16"/>
  <c r="V47" i="16"/>
  <c r="Q47" i="16"/>
  <c r="T47" i="16" s="1"/>
  <c r="U47" i="16" s="1"/>
  <c r="G47" i="16"/>
  <c r="V46" i="16"/>
  <c r="Q46" i="16"/>
  <c r="T46" i="16" s="1"/>
  <c r="U46" i="16" s="1"/>
  <c r="G46" i="16"/>
  <c r="V45" i="16"/>
  <c r="Q45" i="16"/>
  <c r="T45" i="16" s="1"/>
  <c r="U45" i="16" s="1"/>
  <c r="G45" i="16"/>
  <c r="V44" i="16"/>
  <c r="Q44" i="16"/>
  <c r="T44" i="16" s="1"/>
  <c r="U44" i="16" s="1"/>
  <c r="G44" i="16"/>
  <c r="V43" i="16"/>
  <c r="Q43" i="16"/>
  <c r="T43" i="16" s="1"/>
  <c r="U43" i="16" s="1"/>
  <c r="G43" i="16"/>
  <c r="V42" i="16"/>
  <c r="Q42" i="16"/>
  <c r="T42" i="16" s="1"/>
  <c r="U42" i="16" s="1"/>
  <c r="G42" i="16"/>
  <c r="V41" i="16"/>
  <c r="Q41" i="16"/>
  <c r="T41" i="16" s="1"/>
  <c r="U41" i="16" s="1"/>
  <c r="G41" i="16"/>
  <c r="V40" i="16"/>
  <c r="Q40" i="16"/>
  <c r="T40" i="16" s="1"/>
  <c r="U40" i="16" s="1"/>
  <c r="G40" i="16"/>
  <c r="V39" i="16"/>
  <c r="Q39" i="16"/>
  <c r="T39" i="16" s="1"/>
  <c r="U39" i="16" s="1"/>
  <c r="G39" i="16"/>
  <c r="V38" i="16"/>
  <c r="Q38" i="16"/>
  <c r="T38" i="16" s="1"/>
  <c r="U38" i="16" s="1"/>
  <c r="G38" i="16"/>
  <c r="V37" i="16"/>
  <c r="Q37" i="16"/>
  <c r="T37" i="16" s="1"/>
  <c r="U37" i="16" s="1"/>
  <c r="G37" i="16"/>
  <c r="V36" i="16"/>
  <c r="Q36" i="16"/>
  <c r="T36" i="16" s="1"/>
  <c r="U36" i="16" s="1"/>
  <c r="G36" i="16"/>
  <c r="V35" i="16"/>
  <c r="Q35" i="16"/>
  <c r="T35" i="16" s="1"/>
  <c r="U35" i="16" s="1"/>
  <c r="G35" i="16"/>
  <c r="V34" i="16"/>
  <c r="Q34" i="16"/>
  <c r="T34" i="16" s="1"/>
  <c r="U34" i="16" s="1"/>
  <c r="G34" i="16"/>
  <c r="V33" i="16"/>
  <c r="Q33" i="16"/>
  <c r="T33" i="16" s="1"/>
  <c r="U33" i="16" s="1"/>
  <c r="G33" i="16"/>
  <c r="V32" i="16"/>
  <c r="Q32" i="16"/>
  <c r="T32" i="16" s="1"/>
  <c r="U32" i="16" s="1"/>
  <c r="G32" i="16"/>
  <c r="V31" i="16"/>
  <c r="Q31" i="16"/>
  <c r="T31" i="16" s="1"/>
  <c r="U31" i="16" s="1"/>
  <c r="G31" i="16"/>
  <c r="V30" i="16"/>
  <c r="Q30" i="16"/>
  <c r="T30" i="16" s="1"/>
  <c r="U30" i="16" s="1"/>
  <c r="W30" i="16" s="1"/>
  <c r="G30" i="16"/>
  <c r="V29" i="16"/>
  <c r="T29" i="16"/>
  <c r="U29" i="16" s="1"/>
  <c r="G29" i="16"/>
  <c r="V28" i="16"/>
  <c r="T28" i="16"/>
  <c r="U28" i="16" s="1"/>
  <c r="G28" i="16"/>
  <c r="V27" i="16"/>
  <c r="T27" i="16"/>
  <c r="U27" i="16" s="1"/>
  <c r="G27" i="16"/>
  <c r="V26" i="16"/>
  <c r="T26" i="16"/>
  <c r="U26" i="16" s="1"/>
  <c r="G26" i="16"/>
  <c r="V25" i="16"/>
  <c r="T25" i="16"/>
  <c r="U25" i="16" s="1"/>
  <c r="G25" i="16"/>
  <c r="G24" i="16"/>
  <c r="V23" i="16"/>
  <c r="T23" i="16"/>
  <c r="U23" i="16" s="1"/>
  <c r="G23" i="16"/>
  <c r="F14" i="16"/>
  <c r="F12" i="16"/>
  <c r="D38" i="22" l="1"/>
  <c r="H37" i="22"/>
  <c r="J37" i="22" s="1"/>
  <c r="Q37" i="22"/>
  <c r="T37" i="22" s="1"/>
  <c r="U37" i="22" s="1"/>
  <c r="W36" i="22"/>
  <c r="X36" i="22" s="1"/>
  <c r="Z36" i="22" s="1"/>
  <c r="W38" i="21"/>
  <c r="X38" i="21" s="1"/>
  <c r="Z38" i="21" s="1"/>
  <c r="W37" i="12"/>
  <c r="X37" i="12" s="1"/>
  <c r="Z37" i="12" s="1"/>
  <c r="T39" i="21"/>
  <c r="U39" i="21" s="1"/>
  <c r="D40" i="21"/>
  <c r="H39" i="21"/>
  <c r="J39" i="21" s="1"/>
  <c r="H38" i="12"/>
  <c r="J38" i="12" s="1"/>
  <c r="Q38" i="12"/>
  <c r="T38" i="12" s="1"/>
  <c r="U38" i="12" s="1"/>
  <c r="D39" i="12"/>
  <c r="Q39" i="15"/>
  <c r="T39" i="15" s="1"/>
  <c r="U39" i="15" s="1"/>
  <c r="H39" i="15"/>
  <c r="J39" i="15" s="1"/>
  <c r="D40" i="15"/>
  <c r="W38" i="15"/>
  <c r="X38" i="15" s="1"/>
  <c r="Z38" i="15" s="1"/>
  <c r="W39" i="11"/>
  <c r="X39" i="11" s="1"/>
  <c r="Z39" i="11" s="1"/>
  <c r="Q40" i="11"/>
  <c r="T40" i="11" s="1"/>
  <c r="U40" i="11" s="1"/>
  <c r="H40" i="11"/>
  <c r="J40" i="11" s="1"/>
  <c r="Q39" i="5"/>
  <c r="T39" i="5" s="1"/>
  <c r="U39" i="5" s="1"/>
  <c r="H39" i="5"/>
  <c r="J39" i="5" s="1"/>
  <c r="D40" i="5"/>
  <c r="W38" i="5"/>
  <c r="X38" i="5" s="1"/>
  <c r="Z38" i="5" s="1"/>
  <c r="W64" i="16"/>
  <c r="X64" i="16" s="1"/>
  <c r="Z64" i="16" s="1"/>
  <c r="W52" i="16"/>
  <c r="X52" i="16" s="1"/>
  <c r="Z52" i="16" s="1"/>
  <c r="W36" i="16"/>
  <c r="W56" i="16"/>
  <c r="X56" i="16" s="1"/>
  <c r="Z56" i="16" s="1"/>
  <c r="X36" i="16"/>
  <c r="Z36" i="16" s="1"/>
  <c r="W51" i="16"/>
  <c r="X51" i="16" s="1"/>
  <c r="Z51" i="16" s="1"/>
  <c r="W29" i="16"/>
  <c r="X29" i="16" s="1"/>
  <c r="Z29" i="16" s="1"/>
  <c r="W31" i="16"/>
  <c r="X31" i="16" s="1"/>
  <c r="Z31" i="16" s="1"/>
  <c r="W37" i="16"/>
  <c r="X37" i="16" s="1"/>
  <c r="Z37" i="16" s="1"/>
  <c r="W43" i="16"/>
  <c r="X43" i="16" s="1"/>
  <c r="Z43" i="16" s="1"/>
  <c r="W61" i="16"/>
  <c r="X61" i="16" s="1"/>
  <c r="Z61" i="16" s="1"/>
  <c r="W23" i="16"/>
  <c r="X23" i="16" s="1"/>
  <c r="W38" i="16"/>
  <c r="X38" i="16" s="1"/>
  <c r="Z38" i="16" s="1"/>
  <c r="W58" i="16"/>
  <c r="X58" i="16" s="1"/>
  <c r="Z58" i="16" s="1"/>
  <c r="T24" i="16"/>
  <c r="U24" i="16" s="1"/>
  <c r="W32" i="16"/>
  <c r="X32" i="16" s="1"/>
  <c r="Z32" i="16" s="1"/>
  <c r="W42" i="16"/>
  <c r="X42" i="16" s="1"/>
  <c r="Z42" i="16" s="1"/>
  <c r="W27" i="16"/>
  <c r="X27" i="16" s="1"/>
  <c r="Z27" i="16" s="1"/>
  <c r="W44" i="16"/>
  <c r="X44" i="16" s="1"/>
  <c r="Z44" i="16" s="1"/>
  <c r="W48" i="16"/>
  <c r="X48" i="16" s="1"/>
  <c r="Z48" i="16" s="1"/>
  <c r="W66" i="16"/>
  <c r="X66" i="16" s="1"/>
  <c r="Z66" i="16" s="1"/>
  <c r="W62" i="16"/>
  <c r="X62" i="16" s="1"/>
  <c r="Z62" i="16" s="1"/>
  <c r="W60" i="16"/>
  <c r="X60" i="16" s="1"/>
  <c r="Z60" i="16" s="1"/>
  <c r="W50" i="16"/>
  <c r="X50" i="16" s="1"/>
  <c r="Z50" i="16" s="1"/>
  <c r="W55" i="16"/>
  <c r="X55" i="16" s="1"/>
  <c r="Z55" i="16" s="1"/>
  <c r="W69" i="16"/>
  <c r="X69" i="16" s="1"/>
  <c r="Z69" i="16" s="1"/>
  <c r="W47" i="16"/>
  <c r="X47" i="16" s="1"/>
  <c r="Z47" i="16" s="1"/>
  <c r="W73" i="16"/>
  <c r="X73" i="16" s="1"/>
  <c r="Z73" i="16" s="1"/>
  <c r="W25" i="16"/>
  <c r="X25" i="16" s="1"/>
  <c r="Z25" i="16" s="1"/>
  <c r="W26" i="16"/>
  <c r="W39" i="16"/>
  <c r="X39" i="16" s="1"/>
  <c r="Z39" i="16" s="1"/>
  <c r="W74" i="16"/>
  <c r="X74" i="16" s="1"/>
  <c r="Z74" i="16" s="1"/>
  <c r="W35" i="16"/>
  <c r="X35" i="16" s="1"/>
  <c r="Z35" i="16" s="1"/>
  <c r="W57" i="16"/>
  <c r="X57" i="16" s="1"/>
  <c r="Z57" i="16" s="1"/>
  <c r="W71" i="16"/>
  <c r="X71" i="16" s="1"/>
  <c r="Z71" i="16" s="1"/>
  <c r="W53" i="16"/>
  <c r="X53" i="16" s="1"/>
  <c r="Z53" i="16" s="1"/>
  <c r="W28" i="16"/>
  <c r="X28" i="16" s="1"/>
  <c r="Z28" i="16" s="1"/>
  <c r="W72" i="16"/>
  <c r="X72" i="16" s="1"/>
  <c r="Z72" i="16" s="1"/>
  <c r="W45" i="16"/>
  <c r="X45" i="16" s="1"/>
  <c r="Z45" i="16" s="1"/>
  <c r="W59" i="16"/>
  <c r="X59" i="16" s="1"/>
  <c r="Z59" i="16" s="1"/>
  <c r="W40" i="16"/>
  <c r="X40" i="16" s="1"/>
  <c r="Z40" i="16" s="1"/>
  <c r="W67" i="16"/>
  <c r="X67" i="16" s="1"/>
  <c r="Z67" i="16" s="1"/>
  <c r="W46" i="16"/>
  <c r="X46" i="16" s="1"/>
  <c r="Z46" i="16" s="1"/>
  <c r="W54" i="16"/>
  <c r="X54" i="16" s="1"/>
  <c r="Z54" i="16" s="1"/>
  <c r="W68" i="16"/>
  <c r="X68" i="16" s="1"/>
  <c r="Z68" i="16" s="1"/>
  <c r="W65" i="16"/>
  <c r="X65" i="16" s="1"/>
  <c r="Z65" i="16" s="1"/>
  <c r="W41" i="16"/>
  <c r="X41" i="16" s="1"/>
  <c r="Z41" i="16" s="1"/>
  <c r="W49" i="16"/>
  <c r="X49" i="16" s="1"/>
  <c r="Z49" i="16" s="1"/>
  <c r="W63" i="16"/>
  <c r="X63" i="16" s="1"/>
  <c r="Z63" i="16" s="1"/>
  <c r="W33" i="16"/>
  <c r="X33" i="16" s="1"/>
  <c r="Z33" i="16" s="1"/>
  <c r="W70" i="16"/>
  <c r="X70" i="16" s="1"/>
  <c r="Z70" i="16" s="1"/>
  <c r="X30" i="16"/>
  <c r="Z30" i="16" s="1"/>
  <c r="W34" i="16"/>
  <c r="X34" i="16" s="1"/>
  <c r="Z34" i="16" s="1"/>
  <c r="V30" i="14"/>
  <c r="X30" i="14"/>
  <c r="R32" i="14"/>
  <c r="R31" i="14"/>
  <c r="Y24" i="10"/>
  <c r="F14" i="15"/>
  <c r="F12" i="15"/>
  <c r="R47" i="14"/>
  <c r="R46" i="14"/>
  <c r="E38" i="14"/>
  <c r="R40" i="14"/>
  <c r="R24" i="14"/>
  <c r="R55" i="14"/>
  <c r="I55" i="14"/>
  <c r="K55" i="14" s="1"/>
  <c r="E48" i="14"/>
  <c r="I47" i="14"/>
  <c r="K47" i="14" s="1"/>
  <c r="I46" i="14"/>
  <c r="K46" i="14" s="1"/>
  <c r="R45" i="14"/>
  <c r="I45" i="14"/>
  <c r="K45" i="14" s="1"/>
  <c r="R44" i="14"/>
  <c r="I44" i="14"/>
  <c r="K44" i="14" s="1"/>
  <c r="R43" i="14"/>
  <c r="I43" i="14"/>
  <c r="K43" i="14" s="1"/>
  <c r="R42" i="14"/>
  <c r="W42" i="14" s="1"/>
  <c r="I42" i="14"/>
  <c r="K42" i="14" s="1"/>
  <c r="R41" i="14"/>
  <c r="W41" i="14" s="1"/>
  <c r="I41" i="14"/>
  <c r="K41" i="14" s="1"/>
  <c r="I40" i="14"/>
  <c r="K40" i="14" s="1"/>
  <c r="R39" i="14"/>
  <c r="I39" i="14"/>
  <c r="K39" i="14" s="1"/>
  <c r="E32" i="14"/>
  <c r="I31" i="14"/>
  <c r="K31" i="14" s="1"/>
  <c r="R30" i="14"/>
  <c r="I30" i="14"/>
  <c r="K30" i="14" s="1"/>
  <c r="R29" i="14"/>
  <c r="I29" i="14"/>
  <c r="K29" i="14" s="1"/>
  <c r="R28" i="14"/>
  <c r="I28" i="14"/>
  <c r="K28" i="14" s="1"/>
  <c r="R27" i="14"/>
  <c r="I27" i="14"/>
  <c r="K27" i="14" s="1"/>
  <c r="R26" i="14"/>
  <c r="I26" i="14"/>
  <c r="K26" i="14" s="1"/>
  <c r="R25" i="14"/>
  <c r="I25" i="14"/>
  <c r="K25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E50" i="13"/>
  <c r="R49" i="13"/>
  <c r="I49" i="13"/>
  <c r="K49" i="13" s="1"/>
  <c r="R48" i="13"/>
  <c r="I48" i="13"/>
  <c r="K48" i="13" s="1"/>
  <c r="R47" i="13"/>
  <c r="I47" i="13"/>
  <c r="K47" i="13" s="1"/>
  <c r="R46" i="13"/>
  <c r="I46" i="13"/>
  <c r="K46" i="13" s="1"/>
  <c r="R45" i="13"/>
  <c r="I45" i="13"/>
  <c r="K45" i="13" s="1"/>
  <c r="R44" i="13"/>
  <c r="I44" i="13"/>
  <c r="K44" i="13" s="1"/>
  <c r="R43" i="13"/>
  <c r="I43" i="13"/>
  <c r="K43" i="13" s="1"/>
  <c r="E32" i="13"/>
  <c r="R31" i="13"/>
  <c r="I31" i="13"/>
  <c r="K31" i="13" s="1"/>
  <c r="R30" i="13"/>
  <c r="I30" i="13"/>
  <c r="K30" i="13" s="1"/>
  <c r="R29" i="13"/>
  <c r="I29" i="13"/>
  <c r="K29" i="13" s="1"/>
  <c r="R28" i="13"/>
  <c r="I28" i="13"/>
  <c r="K28" i="13" s="1"/>
  <c r="R27" i="13"/>
  <c r="I27" i="13"/>
  <c r="K27" i="13" s="1"/>
  <c r="R26" i="13"/>
  <c r="I26" i="13"/>
  <c r="K26" i="13" s="1"/>
  <c r="R25" i="13"/>
  <c r="I25" i="13"/>
  <c r="K25" i="13" s="1"/>
  <c r="R24" i="13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E53" i="10"/>
  <c r="R52" i="10"/>
  <c r="I52" i="10"/>
  <c r="K52" i="10" s="1"/>
  <c r="I46" i="10"/>
  <c r="K46" i="10"/>
  <c r="R46" i="10"/>
  <c r="U46" i="10"/>
  <c r="V46" i="10" s="1"/>
  <c r="X46" i="10" s="1"/>
  <c r="W46" i="10"/>
  <c r="I47" i="10"/>
  <c r="K47" i="10"/>
  <c r="Y47" i="10" s="1"/>
  <c r="R47" i="10"/>
  <c r="U47" i="10"/>
  <c r="V47" i="10" s="1"/>
  <c r="W47" i="10"/>
  <c r="I48" i="10"/>
  <c r="K48" i="10"/>
  <c r="Y48" i="10" s="1"/>
  <c r="R48" i="10"/>
  <c r="U48" i="10" s="1"/>
  <c r="V48" i="10" s="1"/>
  <c r="W48" i="10"/>
  <c r="I49" i="10"/>
  <c r="K49" i="10"/>
  <c r="R49" i="10"/>
  <c r="I50" i="10"/>
  <c r="K50" i="10" s="1"/>
  <c r="R50" i="10"/>
  <c r="I51" i="10"/>
  <c r="K51" i="10" s="1"/>
  <c r="Y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U28" i="10"/>
  <c r="V28" i="10" s="1"/>
  <c r="I25" i="10"/>
  <c r="K25" i="10" s="1"/>
  <c r="I26" i="10"/>
  <c r="K26" i="10" s="1"/>
  <c r="I27" i="10"/>
  <c r="K27" i="10" s="1"/>
  <c r="I28" i="10"/>
  <c r="K28" i="10" s="1"/>
  <c r="W28" i="10"/>
  <c r="I29" i="10"/>
  <c r="K29" i="10" s="1"/>
  <c r="I30" i="10"/>
  <c r="K30" i="10" s="1"/>
  <c r="I31" i="10"/>
  <c r="K31" i="10" s="1"/>
  <c r="R31" i="10"/>
  <c r="P12" i="10"/>
  <c r="P13" i="10"/>
  <c r="F14" i="12"/>
  <c r="F12" i="12"/>
  <c r="F14" i="11"/>
  <c r="F12" i="11"/>
  <c r="AC8" i="10"/>
  <c r="AC14" i="10"/>
  <c r="AC15" i="10"/>
  <c r="AC16" i="10"/>
  <c r="AC13" i="10"/>
  <c r="AC12" i="10"/>
  <c r="AC9" i="10"/>
  <c r="AC10" i="10"/>
  <c r="AC11" i="10"/>
  <c r="L52" i="10" a="1"/>
  <c r="M56" i="10" a="1"/>
  <c r="M39" i="10" a="1"/>
  <c r="L57" i="10" a="1"/>
  <c r="M57" i="13" a="1"/>
  <c r="L46" i="13" a="1"/>
  <c r="M41" i="14" a="1"/>
  <c r="M53" i="13" a="1"/>
  <c r="M28" i="13" a="1"/>
  <c r="M33" i="10" a="1"/>
  <c r="M25" i="10" a="1"/>
  <c r="M34" i="14" a="1"/>
  <c r="L35" i="13" a="1"/>
  <c r="M48" i="10" a="1"/>
  <c r="L46" i="10" a="1"/>
  <c r="M26" i="13" a="1"/>
  <c r="L50" i="14" a="1"/>
  <c r="M47" i="14" a="1"/>
  <c r="M47" i="13" a="1"/>
  <c r="M27" i="14" a="1"/>
  <c r="M36" i="10" a="1"/>
  <c r="L33" i="10" a="1"/>
  <c r="L27" i="10" a="1"/>
  <c r="M45" i="10" a="1"/>
  <c r="M55" i="10" a="1"/>
  <c r="M24" i="14" a="1"/>
  <c r="L60" i="10" a="1"/>
  <c r="M48" i="13" a="1"/>
  <c r="L28" i="10" a="1"/>
  <c r="L32" i="10" a="1"/>
  <c r="L31" i="10" a="1"/>
  <c r="L32" i="13" a="1"/>
  <c r="L47" i="10" a="1"/>
  <c r="M24" i="10" a="1"/>
  <c r="L38" i="10" a="1"/>
  <c r="M34" i="10" a="1"/>
  <c r="M31" i="10" a="1"/>
  <c r="M39" i="13" a="1"/>
  <c r="L58" i="13" a="1"/>
  <c r="L36" i="10" a="1"/>
  <c r="M48" i="14" a="1"/>
  <c r="M31" i="13" a="1"/>
  <c r="L40" i="14" a="1"/>
  <c r="M39" i="14" a="1"/>
  <c r="L61" i="10" a="1"/>
  <c r="L36" i="13" a="1"/>
  <c r="M54" i="13" a="1"/>
  <c r="L49" i="10" a="1"/>
  <c r="M40" i="14" a="1"/>
  <c r="L57" i="13" a="1"/>
  <c r="M61" i="10" a="1"/>
  <c r="M50" i="14" a="1"/>
  <c r="M49" i="13" a="1"/>
  <c r="L28" i="14" a="1"/>
  <c r="L42" i="10" a="1"/>
  <c r="M54" i="10" a="1"/>
  <c r="L34" i="10" a="1"/>
  <c r="L48" i="13" a="1"/>
  <c r="M38" i="10" a="1"/>
  <c r="M29" i="14" a="1"/>
  <c r="M55" i="14" a="1"/>
  <c r="M46" i="13" a="1"/>
  <c r="L30" i="14" a="1"/>
  <c r="L27" i="14" a="1"/>
  <c r="M51" i="13" a="1"/>
  <c r="M34" i="13" a="1"/>
  <c r="M59" i="10" a="1"/>
  <c r="L30" i="13" a="1"/>
  <c r="L39" i="14" a="1"/>
  <c r="M49" i="10" a="1"/>
  <c r="L54" i="13" a="1"/>
  <c r="M38" i="14" a="1"/>
  <c r="L26" i="14" a="1"/>
  <c r="M42" i="10" a="1"/>
  <c r="L51" i="14" a="1"/>
  <c r="L36" i="14" a="1"/>
  <c r="L53" i="10" a="1"/>
  <c r="L64" i="10" a="1"/>
  <c r="M36" i="14" a="1"/>
  <c r="M57" i="10" a="1"/>
  <c r="M29" i="10" a="1"/>
  <c r="M36" i="13" a="1"/>
  <c r="L41" i="10" a="1"/>
  <c r="M42" i="13" a="1"/>
  <c r="M43" i="14" a="1"/>
  <c r="L46" i="14" a="1"/>
  <c r="L54" i="14" a="1"/>
  <c r="M32" i="14" a="1"/>
  <c r="L63" i="10" a="1"/>
  <c r="M44" i="14" a="1"/>
  <c r="L45" i="13" a="1"/>
  <c r="M40" i="10" a="1"/>
  <c r="L56" i="10" a="1"/>
  <c r="M30" i="14" a="1"/>
  <c r="M30" i="10" a="1"/>
  <c r="L55" i="14" a="1"/>
  <c r="L29" i="13" a="1"/>
  <c r="M35" i="10" a="1"/>
  <c r="L39" i="13" a="1"/>
  <c r="L35" i="14" a="1"/>
  <c r="M43" i="13" a="1"/>
  <c r="L45" i="14" a="1"/>
  <c r="M44" i="13" a="1"/>
  <c r="M56" i="13" a="1"/>
  <c r="L50" i="13" a="1"/>
  <c r="M45" i="14" a="1"/>
  <c r="M46" i="10" a="1"/>
  <c r="M58" i="13" a="1"/>
  <c r="L29" i="14" a="1"/>
  <c r="L28" i="13" a="1"/>
  <c r="M65" i="10" a="1"/>
  <c r="L40" i="13" a="1"/>
  <c r="M51" i="10" a="1"/>
  <c r="L50" i="10" a="1"/>
  <c r="M38" i="13" a="1"/>
  <c r="L41" i="13" a="1"/>
  <c r="M46" i="14" a="1"/>
  <c r="L47" i="14" a="1"/>
  <c r="M28" i="10" a="1"/>
  <c r="L62" i="10" a="1"/>
  <c r="L25" i="10" a="1"/>
  <c r="M59" i="13" a="1"/>
  <c r="L52" i="13" a="1"/>
  <c r="L31" i="14" a="1"/>
  <c r="M53" i="10" a="1"/>
  <c r="L59" i="10" a="1"/>
  <c r="L59" i="13" a="1"/>
  <c r="M24" i="13" a="1"/>
  <c r="L44" i="13" a="1"/>
  <c r="L65" i="10" a="1"/>
  <c r="M33" i="13" a="1"/>
  <c r="L55" i="10" a="1"/>
  <c r="L26" i="13" a="1"/>
  <c r="L30" i="10" a="1"/>
  <c r="M44" i="10" a="1"/>
  <c r="L33" i="13" a="1"/>
  <c r="L31" i="13" a="1"/>
  <c r="M41" i="13" a="1"/>
  <c r="M28" i="14" a="1"/>
  <c r="M64" i="10" a="1"/>
  <c r="L29" i="10" a="1"/>
  <c r="M27" i="10" a="1"/>
  <c r="M52" i="10" a="1"/>
  <c r="M25" i="13" a="1"/>
  <c r="M50" i="10" a="1"/>
  <c r="M32" i="13" a="1"/>
  <c r="M50" i="13" a="1"/>
  <c r="M35" i="13" a="1"/>
  <c r="M26" i="14" a="1"/>
  <c r="L54" i="10" a="1"/>
  <c r="L40" i="10" a="1"/>
  <c r="M47" i="10" a="1"/>
  <c r="L25" i="13" a="1"/>
  <c r="M33" i="14" a="1"/>
  <c r="L56" i="13" a="1"/>
  <c r="L35" i="10" a="1"/>
  <c r="L48" i="10" a="1"/>
  <c r="L52" i="14" a="1"/>
  <c r="L51" i="10" a="1"/>
  <c r="L43" i="13" a="1"/>
  <c r="M52" i="14" a="1"/>
  <c r="L33" i="14" a="1"/>
  <c r="M62" i="10" a="1"/>
  <c r="M27" i="13" a="1"/>
  <c r="L47" i="13" a="1"/>
  <c r="L51" i="13" a="1"/>
  <c r="M25" i="14" a="1"/>
  <c r="L44" i="14" a="1"/>
  <c r="L49" i="14" a="1"/>
  <c r="L26" i="10" a="1"/>
  <c r="L53" i="13" a="1"/>
  <c r="L27" i="13" a="1"/>
  <c r="M41" i="10" a="1"/>
  <c r="L42" i="14" a="1"/>
  <c r="M40" i="13" a="1"/>
  <c r="L43" i="14" a="1"/>
  <c r="M63" i="10" a="1"/>
  <c r="M52" i="13" a="1"/>
  <c r="L34" i="14" a="1"/>
  <c r="L41" i="14" a="1"/>
  <c r="M29" i="13" a="1"/>
  <c r="M32" i="10" a="1"/>
  <c r="L24" i="14" a="1"/>
  <c r="L49" i="13" a="1"/>
  <c r="M30" i="13" a="1"/>
  <c r="M49" i="14" a="1"/>
  <c r="M54" i="14" a="1"/>
  <c r="L34" i="13" a="1"/>
  <c r="L32" i="14" a="1"/>
  <c r="M51" i="14" a="1"/>
  <c r="L38" i="13" a="1"/>
  <c r="L45" i="10" a="1"/>
  <c r="M26" i="10" a="1"/>
  <c r="M42" i="14" a="1"/>
  <c r="L39" i="10" a="1"/>
  <c r="L38" i="14" a="1"/>
  <c r="M45" i="13" a="1"/>
  <c r="L25" i="14" a="1"/>
  <c r="M43" i="10" a="1"/>
  <c r="L48" i="14" a="1"/>
  <c r="M31" i="14" a="1"/>
  <c r="M60" i="10" a="1"/>
  <c r="M35" i="14" a="1"/>
  <c r="L42" i="13" a="1"/>
  <c r="W37" i="22" l="1"/>
  <c r="X37" i="22" s="1"/>
  <c r="Z37" i="22" s="1"/>
  <c r="D39" i="22"/>
  <c r="H38" i="22"/>
  <c r="J38" i="22" s="1"/>
  <c r="Q38" i="22"/>
  <c r="T38" i="22" s="1"/>
  <c r="U38" i="22" s="1"/>
  <c r="W39" i="5"/>
  <c r="X39" i="5" s="1"/>
  <c r="Z39" i="5" s="1"/>
  <c r="M52" i="10"/>
  <c r="L31" i="13"/>
  <c r="M40" i="14"/>
  <c r="L64" i="10"/>
  <c r="M31" i="13"/>
  <c r="L58" i="13"/>
  <c r="L31" i="14"/>
  <c r="L25" i="10"/>
  <c r="M48" i="13"/>
  <c r="L41" i="14"/>
  <c r="L26" i="10"/>
  <c r="L43" i="13"/>
  <c r="L47" i="14"/>
  <c r="L27" i="10"/>
  <c r="M65" i="10"/>
  <c r="M43" i="13"/>
  <c r="M47" i="14"/>
  <c r="M33" i="10"/>
  <c r="L54" i="10"/>
  <c r="M32" i="14"/>
  <c r="M54" i="10"/>
  <c r="M49" i="13"/>
  <c r="L48" i="14"/>
  <c r="L55" i="10"/>
  <c r="L44" i="13"/>
  <c r="M42" i="14"/>
  <c r="M24" i="10"/>
  <c r="Z24" i="10" s="1"/>
  <c r="L31" i="10"/>
  <c r="L34" i="13"/>
  <c r="L34" i="14"/>
  <c r="L49" i="14"/>
  <c r="L51" i="10"/>
  <c r="M34" i="13"/>
  <c r="L33" i="10"/>
  <c r="L28" i="13"/>
  <c r="L35" i="14"/>
  <c r="L50" i="14"/>
  <c r="M28" i="13"/>
  <c r="L45" i="13"/>
  <c r="M35" i="14"/>
  <c r="M43" i="14"/>
  <c r="M50" i="14"/>
  <c r="M57" i="10"/>
  <c r="M45" i="13"/>
  <c r="L51" i="14"/>
  <c r="L59" i="10"/>
  <c r="L52" i="13"/>
  <c r="M51" i="14"/>
  <c r="M59" i="10"/>
  <c r="M52" i="13"/>
  <c r="L44" i="14"/>
  <c r="L52" i="14"/>
  <c r="L60" i="10"/>
  <c r="M38" i="13"/>
  <c r="L29" i="14"/>
  <c r="L39" i="13"/>
  <c r="M46" i="13"/>
  <c r="M53" i="13"/>
  <c r="M29" i="14"/>
  <c r="L54" i="14"/>
  <c r="M27" i="10"/>
  <c r="L41" i="10"/>
  <c r="L49" i="10"/>
  <c r="L61" i="10"/>
  <c r="M24" i="13"/>
  <c r="M39" i="13"/>
  <c r="L54" i="13"/>
  <c r="L39" i="14"/>
  <c r="M54" i="14"/>
  <c r="M63" i="10"/>
  <c r="M25" i="14"/>
  <c r="L48" i="10"/>
  <c r="Z48" i="10" s="1"/>
  <c r="M46" i="14"/>
  <c r="M36" i="10"/>
  <c r="M58" i="13"/>
  <c r="M35" i="10"/>
  <c r="M26" i="13"/>
  <c r="M41" i="14"/>
  <c r="M26" i="14"/>
  <c r="M32" i="13"/>
  <c r="L29" i="10"/>
  <c r="L33" i="13"/>
  <c r="L30" i="10"/>
  <c r="M33" i="13"/>
  <c r="M48" i="14"/>
  <c r="M31" i="10"/>
  <c r="L47" i="10"/>
  <c r="AA47" i="10" s="1"/>
  <c r="L32" i="10"/>
  <c r="M49" i="14"/>
  <c r="L43" i="14"/>
  <c r="L51" i="13"/>
  <c r="L35" i="10"/>
  <c r="M51" i="13"/>
  <c r="L50" i="10"/>
  <c r="M46" i="10"/>
  <c r="L29" i="13"/>
  <c r="L46" i="10"/>
  <c r="AA46" i="10" s="1"/>
  <c r="L46" i="13"/>
  <c r="M44" i="14"/>
  <c r="M60" i="10"/>
  <c r="L42" i="10"/>
  <c r="M61" i="10"/>
  <c r="M54" i="13"/>
  <c r="M39" i="14"/>
  <c r="M42" i="10"/>
  <c r="M26" i="10"/>
  <c r="L45" i="10"/>
  <c r="L62" i="10"/>
  <c r="M30" i="13"/>
  <c r="M40" i="13"/>
  <c r="L47" i="13"/>
  <c r="L56" i="13"/>
  <c r="M24" i="14"/>
  <c r="L30" i="14"/>
  <c r="M45" i="14"/>
  <c r="L55" i="14"/>
  <c r="M48" i="10"/>
  <c r="M57" i="13"/>
  <c r="M38" i="10"/>
  <c r="L48" i="13"/>
  <c r="M64" i="10"/>
  <c r="M31" i="14"/>
  <c r="L53" i="10"/>
  <c r="L59" i="13"/>
  <c r="M34" i="10"/>
  <c r="L32" i="13"/>
  <c r="L32" i="14"/>
  <c r="L49" i="13"/>
  <c r="L42" i="14"/>
  <c r="M27" i="13"/>
  <c r="M33" i="14"/>
  <c r="M55" i="10"/>
  <c r="M27" i="14"/>
  <c r="L50" i="13"/>
  <c r="M30" i="10"/>
  <c r="L35" i="13"/>
  <c r="L57" i="10"/>
  <c r="M35" i="13"/>
  <c r="M50" i="10"/>
  <c r="M28" i="14"/>
  <c r="M36" i="13"/>
  <c r="M36" i="14"/>
  <c r="L38" i="14"/>
  <c r="L39" i="10"/>
  <c r="M38" i="14"/>
  <c r="M49" i="10"/>
  <c r="L30" i="13"/>
  <c r="L24" i="14"/>
  <c r="M41" i="10"/>
  <c r="M62" i="10"/>
  <c r="L25" i="13"/>
  <c r="L41" i="13"/>
  <c r="M47" i="13"/>
  <c r="M56" i="13"/>
  <c r="M30" i="14"/>
  <c r="M55" i="14"/>
  <c r="M39" i="10"/>
  <c r="L42" i="13"/>
  <c r="L46" i="14"/>
  <c r="M42" i="13"/>
  <c r="L26" i="13"/>
  <c r="L65" i="10"/>
  <c r="L26" i="14"/>
  <c r="M53" i="10"/>
  <c r="M59" i="13"/>
  <c r="L28" i="10"/>
  <c r="M32" i="10"/>
  <c r="L27" i="13"/>
  <c r="L33" i="14"/>
  <c r="M47" i="10"/>
  <c r="L27" i="14"/>
  <c r="M51" i="10"/>
  <c r="M44" i="13"/>
  <c r="L56" i="10"/>
  <c r="M34" i="14"/>
  <c r="M56" i="10"/>
  <c r="M50" i="13"/>
  <c r="L34" i="10"/>
  <c r="L28" i="14"/>
  <c r="M29" i="10"/>
  <c r="L36" i="13"/>
  <c r="L36" i="14"/>
  <c r="L36" i="10"/>
  <c r="L38" i="10"/>
  <c r="L38" i="13"/>
  <c r="M28" i="10"/>
  <c r="M29" i="13"/>
  <c r="L53" i="13"/>
  <c r="M52" i="14"/>
  <c r="L40" i="10"/>
  <c r="M45" i="10"/>
  <c r="L40" i="13"/>
  <c r="L45" i="14"/>
  <c r="M40" i="10"/>
  <c r="M25" i="10"/>
  <c r="L52" i="10"/>
  <c r="L63" i="10"/>
  <c r="M25" i="13"/>
  <c r="M41" i="13"/>
  <c r="L57" i="13"/>
  <c r="L25" i="14"/>
  <c r="L40" i="14"/>
  <c r="W39" i="21"/>
  <c r="X39" i="21" s="1"/>
  <c r="Z39" i="21" s="1"/>
  <c r="T40" i="21"/>
  <c r="U40" i="21" s="1"/>
  <c r="D41" i="21"/>
  <c r="H40" i="21"/>
  <c r="J40" i="21" s="1"/>
  <c r="D40" i="12"/>
  <c r="Q39" i="12"/>
  <c r="T39" i="12" s="1"/>
  <c r="U39" i="12" s="1"/>
  <c r="H39" i="12"/>
  <c r="J39" i="12" s="1"/>
  <c r="W38" i="12"/>
  <c r="X38" i="12" s="1"/>
  <c r="Z38" i="12" s="1"/>
  <c r="Q40" i="15"/>
  <c r="T40" i="15" s="1"/>
  <c r="U40" i="15" s="1"/>
  <c r="H40" i="15"/>
  <c r="J40" i="15" s="1"/>
  <c r="D41" i="15"/>
  <c r="W39" i="15"/>
  <c r="X39" i="15" s="1"/>
  <c r="Z39" i="15" s="1"/>
  <c r="W40" i="11"/>
  <c r="X40" i="11" s="1"/>
  <c r="Z40" i="11" s="1"/>
  <c r="Q40" i="5"/>
  <c r="T40" i="5" s="1"/>
  <c r="U40" i="5" s="1"/>
  <c r="D41" i="5"/>
  <c r="H40" i="5"/>
  <c r="J40" i="5" s="1"/>
  <c r="X26" i="16"/>
  <c r="Z26" i="16" s="1"/>
  <c r="Z23" i="16"/>
  <c r="W24" i="16"/>
  <c r="X24" i="16" s="1"/>
  <c r="Z24" i="16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M43" i="10"/>
  <c r="M44" i="10"/>
  <c r="F16" i="10"/>
  <c r="F14" i="10"/>
  <c r="I24" i="10"/>
  <c r="K24" i="10" s="1"/>
  <c r="L43" i="10" a="1"/>
  <c r="L44" i="10" a="1"/>
  <c r="W38" i="22" l="1"/>
  <c r="X38" i="22" s="1"/>
  <c r="Z38" i="22" s="1"/>
  <c r="Q39" i="22"/>
  <c r="T39" i="22" s="1"/>
  <c r="U39" i="22" s="1"/>
  <c r="H39" i="22"/>
  <c r="J39" i="22" s="1"/>
  <c r="D40" i="22"/>
  <c r="W40" i="21"/>
  <c r="X40" i="21" s="1"/>
  <c r="Z40" i="21" s="1"/>
  <c r="Z46" i="10"/>
  <c r="AA48" i="10"/>
  <c r="Z30" i="14"/>
  <c r="Z47" i="10"/>
  <c r="W39" i="12"/>
  <c r="X39" i="12" s="1"/>
  <c r="Z39" i="12" s="1"/>
  <c r="T41" i="21"/>
  <c r="U41" i="21" s="1"/>
  <c r="H41" i="21"/>
  <c r="J41" i="21" s="1"/>
  <c r="D42" i="21"/>
  <c r="Q40" i="12"/>
  <c r="T40" i="12" s="1"/>
  <c r="U40" i="12" s="1"/>
  <c r="H40" i="12"/>
  <c r="J40" i="12" s="1"/>
  <c r="H41" i="15"/>
  <c r="J41" i="15" s="1"/>
  <c r="Q41" i="15"/>
  <c r="T41" i="15" s="1"/>
  <c r="U41" i="15" s="1"/>
  <c r="W40" i="15"/>
  <c r="X40" i="15" s="1"/>
  <c r="Z40" i="15" s="1"/>
  <c r="H41" i="11"/>
  <c r="J41" i="11" s="1"/>
  <c r="D42" i="11"/>
  <c r="Q41" i="11"/>
  <c r="T41" i="11" s="1"/>
  <c r="U41" i="11" s="1"/>
  <c r="W40" i="5"/>
  <c r="X40" i="5" s="1"/>
  <c r="Z40" i="5" s="1"/>
  <c r="D42" i="5"/>
  <c r="Q41" i="5"/>
  <c r="T41" i="5" s="1"/>
  <c r="U41" i="5" s="1"/>
  <c r="H41" i="5"/>
  <c r="J41" i="5" s="1"/>
  <c r="U48" i="14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L44" i="10"/>
  <c r="L43" i="10"/>
  <c r="AG17" i="5"/>
  <c r="AD17" i="5"/>
  <c r="W39" i="22" l="1"/>
  <c r="X39" i="22" s="1"/>
  <c r="Z39" i="22" s="1"/>
  <c r="Q40" i="22"/>
  <c r="T40" i="22" s="1"/>
  <c r="U40" i="22" s="1"/>
  <c r="H40" i="22"/>
  <c r="J40" i="22" s="1"/>
  <c r="D41" i="22"/>
  <c r="H42" i="21"/>
  <c r="J42" i="21" s="1"/>
  <c r="T42" i="21"/>
  <c r="U42" i="21" s="1"/>
  <c r="D43" i="21"/>
  <c r="W41" i="21"/>
  <c r="X41" i="21" s="1"/>
  <c r="Z41" i="21" s="1"/>
  <c r="W40" i="12"/>
  <c r="X40" i="12" s="1"/>
  <c r="Z40" i="12" s="1"/>
  <c r="Q41" i="12"/>
  <c r="T41" i="12" s="1"/>
  <c r="U41" i="12" s="1"/>
  <c r="H41" i="12"/>
  <c r="J41" i="12" s="1"/>
  <c r="H42" i="15"/>
  <c r="J42" i="15" s="1"/>
  <c r="Q42" i="15"/>
  <c r="T42" i="15" s="1"/>
  <c r="U42" i="15" s="1"/>
  <c r="W41" i="15"/>
  <c r="X41" i="15" s="1"/>
  <c r="Z41" i="15" s="1"/>
  <c r="W41" i="11"/>
  <c r="X41" i="11" s="1"/>
  <c r="Z41" i="11" s="1"/>
  <c r="D43" i="11"/>
  <c r="Q42" i="11"/>
  <c r="T42" i="11" s="1"/>
  <c r="U42" i="11" s="1"/>
  <c r="H42" i="11"/>
  <c r="J42" i="11" s="1"/>
  <c r="W41" i="5"/>
  <c r="X41" i="5" s="1"/>
  <c r="Z41" i="5" s="1"/>
  <c r="D43" i="5"/>
  <c r="H42" i="5"/>
  <c r="J42" i="5" s="1"/>
  <c r="Q42" i="5"/>
  <c r="T42" i="5" s="1"/>
  <c r="U42" i="5" s="1"/>
  <c r="Z53" i="10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AA24" i="10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W40" i="22" l="1"/>
  <c r="X40" i="22" s="1"/>
  <c r="Z40" i="22" s="1"/>
  <c r="Q41" i="22"/>
  <c r="T41" i="22" s="1"/>
  <c r="U41" i="22" s="1"/>
  <c r="H41" i="22"/>
  <c r="J41" i="22" s="1"/>
  <c r="W42" i="11"/>
  <c r="X42" i="11" s="1"/>
  <c r="Z42" i="11" s="1"/>
  <c r="W41" i="12"/>
  <c r="X41" i="12" s="1"/>
  <c r="Z41" i="12" s="1"/>
  <c r="T43" i="21"/>
  <c r="U43" i="21" s="1"/>
  <c r="J43" i="21"/>
  <c r="W42" i="21"/>
  <c r="X42" i="21" s="1"/>
  <c r="Z42" i="21" s="1"/>
  <c r="H42" i="12"/>
  <c r="J42" i="12" s="1"/>
  <c r="Q42" i="12"/>
  <c r="T42" i="12" s="1"/>
  <c r="U42" i="12" s="1"/>
  <c r="H43" i="15"/>
  <c r="J43" i="15" s="1"/>
  <c r="Q43" i="15"/>
  <c r="T43" i="15" s="1"/>
  <c r="U43" i="15" s="1"/>
  <c r="W42" i="15"/>
  <c r="X42" i="15" s="1"/>
  <c r="Z42" i="15" s="1"/>
  <c r="D44" i="11"/>
  <c r="H43" i="11"/>
  <c r="J43" i="11" s="1"/>
  <c r="Q43" i="11"/>
  <c r="T43" i="11" s="1"/>
  <c r="U43" i="11" s="1"/>
  <c r="W42" i="5"/>
  <c r="X42" i="5" s="1"/>
  <c r="Z42" i="5" s="1"/>
  <c r="D44" i="5"/>
  <c r="Q43" i="5"/>
  <c r="T43" i="5" s="1"/>
  <c r="U43" i="5" s="1"/>
  <c r="H43" i="5"/>
  <c r="J43" i="5" s="1"/>
  <c r="Z49" i="14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41" i="22" l="1"/>
  <c r="X41" i="22" s="1"/>
  <c r="Z41" i="22" s="1"/>
  <c r="W43" i="15"/>
  <c r="X43" i="15" s="1"/>
  <c r="Z43" i="15" s="1"/>
  <c r="W43" i="21"/>
  <c r="X43" i="21" s="1"/>
  <c r="Z43" i="21" s="1"/>
  <c r="Q43" i="12"/>
  <c r="T43" i="12" s="1"/>
  <c r="U43" i="12" s="1"/>
  <c r="H43" i="12"/>
  <c r="J43" i="12" s="1"/>
  <c r="W42" i="12"/>
  <c r="X42" i="12" s="1"/>
  <c r="Z42" i="12" s="1"/>
  <c r="Q44" i="15"/>
  <c r="T44" i="15" s="1"/>
  <c r="U44" i="15" s="1"/>
  <c r="H44" i="15"/>
  <c r="J44" i="15" s="1"/>
  <c r="W43" i="11"/>
  <c r="X43" i="11" s="1"/>
  <c r="Z43" i="11" s="1"/>
  <c r="Q44" i="11"/>
  <c r="T44" i="11" s="1"/>
  <c r="U44" i="11" s="1"/>
  <c r="H44" i="11"/>
  <c r="J44" i="11" s="1"/>
  <c r="D45" i="11"/>
  <c r="W43" i="5"/>
  <c r="X43" i="5" s="1"/>
  <c r="Z43" i="5" s="1"/>
  <c r="D45" i="5"/>
  <c r="H44" i="5"/>
  <c r="J44" i="5" s="1"/>
  <c r="Q44" i="5"/>
  <c r="T44" i="5" s="1"/>
  <c r="U44" i="5" s="1"/>
  <c r="U51" i="14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W44" i="11" l="1"/>
  <c r="X44" i="11" s="1"/>
  <c r="Z44" i="11" s="1"/>
  <c r="W43" i="12"/>
  <c r="X43" i="12" s="1"/>
  <c r="Z43" i="12" s="1"/>
  <c r="W44" i="15"/>
  <c r="X44" i="15" s="1"/>
  <c r="Z44" i="15" s="1"/>
  <c r="Q45" i="15"/>
  <c r="T45" i="15" s="1"/>
  <c r="U45" i="15" s="1"/>
  <c r="H45" i="15"/>
  <c r="J45" i="15" s="1"/>
  <c r="D46" i="11"/>
  <c r="H45" i="11"/>
  <c r="J45" i="11" s="1"/>
  <c r="Q45" i="11"/>
  <c r="T45" i="11" s="1"/>
  <c r="U45" i="11" s="1"/>
  <c r="W44" i="5"/>
  <c r="X44" i="5" s="1"/>
  <c r="Z44" i="5" s="1"/>
  <c r="Q45" i="5"/>
  <c r="T45" i="5" s="1"/>
  <c r="U45" i="5" s="1"/>
  <c r="H45" i="5"/>
  <c r="J45" i="5" s="1"/>
  <c r="D46" i="5"/>
  <c r="Z51" i="14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W45" i="15" l="1"/>
  <c r="X45" i="15" s="1"/>
  <c r="Z45" i="15" s="1"/>
  <c r="W45" i="5"/>
  <c r="X45" i="5" s="1"/>
  <c r="Z45" i="5" s="1"/>
  <c r="H46" i="11"/>
  <c r="J46" i="11" s="1"/>
  <c r="Q46" i="11"/>
  <c r="T46" i="11" s="1"/>
  <c r="U46" i="11" s="1"/>
  <c r="W45" i="11"/>
  <c r="X45" i="11" s="1"/>
  <c r="Z45" i="11" s="1"/>
  <c r="D47" i="5"/>
  <c r="Q46" i="5"/>
  <c r="T46" i="5" s="1"/>
  <c r="U46" i="5" s="1"/>
  <c r="H46" i="5"/>
  <c r="J46" i="5" s="1"/>
  <c r="I54" i="14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W46" i="11" l="1"/>
  <c r="X46" i="11" s="1"/>
  <c r="Z46" i="11" s="1"/>
  <c r="W46" i="5"/>
  <c r="X46" i="5" s="1"/>
  <c r="Z46" i="5" s="1"/>
  <c r="Q47" i="5"/>
  <c r="T47" i="5" s="1"/>
  <c r="U47" i="5" s="1"/>
  <c r="H47" i="5"/>
  <c r="J47" i="5" s="1"/>
  <c r="D48" i="5"/>
  <c r="U54" i="14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W47" i="5" l="1"/>
  <c r="X47" i="5" s="1"/>
  <c r="Z47" i="5" s="1"/>
  <c r="Q48" i="5"/>
  <c r="T48" i="5" s="1"/>
  <c r="U48" i="5" s="1"/>
  <c r="H48" i="5"/>
  <c r="J48" i="5" s="1"/>
  <c r="W48" i="5" s="1"/>
  <c r="X48" i="5" s="1"/>
  <c r="Z48" i="5" s="1"/>
  <c r="Z54" i="14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I59" i="13" l="1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F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F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F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F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F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tc={3C3EAB5E-07BA-41AD-88C4-9E46695B23AB}</author>
    <author>wjeong</author>
  </authors>
  <commentList>
    <comment ref="F21" authorId="0" shapeId="0" xr:uid="{3C3EAB5E-07BA-41AD-88C4-9E46695B23A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19984729-AB59-4215-B8FD-FD695F382C29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tc={0A97B74B-1779-4A97-96C6-E3A4C61487FF}</author>
    <author>wjeong</author>
  </authors>
  <commentList>
    <comment ref="F21" authorId="0" shapeId="0" xr:uid="{0A97B74B-1779-4A97-96C6-E3A4C61487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B2EBFBF9-F10D-4F79-B534-05AF935B25B4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<sst xmlns="http://schemas.openxmlformats.org/spreadsheetml/2006/main" count="1825" uniqueCount="312">
  <si>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</si>
  <si>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</si>
  <si>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</si>
  <si>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</si>
  <si>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</si>
  <si>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</si>
  <si>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</si>
  <si>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</si>
  <si>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</si>
  <si>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</si>
  <si>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</si>
  <si>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</si>
  <si>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</si>
  <si>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</si>
  <si>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</si>
  <si>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</si>
  <si>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</si>
  <si>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</si>
  <si>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</si>
  <si>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</si>
  <si>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</si>
  <si>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</si>
  <si>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</si>
  <si>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</si>
  <si>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</si>
  <si>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</si>
  <si>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</si>
  <si>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</si>
  <si>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</si>
  <si>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</si>
  <si>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</si>
  <si>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</si>
  <si>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</si>
  <si>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</si>
  <si>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</si>
  <si>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</si>
  <si>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</si>
  <si>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</si>
  <si>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</si>
  <si>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</si>
  <si>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</si>
  <si>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</si>
  <si>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</si>
  <si>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</si>
  <si>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</si>
  <si>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</si>
  <si>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</si>
  <si>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</si>
  <si>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</si>
  <si>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</si>
  <si>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</si>
  <si>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</si>
  <si>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</si>
  <si>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</si>
  <si>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</si>
  <si>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</si>
  <si>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</si>
  <si>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</si>
  <si>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</si>
  <si>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</si>
  <si>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</si>
  <si>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</si>
  <si>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</si>
  <si>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</si>
  <si>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</si>
  <si>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</si>
  <si>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</si>
  <si>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</si>
  <si>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</si>
  <si>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</si>
  <si>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</si>
  <si>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</si>
  <si>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</si>
  <si>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</si>
  <si>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</si>
  <si>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</si>
  <si>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</si>
  <si>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</si>
  <si>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</si>
  <si>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</si>
  <si>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</si>
  <si>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</si>
  <si>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</si>
  <si>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</si>
  <si>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</si>
  <si>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</si>
  <si>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</si>
  <si>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</si>
  <si>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</si>
  <si>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</si>
  <si>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tank height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</si>
  <si>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</si>
  <si>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</si>
  <si>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</si>
  <si>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</si>
  <si>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</si>
  <si>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</si>
  <si>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</si>
  <si>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</si>
  <si>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</si>
  <si>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</si>
  <si>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</si>
  <si>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 xml:space="preserve">zb </t>
    <phoneticPr fontId="6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</si>
  <si>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</si>
  <si>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</si>
  <si>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</si>
  <si>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</si>
  <si>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</si>
  <si>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</si>
  <si>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</si>
  <si>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</si>
  <si>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</si>
  <si>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</si>
  <si>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</si>
  <si>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</si>
  <si>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</si>
  <si>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</si>
  <si>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</si>
  <si>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</si>
  <si>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</si>
  <si>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</si>
  <si>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</si>
  <si>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</si>
  <si>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</si>
  <si>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</si>
  <si>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</si>
  <si>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</si>
  <si>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</si>
  <si>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</si>
  <si>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</si>
  <si>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</si>
  <si>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</si>
  <si>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</si>
  <si>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</si>
  <si>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</si>
  <si>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</si>
  <si>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</si>
  <si>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</si>
  <si>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</si>
  <si>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</si>
  <si>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</si>
  <si>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</si>
  <si>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</si>
  <si>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</si>
  <si>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</si>
  <si>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</si>
  <si>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</si>
  <si>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</si>
  <si>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</si>
  <si>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</si>
  <si>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</si>
  <si>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</si>
  <si>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</si>
  <si>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</si>
  <si>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</si>
  <si>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</si>
  <si>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</si>
  <si>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</si>
  <si>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</si>
  <si>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</si>
  <si>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</si>
  <si>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</si>
  <si>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</si>
  <si>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</si>
  <si>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</si>
  <si>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</si>
  <si>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</si>
  <si>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</si>
  <si>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</si>
  <si>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</si>
  <si>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</si>
  <si>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</si>
  <si>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</si>
  <si>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</si>
  <si>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</si>
  <si>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</si>
  <si>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</si>
  <si>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</si>
  <si>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</si>
  <si>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</si>
  <si>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t>Tank height</t>
    <phoneticPr fontId="6" type="noConversion"/>
  </si>
  <si>
    <t xml:space="preserve"> h =</t>
    <phoneticPr fontId="5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</si>
  <si>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</si>
  <si>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</si>
  <si>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</si>
  <si>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</si>
  <si>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</si>
  <si>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</si>
  <si>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</si>
  <si>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</si>
  <si>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</si>
  <si>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</si>
  <si>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</si>
  <si>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</si>
  <si>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</si>
  <si>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</si>
  <si>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</si>
  <si>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</si>
  <si>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BTM01</t>
    <phoneticPr fontId="5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</si>
  <si>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</si>
  <si>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</si>
  <si>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</si>
  <si>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</si>
  <si>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</si>
  <si>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</si>
  <si>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</si>
  <si>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5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</si>
  <si>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</si>
  <si>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</si>
  <si>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</si>
  <si>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</si>
  <si>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</si>
  <si>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</si>
  <si>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</si>
  <si>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5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</si>
  <si>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</si>
  <si>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</si>
  <si>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</si>
  <si>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</si>
  <si>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</si>
  <si>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</si>
  <si>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</si>
  <si>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</si>
  <si>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5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</si>
  <si>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</si>
  <si>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</si>
  <si>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</si>
  <si>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</si>
  <si>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</si>
  <si>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</si>
  <si>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</si>
  <si>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5" type="noConversion"/>
  </si>
  <si>
    <t>400x100X13/18 IA</t>
  </si>
  <si>
    <t>LBD02</t>
    <phoneticPr fontId="5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</si>
  <si>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</si>
  <si>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</si>
  <si>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</si>
  <si>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</si>
  <si>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</si>
  <si>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</si>
  <si>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</si>
  <si>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</si>
  <si>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</si>
  <si>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5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</si>
  <si>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</si>
  <si>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</si>
  <si>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</si>
  <si>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</si>
  <si>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</si>
  <si>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</si>
  <si>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</si>
  <si>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</si>
  <si>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</si>
  <si>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</si>
  <si>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</si>
  <si>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</si>
  <si>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</si>
  <si>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</si>
  <si>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</si>
  <si>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</si>
  <si>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</si>
  <si>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</si>
  <si>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</si>
  <si>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</si>
  <si>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</si>
  <si>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</si>
  <si>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</si>
  <si>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</si>
  <si>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</si>
  <si>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</si>
  <si>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</si>
  <si>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</si>
  <si>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</si>
  <si>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</si>
  <si>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</si>
  <si>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</si>
  <si>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</si>
  <si>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</si>
  <si>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</si>
  <si>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</si>
  <si>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</si>
  <si>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</si>
  <si>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</si>
  <si>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</si>
  <si>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</si>
  <si>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</si>
  <si>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</si>
  <si>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</si>
  <si>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</si>
  <si>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</si>
  <si>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</si>
  <si>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</si>
  <si>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</si>
  <si>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</si>
  <si>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</si>
  <si>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</si>
  <si>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</si>
  <si>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</si>
  <si>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</si>
  <si>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</si>
  <si>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</si>
  <si>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</si>
  <si>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</si>
  <si>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</si>
  <si>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</si>
  <si>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</si>
  <si>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</si>
  <si>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</si>
  <si>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</si>
  <si>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400x100X13/18 IA</t>
    <phoneticPr fontId="5" type="noConversion"/>
  </si>
  <si>
    <t>y</t>
    <phoneticPr fontId="5" type="noConversion"/>
  </si>
  <si>
    <t>2. z is vertical distance in m, from base line to load point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</si>
</sst>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00"/>
    <numFmt numFmtId="177" formatCode="0.0"/>
    <numFmt numFmtId="178" formatCode="0.0%"/>
    <numFmt numFmtId="179" formatCode="0_);[Red]\(0\)"/>
    <numFmt numFmtId="180" formatCode="0_ "/>
    <numFmt numFmtId="181" formatCode="0.000_);[Red]\(0.000\)"/>
    <numFmt numFmtId="182" formatCode="#,##0_);[Red]\(#,##0\)"/>
    <numFmt numFmtId="183" formatCode="_-* #,##0.000_-;\-* #,##0.000_-;_-* &quot;-&quot;_-;_-@_-"/>
  </numFmts>
  <fonts count="4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FF0000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3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8" fillId="3" borderId="2" xfId="1" applyFont="1" applyFill="1" applyBorder="1" applyAlignment="1">
      <alignment horizontal="center" vertical="center"/>
    </xf>
    <xf numFmtId="1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176" fontId="9" fillId="3" borderId="2" xfId="1" applyNumberFormat="1" applyFont="1" applyFill="1" applyBorder="1" applyAlignment="1">
      <alignment horizontal="center" vertical="center"/>
    </xf>
    <xf numFmtId="177" fontId="9" fillId="3" borderId="2" xfId="1" applyNumberFormat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176" fontId="8" fillId="0" borderId="0" xfId="1" applyNumberFormat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1" fontId="8" fillId="4" borderId="2" xfId="1" applyNumberFormat="1" applyFont="1" applyFill="1" applyBorder="1" applyAlignment="1">
      <alignment horizontal="center" vertical="center"/>
    </xf>
    <xf numFmtId="176" fontId="9" fillId="4" borderId="2" xfId="1" applyNumberFormat="1" applyFont="1" applyFill="1" applyBorder="1" applyAlignment="1">
      <alignment horizontal="center" vertical="center"/>
    </xf>
    <xf numFmtId="177" fontId="9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179" fontId="8" fillId="0" borderId="0" xfId="1" applyNumberFormat="1" applyFont="1">
      <alignment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center" vertical="center"/>
    </xf>
    <xf numFmtId="0" fontId="8" fillId="7" borderId="2" xfId="1" applyFont="1" applyFill="1" applyBorder="1">
      <alignment vertical="center"/>
    </xf>
    <xf numFmtId="176" fontId="8" fillId="7" borderId="2" xfId="1" applyNumberFormat="1" applyFont="1" applyFill="1" applyBorder="1" applyAlignment="1">
      <alignment horizontal="center" vertical="center"/>
    </xf>
    <xf numFmtId="177" fontId="8" fillId="7" borderId="2" xfId="1" applyNumberFormat="1" applyFont="1" applyFill="1" applyBorder="1" applyAlignment="1">
      <alignment horizontal="center" vertical="center"/>
    </xf>
    <xf numFmtId="1" fontId="8" fillId="7" borderId="2" xfId="1" applyNumberFormat="1" applyFont="1" applyFill="1" applyBorder="1" applyAlignment="1">
      <alignment horizontal="center" vertical="center"/>
    </xf>
    <xf numFmtId="177" fontId="21" fillId="7" borderId="2" xfId="0" applyNumberFormat="1" applyFont="1" applyFill="1" applyBorder="1" applyAlignment="1">
      <alignment horizontal="right" vertical="center" wrapText="1"/>
    </xf>
    <xf numFmtId="0" fontId="22" fillId="7" borderId="2" xfId="1" applyFont="1" applyFill="1" applyBorder="1" applyAlignment="1">
      <alignment horizontal="center" vertical="center"/>
    </xf>
    <xf numFmtId="178" fontId="8" fillId="7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left" vertical="center"/>
    </xf>
    <xf numFmtId="0" fontId="8" fillId="8" borderId="2" xfId="1" applyFont="1" applyFill="1" applyBorder="1" applyAlignment="1">
      <alignment horizontal="center" vertical="center"/>
    </xf>
    <xf numFmtId="0" fontId="8" fillId="8" borderId="2" xfId="1" applyFont="1" applyFill="1" applyBorder="1">
      <alignment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7" fontId="21" fillId="8" borderId="2" xfId="0" applyNumberFormat="1" applyFont="1" applyFill="1" applyBorder="1" applyAlignment="1">
      <alignment horizontal="right" vertical="center" wrapText="1"/>
    </xf>
    <xf numFmtId="0" fontId="22" fillId="8" borderId="2" xfId="1" applyFont="1" applyFill="1" applyBorder="1" applyAlignment="1">
      <alignment horizontal="center" vertical="center"/>
    </xf>
    <xf numFmtId="178" fontId="8" fillId="8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9" borderId="2" xfId="1" applyNumberFormat="1" applyFont="1" applyFill="1" applyBorder="1" applyAlignment="1">
      <alignment horizontal="center" vertical="center"/>
    </xf>
    <xf numFmtId="0" fontId="27" fillId="9" borderId="2" xfId="1" applyFont="1" applyFill="1" applyBorder="1" applyAlignment="1">
      <alignment horizontal="center" vertical="center"/>
    </xf>
    <xf numFmtId="2" fontId="27" fillId="9" borderId="2" xfId="1" applyNumberFormat="1" applyFont="1" applyFill="1" applyBorder="1" applyAlignment="1">
      <alignment horizontal="center" vertical="center"/>
    </xf>
    <xf numFmtId="177" fontId="28" fillId="9" borderId="2" xfId="1" applyNumberFormat="1" applyFont="1" applyFill="1" applyBorder="1" applyAlignment="1">
      <alignment horizontal="center" vertical="center"/>
    </xf>
    <xf numFmtId="176" fontId="28" fillId="9" borderId="2" xfId="1" applyNumberFormat="1" applyFont="1" applyFill="1" applyBorder="1" applyAlignment="1">
      <alignment horizontal="center" vertical="center"/>
    </xf>
    <xf numFmtId="2" fontId="9" fillId="9" borderId="2" xfId="1" applyNumberFormat="1" applyFont="1" applyFill="1" applyBorder="1" applyAlignment="1">
      <alignment horizontal="center" vertical="center"/>
    </xf>
    <xf numFmtId="0" fontId="27" fillId="9" borderId="0" xfId="1" applyFont="1" applyFill="1" applyAlignment="1">
      <alignment horizontal="center" vertical="center"/>
    </xf>
    <xf numFmtId="0" fontId="28" fillId="9" borderId="0" xfId="1" applyFont="1" applyFill="1" applyAlignment="1">
      <alignment horizontal="center" vertical="center"/>
    </xf>
    <xf numFmtId="0" fontId="28" fillId="9" borderId="0" xfId="1" applyFont="1" applyFill="1">
      <alignment vertical="center"/>
    </xf>
    <xf numFmtId="0" fontId="28" fillId="9" borderId="2" xfId="1" applyFont="1" applyFill="1" applyBorder="1" applyAlignment="1">
      <alignment horizontal="center" vertical="center"/>
    </xf>
    <xf numFmtId="2" fontId="28" fillId="9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7" borderId="2" xfId="0" applyNumberFormat="1" applyFont="1" applyFill="1" applyBorder="1" applyAlignment="1">
      <alignment horizontal="center" vertical="center" wrapText="1"/>
    </xf>
    <xf numFmtId="177" fontId="35" fillId="8" borderId="2" xfId="0" applyNumberFormat="1" applyFont="1" applyFill="1" applyBorder="1" applyAlignment="1">
      <alignment horizontal="center" vertical="center" wrapText="1"/>
    </xf>
    <xf numFmtId="180" fontId="8" fillId="0" borderId="0" xfId="1" applyNumberFormat="1" applyFont="1">
      <alignment vertical="center"/>
    </xf>
    <xf numFmtId="0" fontId="36" fillId="8" borderId="2" xfId="1" applyFont="1" applyFill="1" applyBorder="1">
      <alignment vertical="center"/>
    </xf>
    <xf numFmtId="177" fontId="37" fillId="3" borderId="2" xfId="1" applyNumberFormat="1" applyFont="1" applyFill="1" applyBorder="1" applyAlignment="1">
      <alignment horizontal="center" vertical="center"/>
    </xf>
    <xf numFmtId="0" fontId="27" fillId="9" borderId="0" xfId="1" applyFont="1" applyFill="1">
      <alignment vertical="center"/>
    </xf>
    <xf numFmtId="0" fontId="27" fillId="9" borderId="0" xfId="1" applyFont="1" applyFill="1" applyAlignment="1">
      <alignment horizontal="right" vertical="center"/>
    </xf>
    <xf numFmtId="0" fontId="33" fillId="9" borderId="0" xfId="1" applyFont="1" applyFill="1" applyAlignment="1">
      <alignment horizontal="right" vertical="center"/>
    </xf>
    <xf numFmtId="0" fontId="28" fillId="9" borderId="0" xfId="1" applyFont="1" applyFill="1" applyAlignment="1">
      <alignment horizontal="right" vertical="center"/>
    </xf>
    <xf numFmtId="0" fontId="38" fillId="9" borderId="0" xfId="1" applyFont="1" applyFill="1">
      <alignment vertical="center"/>
    </xf>
    <xf numFmtId="0" fontId="38" fillId="9" borderId="0" xfId="1" applyFont="1" applyFill="1" applyAlignment="1">
      <alignment horizontal="right" vertical="center"/>
    </xf>
    <xf numFmtId="176" fontId="38" fillId="9" borderId="2" xfId="1" applyNumberFormat="1" applyFont="1" applyFill="1" applyBorder="1" applyAlignment="1">
      <alignment horizontal="center" vertical="center"/>
    </xf>
    <xf numFmtId="0" fontId="38" fillId="9" borderId="0" xfId="1" applyFont="1" applyFill="1" applyAlignment="1">
      <alignment horizontal="center" vertical="center"/>
    </xf>
    <xf numFmtId="177" fontId="37" fillId="6" borderId="2" xfId="1" applyNumberFormat="1" applyFont="1" applyFill="1" applyBorder="1" applyAlignment="1">
      <alignment horizontal="center" vertical="center"/>
    </xf>
    <xf numFmtId="0" fontId="5" fillId="9" borderId="0" xfId="1" applyFont="1" applyFill="1">
      <alignment vertical="center"/>
    </xf>
    <xf numFmtId="0" fontId="5" fillId="9" borderId="0" xfId="1" applyFont="1" applyFill="1" applyAlignment="1">
      <alignment horizontal="right" vertical="center"/>
    </xf>
    <xf numFmtId="176" fontId="5" fillId="9" borderId="2" xfId="1" applyNumberFormat="1" applyFont="1" applyFill="1" applyBorder="1" applyAlignment="1">
      <alignment horizontal="center" vertical="center"/>
    </xf>
    <xf numFmtId="0" fontId="40" fillId="0" borderId="0" xfId="8" applyFont="1">
      <alignment vertical="center"/>
    </xf>
    <xf numFmtId="0" fontId="41" fillId="0" borderId="0" xfId="8" applyFont="1" applyAlignment="1">
      <alignment horizontal="center" vertical="center"/>
    </xf>
    <xf numFmtId="0" fontId="41" fillId="0" borderId="0" xfId="8" applyFont="1">
      <alignment vertical="center"/>
    </xf>
    <xf numFmtId="0" fontId="41" fillId="10" borderId="2" xfId="8" applyFont="1" applyFill="1" applyBorder="1" applyAlignment="1">
      <alignment horizontal="center" vertical="center"/>
    </xf>
    <xf numFmtId="182" fontId="41" fillId="10" borderId="2" xfId="9" applyNumberFormat="1" applyFont="1" applyFill="1" applyBorder="1" applyAlignment="1">
      <alignment horizontal="center" vertical="center"/>
    </xf>
    <xf numFmtId="179" fontId="41" fillId="10" borderId="2" xfId="9" applyNumberFormat="1" applyFont="1" applyFill="1" applyBorder="1" applyAlignment="1">
      <alignment horizontal="center" vertical="center"/>
    </xf>
    <xf numFmtId="41" fontId="41" fillId="0" borderId="0" xfId="9" applyFont="1">
      <alignment vertical="center"/>
    </xf>
    <xf numFmtId="181" fontId="41" fillId="11" borderId="2" xfId="8" applyNumberFormat="1" applyFont="1" applyFill="1" applyBorder="1" applyAlignment="1">
      <alignment horizontal="center" vertical="center"/>
    </xf>
    <xf numFmtId="0" fontId="41" fillId="12" borderId="2" xfId="8" applyFont="1" applyFill="1" applyBorder="1" applyAlignment="1">
      <alignment horizontal="center" vertical="center"/>
    </xf>
    <xf numFmtId="0" fontId="41" fillId="12" borderId="2" xfId="9" applyNumberFormat="1" applyFont="1" applyFill="1" applyBorder="1" applyAlignment="1">
      <alignment horizontal="center" vertical="center"/>
    </xf>
    <xf numFmtId="176" fontId="41" fillId="0" borderId="0" xfId="8" applyNumberFormat="1" applyFont="1">
      <alignment vertical="center"/>
    </xf>
    <xf numFmtId="0" fontId="41" fillId="11" borderId="2" xfId="8" applyFont="1" applyFill="1" applyBorder="1" applyAlignment="1">
      <alignment horizontal="center" vertical="center"/>
    </xf>
    <xf numFmtId="176" fontId="41" fillId="11" borderId="2" xfId="8" applyNumberFormat="1" applyFont="1" applyFill="1" applyBorder="1" applyAlignment="1">
      <alignment horizontal="center" vertical="center"/>
    </xf>
    <xf numFmtId="182" fontId="41" fillId="11" borderId="2" xfId="9" applyNumberFormat="1" applyFont="1" applyFill="1" applyBorder="1" applyAlignment="1">
      <alignment horizontal="center" vertical="center"/>
    </xf>
    <xf numFmtId="0" fontId="42" fillId="10" borderId="2" xfId="8" applyFont="1" applyFill="1" applyBorder="1" applyAlignment="1">
      <alignment horizontal="center" vertical="center"/>
    </xf>
    <xf numFmtId="1" fontId="41" fillId="11" borderId="2" xfId="8" applyNumberFormat="1" applyFont="1" applyFill="1" applyBorder="1" applyAlignment="1">
      <alignment horizontal="center" vertical="center"/>
    </xf>
    <xf numFmtId="177" fontId="41" fillId="0" borderId="0" xfId="8" applyNumberFormat="1" applyFont="1">
      <alignment vertical="center"/>
    </xf>
    <xf numFmtId="0" fontId="44" fillId="0" borderId="0" xfId="8" applyFont="1">
      <alignment vertical="center"/>
    </xf>
    <xf numFmtId="2" fontId="41" fillId="0" borderId="0" xfId="8" applyNumberFormat="1" applyFont="1" applyAlignment="1">
      <alignment horizontal="center" vertical="center"/>
    </xf>
    <xf numFmtId="0" fontId="41" fillId="0" borderId="0" xfId="8" applyFont="1" applyAlignment="1">
      <alignment horizontal="left" vertical="top"/>
    </xf>
    <xf numFmtId="0" fontId="46" fillId="0" borderId="0" xfId="8" applyFont="1">
      <alignment vertical="center"/>
    </xf>
    <xf numFmtId="0" fontId="47" fillId="0" borderId="0" xfId="8" applyFont="1" applyAlignment="1">
      <alignment horizontal="center" vertical="center"/>
    </xf>
    <xf numFmtId="0" fontId="41" fillId="0" borderId="2" xfId="8" applyFont="1" applyBorder="1" applyAlignment="1">
      <alignment horizontal="center" vertical="center"/>
    </xf>
    <xf numFmtId="0" fontId="41" fillId="0" borderId="2" xfId="8" applyFont="1" applyBorder="1" applyAlignment="1">
      <alignment horizontal="center" vertical="center" wrapText="1"/>
    </xf>
    <xf numFmtId="0" fontId="41" fillId="0" borderId="24" xfId="8" applyFont="1" applyBorder="1" applyAlignment="1">
      <alignment horizontal="center" vertical="center" wrapText="1"/>
    </xf>
    <xf numFmtId="0" fontId="47" fillId="0" borderId="2" xfId="8" applyFont="1" applyBorder="1" applyAlignment="1">
      <alignment horizontal="center" vertical="center" wrapText="1"/>
    </xf>
    <xf numFmtId="1" fontId="47" fillId="0" borderId="2" xfId="8" applyNumberFormat="1" applyFont="1" applyBorder="1" applyAlignment="1">
      <alignment horizontal="center" vertical="center"/>
    </xf>
    <xf numFmtId="11" fontId="47" fillId="0" borderId="24" xfId="8" applyNumberFormat="1" applyFont="1" applyBorder="1" applyAlignment="1">
      <alignment horizontal="center" vertical="center"/>
    </xf>
    <xf numFmtId="179" fontId="47" fillId="0" borderId="2" xfId="8" applyNumberFormat="1" applyFont="1" applyBorder="1" applyAlignment="1">
      <alignment horizontal="center" vertical="center"/>
    </xf>
    <xf numFmtId="0" fontId="41" fillId="3" borderId="2" xfId="8" applyFont="1" applyFill="1" applyBorder="1" applyAlignment="1">
      <alignment horizontal="center" vertical="center"/>
    </xf>
    <xf numFmtId="11" fontId="47" fillId="3" borderId="24" xfId="8" applyNumberFormat="1" applyFont="1" applyFill="1" applyBorder="1" applyAlignment="1">
      <alignment horizontal="center" vertical="center"/>
    </xf>
    <xf numFmtId="181" fontId="47" fillId="0" borderId="0" xfId="8" applyNumberFormat="1" applyFont="1" applyAlignment="1">
      <alignment horizontal="center" vertical="center"/>
    </xf>
    <xf numFmtId="179" fontId="47" fillId="0" borderId="0" xfId="8" applyNumberFormat="1" applyFont="1" applyAlignment="1">
      <alignment horizontal="center" vertical="center"/>
    </xf>
    <xf numFmtId="11" fontId="47" fillId="0" borderId="2" xfId="8" applyNumberFormat="1" applyFont="1" applyBorder="1" applyAlignment="1">
      <alignment horizontal="center" vertical="center"/>
    </xf>
    <xf numFmtId="11" fontId="47" fillId="0" borderId="0" xfId="8" applyNumberFormat="1" applyFont="1" applyAlignment="1">
      <alignment horizontal="center" vertical="center"/>
    </xf>
    <xf numFmtId="11" fontId="47" fillId="3" borderId="2" xfId="8" applyNumberFormat="1" applyFont="1" applyFill="1" applyBorder="1" applyAlignment="1">
      <alignment horizontal="center" vertical="center"/>
    </xf>
    <xf numFmtId="179" fontId="47" fillId="3" borderId="2" xfId="8" applyNumberFormat="1" applyFont="1" applyFill="1" applyBorder="1" applyAlignment="1">
      <alignment horizontal="center" vertical="center"/>
    </xf>
    <xf numFmtId="177" fontId="37" fillId="4" borderId="2" xfId="1" applyNumberFormat="1" applyFont="1" applyFill="1" applyBorder="1" applyAlignment="1">
      <alignment horizontal="center" vertical="center"/>
    </xf>
    <xf numFmtId="177" fontId="37" fillId="5" borderId="2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176" fontId="8" fillId="3" borderId="2" xfId="1" applyNumberFormat="1" applyFont="1" applyFill="1" applyBorder="1" applyAlignment="1">
      <alignment horizontal="center" vertical="center"/>
    </xf>
    <xf numFmtId="0" fontId="48" fillId="0" borderId="0" xfId="1" applyFont="1">
      <alignment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3" fontId="8" fillId="0" borderId="0" xfId="5" applyNumberFormat="1" applyFont="1" applyAlignment="1">
      <alignment horizontal="center" vertical="center"/>
    </xf>
    <xf numFmtId="179" fontId="8" fillId="0" borderId="0" xfId="1" applyNumberFormat="1" applyFont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13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EC147E0A-A952-41B7-B829-31A857AADC31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0BAB375-1E88-4466-9CF0-6B118366AD3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813DFEA-617A-49FA-BD3F-DCA67AC14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8342E21-C915-4984-B12C-4DCD7450BBF2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7240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3C3EAB5E-07BA-41AD-88C4-9E46695B23AB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0A97B74B-1779-4A97-96C6-E3A4C61487FF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sheetPr codeName="Sheet3"/>
  <dimension ref="A1:N27"/>
  <sheetViews>
    <sheetView zoomScale="160" zoomScaleNormal="160" workbookViewId="0">
      <selection activeCell="H11" sqref="H11"/>
    </sheetView>
  </sheetViews>
  <sheetFormatPr defaultColWidth="11.08203125" defaultRowHeight="16" x14ac:dyDescent="0.45"/>
  <cols>
    <col min="1" max="1" width="7.33203125" style="160" customWidth="1"/>
    <col min="2" max="2" width="8.1640625" style="160" customWidth="1"/>
    <col min="3" max="3" width="13" style="161" bestFit="1" customWidth="1"/>
    <col min="4" max="13" width="11.08203125" style="161"/>
    <col min="14" max="14" width="11.5" style="161" bestFit="1" customWidth="1"/>
    <col min="15" max="16384" width="11.08203125" style="161"/>
  </cols>
  <sheetData>
    <row r="1" spans="1:14" x14ac:dyDescent="0.45">
      <c r="A1" s="159" t="s">
        <v>278</v>
      </c>
    </row>
    <row r="2" spans="1:14" x14ac:dyDescent="0.45">
      <c r="A2" s="162"/>
      <c r="B2" s="162"/>
      <c r="C2" s="162" t="s">
        <v>258</v>
      </c>
      <c r="D2" s="162" t="s">
        <v>259</v>
      </c>
      <c r="E2" s="162" t="s">
        <v>260</v>
      </c>
      <c r="F2" s="162" t="s">
        <v>261</v>
      </c>
      <c r="G2" s="162" t="s">
        <v>262</v>
      </c>
      <c r="H2" s="162" t="s">
        <v>263</v>
      </c>
      <c r="I2" s="162" t="s">
        <v>264</v>
      </c>
      <c r="K2" s="160"/>
    </row>
    <row r="3" spans="1:14" x14ac:dyDescent="0.45">
      <c r="A3" s="162" t="s">
        <v>58</v>
      </c>
      <c r="B3" s="162" t="s">
        <v>129</v>
      </c>
      <c r="C3" s="163">
        <v>0</v>
      </c>
      <c r="D3" s="163">
        <v>8000</v>
      </c>
      <c r="E3" s="164">
        <v>16000</v>
      </c>
      <c r="F3" s="163">
        <v>24000</v>
      </c>
      <c r="G3" s="163">
        <v>30000</v>
      </c>
      <c r="H3" s="163">
        <v>36000</v>
      </c>
      <c r="I3" s="163">
        <v>44000</v>
      </c>
      <c r="K3" s="160"/>
      <c r="N3" s="165"/>
    </row>
    <row r="4" spans="1:14" x14ac:dyDescent="0.45">
      <c r="A4" s="162" t="s">
        <v>265</v>
      </c>
      <c r="B4" s="162" t="s">
        <v>37</v>
      </c>
      <c r="C4" s="166">
        <v>11.9</v>
      </c>
      <c r="D4" s="166">
        <v>11.9</v>
      </c>
      <c r="E4" s="166">
        <v>10.9</v>
      </c>
      <c r="F4" s="166">
        <v>9.9</v>
      </c>
      <c r="G4" s="166">
        <v>9.15</v>
      </c>
      <c r="H4" s="166">
        <v>8.4</v>
      </c>
      <c r="I4" s="166">
        <v>8.4</v>
      </c>
    </row>
    <row r="5" spans="1:14" x14ac:dyDescent="0.45">
      <c r="A5" s="162" t="s">
        <v>266</v>
      </c>
      <c r="B5" s="162" t="s">
        <v>37</v>
      </c>
      <c r="C5" s="167">
        <v>5.8730000000000002</v>
      </c>
      <c r="D5" s="167">
        <v>6.0910000000000002</v>
      </c>
      <c r="E5" s="168">
        <v>5.5289999999999999</v>
      </c>
      <c r="F5" s="168">
        <v>5.141</v>
      </c>
      <c r="G5" s="168">
        <v>4.7640000000000002</v>
      </c>
      <c r="H5" s="168">
        <v>4.4960000000000004</v>
      </c>
      <c r="I5" s="168">
        <v>4.2270000000000003</v>
      </c>
    </row>
    <row r="6" spans="1:14" x14ac:dyDescent="0.45">
      <c r="A6" s="162" t="s">
        <v>267</v>
      </c>
      <c r="B6" s="162" t="s">
        <v>268</v>
      </c>
      <c r="C6" s="167">
        <v>27.2623</v>
      </c>
      <c r="D6" s="167">
        <v>29.331</v>
      </c>
      <c r="E6" s="167">
        <v>24.526599999999998</v>
      </c>
      <c r="F6" s="167">
        <v>20.13</v>
      </c>
      <c r="G6" s="167">
        <v>16.735299999999999</v>
      </c>
      <c r="H6" s="167">
        <v>13.7936</v>
      </c>
      <c r="I6" s="167">
        <v>13.8017</v>
      </c>
      <c r="J6" s="169">
        <f>C5*J8</f>
        <v>25.47866913580247</v>
      </c>
    </row>
    <row r="7" spans="1:14" x14ac:dyDescent="0.45">
      <c r="A7" s="162" t="s">
        <v>269</v>
      </c>
      <c r="B7" s="162" t="s">
        <v>268</v>
      </c>
      <c r="C7" s="170">
        <v>46.789200000000001</v>
      </c>
      <c r="D7" s="170">
        <v>26.389500000000002</v>
      </c>
      <c r="E7" s="170">
        <v>24.861000000000001</v>
      </c>
      <c r="F7" s="170">
        <v>23.638000000000002</v>
      </c>
      <c r="G7" s="170">
        <v>22.782699999999998</v>
      </c>
      <c r="H7" s="170">
        <v>21.8689</v>
      </c>
      <c r="I7" s="170">
        <v>30.643799999999999</v>
      </c>
    </row>
    <row r="8" spans="1:14" x14ac:dyDescent="0.45">
      <c r="A8" s="162" t="s">
        <v>270</v>
      </c>
      <c r="B8" s="162" t="s">
        <v>271</v>
      </c>
      <c r="C8" s="171">
        <f t="shared" ref="C8:E8" si="0">C6/(C4-C5)</f>
        <v>4.5233615397378459</v>
      </c>
      <c r="D8" s="171">
        <f t="shared" si="0"/>
        <v>5.0492339473231187</v>
      </c>
      <c r="E8" s="171">
        <f t="shared" si="0"/>
        <v>4.5664866877676404</v>
      </c>
      <c r="F8" s="171">
        <f>F6/(F4-F5)</f>
        <v>4.2298802269384321</v>
      </c>
      <c r="G8" s="171">
        <f>G6/(G4-G5)</f>
        <v>3.8156178750569993</v>
      </c>
      <c r="H8" s="171">
        <f>H6/(H4-H5)</f>
        <v>3.5331967213114752</v>
      </c>
      <c r="I8" s="171">
        <f>I6/(I4-I5)</f>
        <v>3.3073807812125571</v>
      </c>
      <c r="J8" s="169">
        <f>C10/243000</f>
        <v>4.3382716049382717</v>
      </c>
    </row>
    <row r="9" spans="1:14" x14ac:dyDescent="0.45">
      <c r="A9" s="162" t="s">
        <v>272</v>
      </c>
      <c r="B9" s="162" t="s">
        <v>271</v>
      </c>
      <c r="C9" s="171">
        <f t="shared" ref="C9:H9" si="1">C6/C5</f>
        <v>4.6419717350587435</v>
      </c>
      <c r="D9" s="171">
        <f t="shared" si="1"/>
        <v>4.8154654408143163</v>
      </c>
      <c r="E9" s="171">
        <f t="shared" si="1"/>
        <v>4.4359920419605716</v>
      </c>
      <c r="F9" s="171">
        <f t="shared" si="1"/>
        <v>3.9155806263372881</v>
      </c>
      <c r="G9" s="171">
        <f t="shared" si="1"/>
        <v>3.5128673383711164</v>
      </c>
      <c r="H9" s="171">
        <f t="shared" si="1"/>
        <v>3.06797153024911</v>
      </c>
      <c r="I9" s="171">
        <f>I6/I5</f>
        <v>3.2651289330494437</v>
      </c>
    </row>
    <row r="10" spans="1:14" x14ac:dyDescent="0.45">
      <c r="A10" s="162" t="s">
        <v>273</v>
      </c>
      <c r="B10" s="162" t="s">
        <v>274</v>
      </c>
      <c r="C10" s="172">
        <f>VLOOKUP(C3,'Global BM'!$D$3:$J$58,7, FALSE)</f>
        <v>1054200</v>
      </c>
      <c r="D10" s="172">
        <f>VLOOKUP(D3,'Global BM'!$D$3:$J$58,7, FALSE)</f>
        <v>855120</v>
      </c>
      <c r="E10" s="172">
        <f>VLOOKUP(E3,'Global BM'!$D$3:$J$58,7, FALSE)</f>
        <v>731745</v>
      </c>
      <c r="F10" s="172">
        <f>VLOOKUP(F3,'Global BM'!$D$3:$J$58,7, FALSE)</f>
        <v>731745</v>
      </c>
      <c r="G10" s="172">
        <f>VLOOKUP(G3,'Global BM'!$D$3:$J$58,7, FALSE)</f>
        <v>731745</v>
      </c>
      <c r="H10" s="172">
        <f>VLOOKUP(H3,'Global BM'!$D$3:$J$58,7, FALSE)</f>
        <v>731745</v>
      </c>
      <c r="I10" s="172">
        <f>VLOOKUP(I3,'Global BM'!$D$3:$J$58,7, FALSE)</f>
        <v>731745</v>
      </c>
    </row>
    <row r="11" spans="1:14" x14ac:dyDescent="0.45">
      <c r="A11" s="173" t="s">
        <v>279</v>
      </c>
      <c r="B11" s="173" t="s">
        <v>275</v>
      </c>
      <c r="C11" s="174">
        <f>C10/(C8*1000)</f>
        <v>233.05676336919484</v>
      </c>
      <c r="D11" s="174">
        <f>D10/(D8*1000)</f>
        <v>169.35638334867548</v>
      </c>
      <c r="E11" s="174">
        <f t="shared" ref="E11:G11" si="2">E10/(E8*1000)</f>
        <v>160.24244677207605</v>
      </c>
      <c r="F11" s="174">
        <f>F10/(F8*1000)</f>
        <v>172.99426005961251</v>
      </c>
      <c r="G11" s="174">
        <f t="shared" si="2"/>
        <v>191.77627948109685</v>
      </c>
      <c r="H11" s="174">
        <f>H10/(H8*1000)</f>
        <v>207.10564899663612</v>
      </c>
      <c r="I11" s="174">
        <f>I10/(I8*1000)</f>
        <v>221.24607004934174</v>
      </c>
      <c r="J11" s="175">
        <f>I10/(I8*1000)</f>
        <v>221.24607004934174</v>
      </c>
    </row>
    <row r="12" spans="1:14" x14ac:dyDescent="0.45">
      <c r="A12" s="173" t="s">
        <v>280</v>
      </c>
      <c r="B12" s="173" t="s">
        <v>275</v>
      </c>
      <c r="C12" s="174">
        <f>C10/(C9*1000)</f>
        <v>227.1017705769506</v>
      </c>
      <c r="D12" s="174">
        <f>D10/(D9*1000)</f>
        <v>177.57785005625448</v>
      </c>
      <c r="E12" s="174">
        <f t="shared" ref="E12:G12" si="3">E10/(E9*1000)</f>
        <v>164.95633740510303</v>
      </c>
      <c r="F12" s="174">
        <f t="shared" si="3"/>
        <v>186.88033010432193</v>
      </c>
      <c r="G12" s="174">
        <f t="shared" si="3"/>
        <v>208.30419412857853</v>
      </c>
      <c r="H12" s="174">
        <f>H10/(H9*1000)</f>
        <v>238.51101380350309</v>
      </c>
      <c r="I12" s="174">
        <f>I10/(I9*1000)</f>
        <v>224.10906736126711</v>
      </c>
    </row>
    <row r="13" spans="1:14" x14ac:dyDescent="0.45">
      <c r="A13" s="162" t="s">
        <v>276</v>
      </c>
      <c r="B13" s="162"/>
      <c r="C13" s="171">
        <f>C11/$E$16</f>
        <v>0.9590813307374273</v>
      </c>
      <c r="D13" s="171">
        <f t="shared" ref="D13:I14" si="4">D11/$E$16</f>
        <v>0.69693984917150398</v>
      </c>
      <c r="E13" s="171">
        <f t="shared" si="4"/>
        <v>0.6594339373336463</v>
      </c>
      <c r="F13" s="171">
        <f t="shared" si="4"/>
        <v>0.7119105352247429</v>
      </c>
      <c r="G13" s="171">
        <f t="shared" si="4"/>
        <v>0.78920279621850553</v>
      </c>
      <c r="H13" s="171">
        <f t="shared" si="4"/>
        <v>0.85228662138533384</v>
      </c>
      <c r="I13" s="171">
        <f>I11/$E$16</f>
        <v>0.91047765452404006</v>
      </c>
    </row>
    <row r="14" spans="1:14" x14ac:dyDescent="0.45">
      <c r="A14" s="162" t="s">
        <v>277</v>
      </c>
      <c r="B14" s="162"/>
      <c r="C14" s="171">
        <f>C12/$E$16</f>
        <v>0.93457518755946745</v>
      </c>
      <c r="D14" s="171">
        <f t="shared" si="4"/>
        <v>0.73077304549898958</v>
      </c>
      <c r="E14" s="171">
        <f t="shared" si="4"/>
        <v>0.67883266421853095</v>
      </c>
      <c r="F14" s="171">
        <f t="shared" si="4"/>
        <v>0.76905485639638649</v>
      </c>
      <c r="G14" s="171">
        <f t="shared" si="4"/>
        <v>0.85721890587892402</v>
      </c>
      <c r="H14" s="171">
        <f t="shared" si="4"/>
        <v>0.98152680577573292</v>
      </c>
      <c r="I14" s="171">
        <f t="shared" si="4"/>
        <v>0.9222595364661198</v>
      </c>
    </row>
    <row r="16" spans="1:14" x14ac:dyDescent="0.45">
      <c r="A16" s="161" t="s">
        <v>281</v>
      </c>
      <c r="D16" s="160" t="s">
        <v>282</v>
      </c>
      <c r="E16" s="160">
        <f>ROUND(175/VLOOKUP(D16,A19:B21,2,FALSE),0)</f>
        <v>243</v>
      </c>
      <c r="F16" s="160" t="s">
        <v>283</v>
      </c>
      <c r="G16" s="176" t="s">
        <v>284</v>
      </c>
    </row>
    <row r="17" spans="1:9" x14ac:dyDescent="0.45">
      <c r="E17" s="160"/>
    </row>
    <row r="18" spans="1:9" x14ac:dyDescent="0.45">
      <c r="A18" s="161" t="s">
        <v>285</v>
      </c>
      <c r="B18" s="161"/>
      <c r="C18" s="169"/>
      <c r="D18" s="169"/>
      <c r="E18" s="169"/>
      <c r="F18" s="169"/>
      <c r="G18" s="169"/>
      <c r="H18" s="169"/>
    </row>
    <row r="19" spans="1:9" x14ac:dyDescent="0.45">
      <c r="A19" s="160" t="s">
        <v>286</v>
      </c>
      <c r="B19" s="177">
        <v>1</v>
      </c>
      <c r="C19" s="169"/>
      <c r="D19" s="169"/>
      <c r="E19" s="169"/>
      <c r="F19" s="169"/>
      <c r="G19" s="169"/>
      <c r="H19" s="169"/>
    </row>
    <row r="20" spans="1:9" x14ac:dyDescent="0.45">
      <c r="A20" s="160" t="s">
        <v>287</v>
      </c>
      <c r="B20" s="160">
        <v>0.78</v>
      </c>
    </row>
    <row r="21" spans="1:9" x14ac:dyDescent="0.45">
      <c r="A21" s="160" t="s">
        <v>288</v>
      </c>
      <c r="B21" s="160">
        <v>0.72</v>
      </c>
    </row>
    <row r="23" spans="1:9" x14ac:dyDescent="0.45">
      <c r="A23" s="178" t="s">
        <v>289</v>
      </c>
    </row>
    <row r="24" spans="1:9" x14ac:dyDescent="0.45">
      <c r="A24" s="162"/>
      <c r="B24" s="162"/>
      <c r="C24" s="162" t="s">
        <v>258</v>
      </c>
      <c r="D24" s="162" t="s">
        <v>259</v>
      </c>
      <c r="E24" s="162" t="s">
        <v>260</v>
      </c>
      <c r="F24" s="162" t="s">
        <v>261</v>
      </c>
      <c r="G24" s="162" t="s">
        <v>262</v>
      </c>
      <c r="H24" s="162" t="s">
        <v>263</v>
      </c>
      <c r="I24" s="162" t="s">
        <v>264</v>
      </c>
    </row>
    <row r="25" spans="1:9" x14ac:dyDescent="0.45">
      <c r="A25" s="162" t="s">
        <v>58</v>
      </c>
      <c r="B25" s="162" t="s">
        <v>129</v>
      </c>
      <c r="C25" s="163">
        <v>0</v>
      </c>
      <c r="D25" s="163">
        <v>8000</v>
      </c>
      <c r="E25" s="163">
        <v>16000</v>
      </c>
      <c r="F25" s="163">
        <v>24000</v>
      </c>
      <c r="G25" s="163">
        <v>30000</v>
      </c>
      <c r="H25" s="163">
        <v>36000</v>
      </c>
      <c r="I25" s="163">
        <v>44000</v>
      </c>
    </row>
    <row r="26" spans="1:9" x14ac:dyDescent="0.45">
      <c r="A26" s="162" t="s">
        <v>265</v>
      </c>
      <c r="B26" s="162" t="s">
        <v>37</v>
      </c>
      <c r="C26" s="166">
        <v>11.9</v>
      </c>
      <c r="D26" s="166">
        <v>11.9</v>
      </c>
      <c r="E26" s="166">
        <v>10.9</v>
      </c>
      <c r="F26" s="166">
        <v>9.9</v>
      </c>
      <c r="G26" s="166">
        <v>9.15</v>
      </c>
      <c r="H26" s="166">
        <v>8.4</v>
      </c>
      <c r="I26" s="166">
        <v>8.4</v>
      </c>
    </row>
    <row r="27" spans="1:9" x14ac:dyDescent="0.45">
      <c r="A27" s="162" t="s">
        <v>290</v>
      </c>
      <c r="B27" s="162" t="s">
        <v>274</v>
      </c>
      <c r="C27" s="172">
        <f>VLOOKUP(C25,'Global SF'!$D$3:$J$58,7,FALSE)</f>
        <v>21871.5</v>
      </c>
      <c r="D27" s="172">
        <f>VLOOKUP(D25,'Global SF'!$D$3:$J$58,7,FALSE)</f>
        <v>27825</v>
      </c>
      <c r="E27" s="172">
        <f>VLOOKUP(E25,'Global SF'!$D$3:$J$58,7,FALSE)</f>
        <v>35311.5</v>
      </c>
      <c r="F27" s="172">
        <f>VLOOKUP(F25,'Global SF'!$D$3:$J$58,7,FALSE)</f>
        <v>42798</v>
      </c>
      <c r="G27" s="172">
        <f>VLOOKUP(G25,'Global SF'!$D$3:$J$58,7,FALSE)</f>
        <v>48421.40625</v>
      </c>
      <c r="H27" s="172">
        <f>VLOOKUP(H25,'Global SF'!$D$3:$J$58,7,FALSE)</f>
        <v>54033</v>
      </c>
      <c r="I27" s="172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sheetPr codeName="Sheet4"/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180" customWidth="1"/>
    <col min="2" max="9" width="10.58203125" style="180" customWidth="1"/>
    <col min="10" max="10" width="10.08203125" style="180" customWidth="1"/>
    <col min="11" max="11" width="9.75" style="180" bestFit="1" customWidth="1"/>
    <col min="12" max="12" width="9.83203125" style="180" customWidth="1"/>
    <col min="13" max="18" width="8.33203125" style="180" customWidth="1"/>
    <col min="19" max="19" width="11.08203125" style="180" customWidth="1"/>
    <col min="20" max="23" width="8.33203125" style="180" customWidth="1"/>
    <col min="24" max="16384" width="9" style="180"/>
  </cols>
  <sheetData>
    <row r="1" spans="2:10" ht="27.5" customHeight="1" x14ac:dyDescent="0.45">
      <c r="B1" s="179" t="s">
        <v>291</v>
      </c>
    </row>
    <row r="2" spans="2:10" ht="32" x14ac:dyDescent="0.45">
      <c r="B2" s="181" t="s">
        <v>292</v>
      </c>
      <c r="C2" s="181" t="s">
        <v>293</v>
      </c>
      <c r="D2" s="182" t="s">
        <v>294</v>
      </c>
      <c r="E2" s="183" t="s">
        <v>295</v>
      </c>
      <c r="F2" s="183" t="s">
        <v>296</v>
      </c>
      <c r="G2" s="183" t="s">
        <v>297</v>
      </c>
      <c r="H2" s="183" t="s">
        <v>298</v>
      </c>
      <c r="I2" s="184" t="s">
        <v>299</v>
      </c>
      <c r="J2" s="184" t="s">
        <v>300</v>
      </c>
    </row>
    <row r="3" spans="2:10" x14ac:dyDescent="0.45">
      <c r="B3" s="181">
        <v>1</v>
      </c>
      <c r="C3" s="181">
        <v>0</v>
      </c>
      <c r="D3" s="185">
        <v>0</v>
      </c>
      <c r="E3" s="186">
        <v>596300</v>
      </c>
      <c r="F3" s="186">
        <v>861800</v>
      </c>
      <c r="G3" s="186">
        <v>1004000</v>
      </c>
      <c r="H3" s="186">
        <v>1145000</v>
      </c>
      <c r="I3" s="187">
        <f>ABS(H3*1.05)</f>
        <v>1202250</v>
      </c>
      <c r="J3" s="187">
        <f>ABS(G3*1.05)</f>
        <v>1054200</v>
      </c>
    </row>
    <row r="4" spans="2:10" x14ac:dyDescent="0.45">
      <c r="B4" s="181">
        <v>2</v>
      </c>
      <c r="C4" s="181"/>
      <c r="D4" s="185">
        <v>800</v>
      </c>
      <c r="E4" s="186">
        <v>591000</v>
      </c>
      <c r="F4" s="186">
        <v>848800</v>
      </c>
      <c r="G4" s="186">
        <v>986800</v>
      </c>
      <c r="H4" s="186">
        <v>1125000</v>
      </c>
      <c r="I4" s="187">
        <f t="shared" ref="I4:I18" si="0">ABS(H4*1.05)</f>
        <v>1181250</v>
      </c>
      <c r="J4" s="187">
        <f t="shared" ref="J4:J18" si="1">ABS(G4*1.05)</f>
        <v>1036140</v>
      </c>
    </row>
    <row r="5" spans="2:10" x14ac:dyDescent="0.45">
      <c r="B5" s="181">
        <v>3</v>
      </c>
      <c r="C5" s="181"/>
      <c r="D5" s="185">
        <v>1600</v>
      </c>
      <c r="E5" s="186">
        <v>585100</v>
      </c>
      <c r="F5" s="186">
        <v>835300</v>
      </c>
      <c r="G5" s="186">
        <v>969400</v>
      </c>
      <c r="H5" s="186">
        <v>1104000</v>
      </c>
      <c r="I5" s="187">
        <f t="shared" si="0"/>
        <v>1159200</v>
      </c>
      <c r="J5" s="187">
        <f t="shared" si="1"/>
        <v>1017870</v>
      </c>
    </row>
    <row r="6" spans="2:10" x14ac:dyDescent="0.45">
      <c r="B6" s="181">
        <v>4</v>
      </c>
      <c r="C6" s="181"/>
      <c r="D6" s="185">
        <v>2400</v>
      </c>
      <c r="E6" s="186">
        <v>578700</v>
      </c>
      <c r="F6" s="186">
        <v>821400</v>
      </c>
      <c r="G6" s="186">
        <v>951600</v>
      </c>
      <c r="H6" s="186">
        <v>1082000</v>
      </c>
      <c r="I6" s="187">
        <f t="shared" si="0"/>
        <v>1136100</v>
      </c>
      <c r="J6" s="187">
        <f t="shared" si="1"/>
        <v>999180</v>
      </c>
    </row>
    <row r="7" spans="2:10" x14ac:dyDescent="0.45">
      <c r="B7" s="181">
        <v>5</v>
      </c>
      <c r="C7" s="181"/>
      <c r="D7" s="185">
        <v>3200</v>
      </c>
      <c r="E7" s="186">
        <v>571800</v>
      </c>
      <c r="F7" s="186">
        <v>807000</v>
      </c>
      <c r="G7" s="186">
        <v>933400</v>
      </c>
      <c r="H7" s="186">
        <v>1060000</v>
      </c>
      <c r="I7" s="187">
        <f t="shared" si="0"/>
        <v>1113000</v>
      </c>
      <c r="J7" s="187">
        <f t="shared" si="1"/>
        <v>980070</v>
      </c>
    </row>
    <row r="8" spans="2:10" x14ac:dyDescent="0.45">
      <c r="B8" s="181">
        <v>6</v>
      </c>
      <c r="C8" s="181">
        <v>1</v>
      </c>
      <c r="D8" s="185">
        <v>4000</v>
      </c>
      <c r="E8" s="186">
        <v>564300</v>
      </c>
      <c r="F8" s="186">
        <v>792200</v>
      </c>
      <c r="G8" s="186">
        <v>914700</v>
      </c>
      <c r="H8" s="186">
        <v>1037000</v>
      </c>
      <c r="I8" s="187">
        <f t="shared" si="0"/>
        <v>1088850</v>
      </c>
      <c r="J8" s="187">
        <f t="shared" si="1"/>
        <v>960435</v>
      </c>
    </row>
    <row r="9" spans="2:10" x14ac:dyDescent="0.45">
      <c r="B9" s="181">
        <v>7</v>
      </c>
      <c r="C9" s="181"/>
      <c r="D9" s="185">
        <v>4800</v>
      </c>
      <c r="E9" s="186">
        <v>556300</v>
      </c>
      <c r="F9" s="186">
        <v>776900</v>
      </c>
      <c r="G9" s="186">
        <v>895500</v>
      </c>
      <c r="H9" s="186">
        <v>1014000</v>
      </c>
      <c r="I9" s="187">
        <f t="shared" si="0"/>
        <v>1064700</v>
      </c>
      <c r="J9" s="187">
        <f t="shared" si="1"/>
        <v>940275</v>
      </c>
    </row>
    <row r="10" spans="2:10" x14ac:dyDescent="0.45">
      <c r="B10" s="181">
        <v>8</v>
      </c>
      <c r="C10" s="181"/>
      <c r="D10" s="185">
        <v>5600</v>
      </c>
      <c r="E10" s="186">
        <v>547800</v>
      </c>
      <c r="F10" s="186">
        <v>761100</v>
      </c>
      <c r="G10" s="186">
        <v>875900</v>
      </c>
      <c r="H10" s="186">
        <v>990700</v>
      </c>
      <c r="I10" s="187">
        <f t="shared" si="0"/>
        <v>1040235</v>
      </c>
      <c r="J10" s="187">
        <f t="shared" si="1"/>
        <v>919695</v>
      </c>
    </row>
    <row r="11" spans="2:10" x14ac:dyDescent="0.45">
      <c r="B11" s="181">
        <v>9</v>
      </c>
      <c r="C11" s="181"/>
      <c r="D11" s="185">
        <v>6400</v>
      </c>
      <c r="E11" s="186">
        <v>538800</v>
      </c>
      <c r="F11" s="186">
        <v>744900</v>
      </c>
      <c r="G11" s="186">
        <v>855900</v>
      </c>
      <c r="H11" s="186">
        <v>966800</v>
      </c>
      <c r="I11" s="187">
        <f t="shared" si="0"/>
        <v>1015140</v>
      </c>
      <c r="J11" s="187">
        <f t="shared" si="1"/>
        <v>898695</v>
      </c>
    </row>
    <row r="12" spans="2:10" x14ac:dyDescent="0.45">
      <c r="B12" s="181">
        <v>10</v>
      </c>
      <c r="C12" s="181"/>
      <c r="D12" s="185">
        <v>7200</v>
      </c>
      <c r="E12" s="186">
        <v>529300</v>
      </c>
      <c r="F12" s="186">
        <v>728300</v>
      </c>
      <c r="G12" s="186">
        <v>835300</v>
      </c>
      <c r="H12" s="186">
        <v>942400</v>
      </c>
      <c r="I12" s="187">
        <f t="shared" si="0"/>
        <v>989520</v>
      </c>
      <c r="J12" s="187">
        <f t="shared" si="1"/>
        <v>877065</v>
      </c>
    </row>
    <row r="13" spans="2:10" x14ac:dyDescent="0.45">
      <c r="B13" s="188">
        <v>11</v>
      </c>
      <c r="C13" s="188">
        <v>2</v>
      </c>
      <c r="D13" s="188">
        <v>8000</v>
      </c>
      <c r="E13" s="188">
        <v>519200</v>
      </c>
      <c r="F13" s="188">
        <v>711100</v>
      </c>
      <c r="G13" s="188">
        <v>814400</v>
      </c>
      <c r="H13" s="188">
        <v>917600</v>
      </c>
      <c r="I13" s="188">
        <f t="shared" si="0"/>
        <v>963480</v>
      </c>
      <c r="J13" s="188">
        <f t="shared" si="1"/>
        <v>855120</v>
      </c>
    </row>
    <row r="14" spans="2:10" x14ac:dyDescent="0.45">
      <c r="B14" s="181">
        <v>12</v>
      </c>
      <c r="C14" s="181"/>
      <c r="D14" s="185">
        <v>8800</v>
      </c>
      <c r="E14" s="186">
        <v>508600</v>
      </c>
      <c r="F14" s="186">
        <v>693500</v>
      </c>
      <c r="G14" s="186">
        <v>792900</v>
      </c>
      <c r="H14" s="186">
        <v>892200</v>
      </c>
      <c r="I14" s="187">
        <f t="shared" si="0"/>
        <v>936810</v>
      </c>
      <c r="J14" s="187">
        <f t="shared" si="1"/>
        <v>832545</v>
      </c>
    </row>
    <row r="15" spans="2:10" x14ac:dyDescent="0.45">
      <c r="B15" s="181">
        <v>13</v>
      </c>
      <c r="C15" s="181"/>
      <c r="D15" s="185">
        <v>9600</v>
      </c>
      <c r="E15" s="186">
        <v>497400</v>
      </c>
      <c r="F15" s="186">
        <v>675300</v>
      </c>
      <c r="G15" s="186">
        <v>770800</v>
      </c>
      <c r="H15" s="186">
        <v>866300</v>
      </c>
      <c r="I15" s="187">
        <f t="shared" si="0"/>
        <v>909615</v>
      </c>
      <c r="J15" s="187">
        <f t="shared" si="1"/>
        <v>809340</v>
      </c>
    </row>
    <row r="16" spans="2:10" x14ac:dyDescent="0.45">
      <c r="B16" s="181">
        <v>14</v>
      </c>
      <c r="C16" s="181"/>
      <c r="D16" s="185">
        <v>10400</v>
      </c>
      <c r="E16" s="186">
        <v>485700</v>
      </c>
      <c r="F16" s="186">
        <v>656600</v>
      </c>
      <c r="G16" s="186">
        <v>748200</v>
      </c>
      <c r="H16" s="186">
        <v>839800</v>
      </c>
      <c r="I16" s="187">
        <f t="shared" si="0"/>
        <v>881790</v>
      </c>
      <c r="J16" s="187">
        <f t="shared" si="1"/>
        <v>785610</v>
      </c>
    </row>
    <row r="17" spans="2:28" x14ac:dyDescent="0.45">
      <c r="B17" s="181">
        <v>15</v>
      </c>
      <c r="C17" s="181"/>
      <c r="D17" s="185">
        <v>11200</v>
      </c>
      <c r="E17" s="186">
        <v>473400</v>
      </c>
      <c r="F17" s="186">
        <v>637200</v>
      </c>
      <c r="G17" s="186">
        <v>725000</v>
      </c>
      <c r="H17" s="186">
        <v>812800</v>
      </c>
      <c r="I17" s="187">
        <f t="shared" si="0"/>
        <v>853440</v>
      </c>
      <c r="J17" s="187">
        <f t="shared" si="1"/>
        <v>761250</v>
      </c>
    </row>
    <row r="18" spans="2:28" x14ac:dyDescent="0.45">
      <c r="B18" s="181">
        <v>16</v>
      </c>
      <c r="C18" s="181">
        <v>3</v>
      </c>
      <c r="D18" s="185">
        <v>12000</v>
      </c>
      <c r="E18" s="186">
        <v>460500</v>
      </c>
      <c r="F18" s="186">
        <v>617300</v>
      </c>
      <c r="G18" s="186">
        <v>701200</v>
      </c>
      <c r="H18" s="186">
        <v>785200</v>
      </c>
      <c r="I18" s="187">
        <f t="shared" si="0"/>
        <v>824460</v>
      </c>
      <c r="J18" s="187">
        <f t="shared" si="1"/>
        <v>736260</v>
      </c>
    </row>
    <row r="19" spans="2:28" x14ac:dyDescent="0.45">
      <c r="B19" s="181">
        <v>17</v>
      </c>
      <c r="C19" s="181"/>
      <c r="D19" s="185">
        <v>12800</v>
      </c>
      <c r="E19" s="186">
        <v>447100</v>
      </c>
      <c r="F19" s="186">
        <v>596800</v>
      </c>
      <c r="G19" s="186">
        <v>676900</v>
      </c>
      <c r="H19" s="186">
        <v>757000</v>
      </c>
      <c r="I19" s="187">
        <f t="shared" ref="I19:J34" si="2">I20</f>
        <v>805770</v>
      </c>
      <c r="J19" s="187">
        <f t="shared" si="2"/>
        <v>731745</v>
      </c>
    </row>
    <row r="20" spans="2:28" x14ac:dyDescent="0.45">
      <c r="B20" s="181">
        <v>18</v>
      </c>
      <c r="C20" s="181"/>
      <c r="D20" s="185">
        <v>13600</v>
      </c>
      <c r="E20" s="186">
        <v>433100</v>
      </c>
      <c r="F20" s="186">
        <v>575800</v>
      </c>
      <c r="G20" s="186">
        <v>652000</v>
      </c>
      <c r="H20" s="186">
        <v>728200</v>
      </c>
      <c r="I20" s="187">
        <f t="shared" si="2"/>
        <v>805770</v>
      </c>
      <c r="J20" s="187">
        <f t="shared" si="2"/>
        <v>731745</v>
      </c>
    </row>
    <row r="21" spans="2:28" x14ac:dyDescent="0.45">
      <c r="B21" s="181">
        <v>19</v>
      </c>
      <c r="C21" s="181"/>
      <c r="D21" s="185">
        <v>14400</v>
      </c>
      <c r="E21" s="186">
        <v>418500</v>
      </c>
      <c r="F21" s="186">
        <v>554200</v>
      </c>
      <c r="G21" s="186">
        <v>626500</v>
      </c>
      <c r="H21" s="186">
        <v>698900</v>
      </c>
      <c r="I21" s="187">
        <f t="shared" si="2"/>
        <v>805770</v>
      </c>
      <c r="J21" s="187">
        <f t="shared" si="2"/>
        <v>731745</v>
      </c>
    </row>
    <row r="22" spans="2:28" x14ac:dyDescent="0.45">
      <c r="B22" s="181">
        <v>20</v>
      </c>
      <c r="C22" s="181"/>
      <c r="D22" s="185">
        <v>15200</v>
      </c>
      <c r="E22" s="186">
        <v>403400</v>
      </c>
      <c r="F22" s="186">
        <v>532000</v>
      </c>
      <c r="G22" s="186">
        <v>600500</v>
      </c>
      <c r="H22" s="186">
        <v>669000</v>
      </c>
      <c r="I22" s="187">
        <f t="shared" si="2"/>
        <v>805770</v>
      </c>
      <c r="J22" s="187">
        <f t="shared" si="2"/>
        <v>731745</v>
      </c>
    </row>
    <row r="23" spans="2:28" x14ac:dyDescent="0.45">
      <c r="B23" s="181">
        <v>21</v>
      </c>
      <c r="C23" s="181">
        <v>4</v>
      </c>
      <c r="D23" s="185">
        <v>16000</v>
      </c>
      <c r="E23" s="186">
        <v>387700</v>
      </c>
      <c r="F23" s="186">
        <v>509200</v>
      </c>
      <c r="G23" s="186">
        <v>573800</v>
      </c>
      <c r="H23" s="186">
        <v>638500</v>
      </c>
      <c r="I23" s="187">
        <f t="shared" si="2"/>
        <v>805770</v>
      </c>
      <c r="J23" s="187">
        <f t="shared" si="2"/>
        <v>731745</v>
      </c>
    </row>
    <row r="24" spans="2:28" x14ac:dyDescent="0.45">
      <c r="B24" s="181">
        <v>22</v>
      </c>
      <c r="C24" s="181"/>
      <c r="D24" s="185">
        <v>16800</v>
      </c>
      <c r="E24" s="186">
        <v>371500</v>
      </c>
      <c r="F24" s="186">
        <v>485900</v>
      </c>
      <c r="G24" s="186">
        <v>546700</v>
      </c>
      <c r="H24" s="186">
        <v>607400</v>
      </c>
      <c r="I24" s="187">
        <f t="shared" si="2"/>
        <v>805770</v>
      </c>
      <c r="J24" s="187">
        <f t="shared" si="2"/>
        <v>731745</v>
      </c>
    </row>
    <row r="25" spans="2:28" x14ac:dyDescent="0.45">
      <c r="B25" s="181">
        <v>23</v>
      </c>
      <c r="C25" s="181"/>
      <c r="D25" s="185">
        <v>17600</v>
      </c>
      <c r="E25" s="186">
        <v>354700</v>
      </c>
      <c r="F25" s="186">
        <v>462000</v>
      </c>
      <c r="G25" s="186">
        <v>518900</v>
      </c>
      <c r="H25" s="186">
        <v>575800</v>
      </c>
      <c r="I25" s="187">
        <f t="shared" si="2"/>
        <v>805770</v>
      </c>
      <c r="J25" s="187">
        <f t="shared" si="2"/>
        <v>731745</v>
      </c>
    </row>
    <row r="26" spans="2:28" x14ac:dyDescent="0.45">
      <c r="B26" s="181">
        <v>24</v>
      </c>
      <c r="C26" s="181"/>
      <c r="D26" s="185">
        <v>18400</v>
      </c>
      <c r="E26" s="186">
        <v>337300</v>
      </c>
      <c r="F26" s="186">
        <v>437500</v>
      </c>
      <c r="G26" s="186">
        <v>490600</v>
      </c>
      <c r="H26" s="186">
        <v>543600</v>
      </c>
      <c r="I26" s="187">
        <f t="shared" si="2"/>
        <v>805770</v>
      </c>
      <c r="J26" s="187">
        <f t="shared" si="2"/>
        <v>731745</v>
      </c>
      <c r="AB26" s="180">
        <f>10.5-5.8</f>
        <v>4.7</v>
      </c>
    </row>
    <row r="27" spans="2:28" x14ac:dyDescent="0.45">
      <c r="B27" s="181">
        <v>25</v>
      </c>
      <c r="C27" s="181"/>
      <c r="D27" s="185">
        <v>19200</v>
      </c>
      <c r="E27" s="186">
        <v>319400</v>
      </c>
      <c r="F27" s="186">
        <v>412500</v>
      </c>
      <c r="G27" s="186">
        <v>461700</v>
      </c>
      <c r="H27" s="186">
        <v>510800</v>
      </c>
      <c r="I27" s="187">
        <f t="shared" si="2"/>
        <v>805770</v>
      </c>
      <c r="J27" s="187">
        <f t="shared" si="2"/>
        <v>731745</v>
      </c>
    </row>
    <row r="28" spans="2:28" x14ac:dyDescent="0.45">
      <c r="B28" s="181">
        <v>26</v>
      </c>
      <c r="C28" s="181">
        <v>5</v>
      </c>
      <c r="D28" s="185">
        <v>20000</v>
      </c>
      <c r="E28" s="186">
        <v>300900</v>
      </c>
      <c r="F28" s="186">
        <v>386900</v>
      </c>
      <c r="G28" s="186">
        <v>432200</v>
      </c>
      <c r="H28" s="186">
        <v>477500</v>
      </c>
      <c r="I28" s="187">
        <f t="shared" si="2"/>
        <v>805770</v>
      </c>
      <c r="J28" s="187">
        <f t="shared" si="2"/>
        <v>731745</v>
      </c>
    </row>
    <row r="29" spans="2:28" x14ac:dyDescent="0.45">
      <c r="B29" s="181">
        <v>27</v>
      </c>
      <c r="C29" s="181"/>
      <c r="D29" s="185">
        <v>20800</v>
      </c>
      <c r="E29" s="186">
        <v>281900</v>
      </c>
      <c r="F29" s="186">
        <v>360700</v>
      </c>
      <c r="G29" s="186">
        <v>402100</v>
      </c>
      <c r="H29" s="186">
        <v>443600</v>
      </c>
      <c r="I29" s="187">
        <f t="shared" si="2"/>
        <v>805770</v>
      </c>
      <c r="J29" s="187">
        <f t="shared" si="2"/>
        <v>731745</v>
      </c>
    </row>
    <row r="30" spans="2:28" x14ac:dyDescent="0.45">
      <c r="B30" s="188">
        <v>28</v>
      </c>
      <c r="C30" s="188"/>
      <c r="D30" s="188">
        <v>21600</v>
      </c>
      <c r="E30" s="189">
        <v>262300</v>
      </c>
      <c r="F30" s="189">
        <v>333900</v>
      </c>
      <c r="G30" s="189">
        <v>371500</v>
      </c>
      <c r="H30" s="189">
        <v>409100</v>
      </c>
      <c r="I30" s="188">
        <f t="shared" si="2"/>
        <v>805770</v>
      </c>
      <c r="J30" s="188">
        <f t="shared" si="2"/>
        <v>731745</v>
      </c>
    </row>
    <row r="31" spans="2:28" x14ac:dyDescent="0.45">
      <c r="B31" s="188">
        <v>29</v>
      </c>
      <c r="C31" s="188"/>
      <c r="D31" s="188">
        <v>22400</v>
      </c>
      <c r="E31" s="189">
        <v>242100</v>
      </c>
      <c r="F31" s="189">
        <v>306600</v>
      </c>
      <c r="G31" s="189">
        <v>340300</v>
      </c>
      <c r="H31" s="189">
        <v>374100</v>
      </c>
      <c r="I31" s="188">
        <f t="shared" si="2"/>
        <v>805770</v>
      </c>
      <c r="J31" s="188">
        <f t="shared" si="2"/>
        <v>731745</v>
      </c>
    </row>
    <row r="32" spans="2:28" x14ac:dyDescent="0.45">
      <c r="B32" s="181">
        <v>30</v>
      </c>
      <c r="C32" s="181"/>
      <c r="D32" s="185">
        <v>23200</v>
      </c>
      <c r="E32" s="186">
        <v>221400</v>
      </c>
      <c r="F32" s="186">
        <v>278700</v>
      </c>
      <c r="G32" s="186">
        <v>308600</v>
      </c>
      <c r="H32" s="186">
        <v>338500</v>
      </c>
      <c r="I32" s="187">
        <f t="shared" si="2"/>
        <v>805770</v>
      </c>
      <c r="J32" s="187">
        <f t="shared" si="2"/>
        <v>731745</v>
      </c>
    </row>
    <row r="33" spans="2:16" x14ac:dyDescent="0.45">
      <c r="B33" s="181">
        <v>31</v>
      </c>
      <c r="C33" s="181">
        <v>6</v>
      </c>
      <c r="D33" s="185">
        <v>24000</v>
      </c>
      <c r="E33" s="186">
        <v>200100</v>
      </c>
      <c r="F33" s="186">
        <v>250200</v>
      </c>
      <c r="G33" s="186">
        <v>276300</v>
      </c>
      <c r="H33" s="186">
        <v>302300</v>
      </c>
      <c r="I33" s="187">
        <f t="shared" si="2"/>
        <v>805770</v>
      </c>
      <c r="J33" s="187">
        <f t="shared" si="2"/>
        <v>731745</v>
      </c>
    </row>
    <row r="34" spans="2:16" x14ac:dyDescent="0.45">
      <c r="B34" s="181">
        <v>32</v>
      </c>
      <c r="C34" s="181"/>
      <c r="D34" s="185">
        <v>24800</v>
      </c>
      <c r="E34" s="186">
        <v>178200</v>
      </c>
      <c r="F34" s="186">
        <v>221200</v>
      </c>
      <c r="G34" s="186">
        <v>243400</v>
      </c>
      <c r="H34" s="186">
        <v>265500</v>
      </c>
      <c r="I34" s="187">
        <f t="shared" si="2"/>
        <v>805770</v>
      </c>
      <c r="J34" s="187">
        <f t="shared" si="2"/>
        <v>731745</v>
      </c>
    </row>
    <row r="35" spans="2:16" x14ac:dyDescent="0.45">
      <c r="B35" s="181">
        <v>33</v>
      </c>
      <c r="C35" s="181"/>
      <c r="D35" s="185">
        <v>25600</v>
      </c>
      <c r="E35" s="186">
        <v>155800</v>
      </c>
      <c r="F35" s="186">
        <v>191600</v>
      </c>
      <c r="G35" s="186">
        <v>209900</v>
      </c>
      <c r="H35" s="186">
        <v>228200</v>
      </c>
      <c r="I35" s="187">
        <f t="shared" ref="I35:J56" si="3">I36</f>
        <v>805770</v>
      </c>
      <c r="J35" s="187">
        <f t="shared" si="3"/>
        <v>731745</v>
      </c>
    </row>
    <row r="36" spans="2:16" x14ac:dyDescent="0.45">
      <c r="B36" s="181">
        <v>34</v>
      </c>
      <c r="C36" s="181"/>
      <c r="D36" s="185">
        <v>26400</v>
      </c>
      <c r="E36" s="186">
        <v>132800</v>
      </c>
      <c r="F36" s="186">
        <v>161400</v>
      </c>
      <c r="G36" s="186">
        <v>175900</v>
      </c>
      <c r="H36" s="186">
        <v>190300</v>
      </c>
      <c r="I36" s="187">
        <f t="shared" si="3"/>
        <v>805770</v>
      </c>
      <c r="J36" s="187">
        <f t="shared" si="3"/>
        <v>731745</v>
      </c>
    </row>
    <row r="37" spans="2:16" x14ac:dyDescent="0.45">
      <c r="B37" s="181">
        <v>35</v>
      </c>
      <c r="C37" s="181"/>
      <c r="D37" s="185">
        <v>27200</v>
      </c>
      <c r="E37" s="186">
        <v>109200</v>
      </c>
      <c r="F37" s="186">
        <v>131100</v>
      </c>
      <c r="G37" s="186">
        <v>142000</v>
      </c>
      <c r="H37" s="186">
        <v>152800</v>
      </c>
      <c r="I37" s="187">
        <f t="shared" si="3"/>
        <v>805770</v>
      </c>
      <c r="J37" s="187">
        <f t="shared" si="3"/>
        <v>731745</v>
      </c>
    </row>
    <row r="38" spans="2:16" x14ac:dyDescent="0.45">
      <c r="B38" s="181">
        <v>36</v>
      </c>
      <c r="C38" s="181">
        <v>7</v>
      </c>
      <c r="D38" s="185">
        <v>28000</v>
      </c>
      <c r="E38" s="186">
        <v>85140</v>
      </c>
      <c r="F38" s="186">
        <v>100300</v>
      </c>
      <c r="G38" s="186">
        <v>107500</v>
      </c>
      <c r="H38" s="186">
        <v>114700</v>
      </c>
      <c r="I38" s="187">
        <f t="shared" si="3"/>
        <v>805770</v>
      </c>
      <c r="J38" s="187">
        <f t="shared" si="3"/>
        <v>731745</v>
      </c>
    </row>
    <row r="39" spans="2:16" x14ac:dyDescent="0.45">
      <c r="B39" s="181">
        <v>37</v>
      </c>
      <c r="C39" s="181"/>
      <c r="D39" s="185">
        <v>28800</v>
      </c>
      <c r="E39" s="186">
        <v>60470</v>
      </c>
      <c r="F39" s="186">
        <v>68910</v>
      </c>
      <c r="G39" s="186">
        <v>72490</v>
      </c>
      <c r="H39" s="186">
        <v>76070</v>
      </c>
      <c r="I39" s="187">
        <f t="shared" si="3"/>
        <v>805770</v>
      </c>
      <c r="J39" s="187">
        <f t="shared" si="3"/>
        <v>731745</v>
      </c>
    </row>
    <row r="40" spans="2:16" x14ac:dyDescent="0.45">
      <c r="B40" s="181">
        <v>38</v>
      </c>
      <c r="C40" s="181"/>
      <c r="D40" s="185">
        <v>29600</v>
      </c>
      <c r="E40" s="186">
        <v>35230</v>
      </c>
      <c r="F40" s="186">
        <v>36930</v>
      </c>
      <c r="G40" s="186">
        <v>36890</v>
      </c>
      <c r="H40" s="186">
        <v>36860</v>
      </c>
      <c r="I40" s="187">
        <f t="shared" si="3"/>
        <v>805770</v>
      </c>
      <c r="J40" s="187">
        <f t="shared" si="3"/>
        <v>731745</v>
      </c>
    </row>
    <row r="41" spans="2:16" x14ac:dyDescent="0.45">
      <c r="B41" s="181">
        <v>39</v>
      </c>
      <c r="C41" s="181" t="s">
        <v>301</v>
      </c>
      <c r="D41" s="185">
        <f>D38+2000</f>
        <v>30000</v>
      </c>
      <c r="E41" s="186" cm="1">
        <f t="array" ref="E41">_xll.Intp_Lagrange(D39,D40,D42,D43,E39,E40,E42,E43,D41)</f>
        <v>11782.8125</v>
      </c>
      <c r="F41" s="186" cm="1">
        <f t="array" ref="F41">_xll.Intp_Lagrange(D39,D40,D42,D43,F39,F40,F42,F43,D41)</f>
        <v>11866.25</v>
      </c>
      <c r="G41" s="186" cm="1">
        <f t="array" ref="G41">_xll.Intp_Lagrange(D39,D40,D42,D43,G39,G40,G42,G43,D41)</f>
        <v>10785.9375</v>
      </c>
      <c r="H41" s="186" cm="1">
        <f t="array" ref="H41">_xll.Intp_Lagrange(D39,D40,D42,D43,H39,H40,H42,H43,D41)</f>
        <v>10158.4375</v>
      </c>
      <c r="I41" s="187">
        <f t="shared" si="3"/>
        <v>805770</v>
      </c>
      <c r="J41" s="187">
        <f t="shared" si="3"/>
        <v>731745</v>
      </c>
      <c r="N41" s="190"/>
      <c r="O41" s="191"/>
      <c r="P41" s="191"/>
    </row>
    <row r="42" spans="2:16" x14ac:dyDescent="0.45">
      <c r="B42" s="181">
        <v>40</v>
      </c>
      <c r="C42" s="181"/>
      <c r="D42" s="185">
        <v>31200</v>
      </c>
      <c r="E42" s="186">
        <v>-65470</v>
      </c>
      <c r="F42" s="186">
        <v>-64520</v>
      </c>
      <c r="G42" s="186">
        <v>-65920</v>
      </c>
      <c r="H42" s="186">
        <v>-67320</v>
      </c>
      <c r="I42" s="187">
        <f t="shared" si="3"/>
        <v>805770</v>
      </c>
      <c r="J42" s="187">
        <f t="shared" si="3"/>
        <v>731745</v>
      </c>
    </row>
    <row r="43" spans="2:16" x14ac:dyDescent="0.45">
      <c r="B43" s="181">
        <v>41</v>
      </c>
      <c r="C43" s="181">
        <v>8</v>
      </c>
      <c r="D43" s="185">
        <v>32000</v>
      </c>
      <c r="E43" s="186">
        <v>-92400</v>
      </c>
      <c r="F43" s="186">
        <v>-87190</v>
      </c>
      <c r="G43" s="186">
        <v>-86700</v>
      </c>
      <c r="H43" s="186">
        <v>-90940</v>
      </c>
      <c r="I43" s="187">
        <f t="shared" si="3"/>
        <v>805770</v>
      </c>
      <c r="J43" s="187">
        <f t="shared" si="3"/>
        <v>731745</v>
      </c>
    </row>
    <row r="44" spans="2:16" x14ac:dyDescent="0.45">
      <c r="B44" s="181">
        <v>42</v>
      </c>
      <c r="C44" s="181"/>
      <c r="D44" s="185">
        <v>32800</v>
      </c>
      <c r="E44" s="186">
        <v>-119900</v>
      </c>
      <c r="F44" s="186">
        <v>-110400</v>
      </c>
      <c r="G44" s="186">
        <v>-117000</v>
      </c>
      <c r="H44" s="186">
        <v>-133400</v>
      </c>
      <c r="I44" s="187">
        <f t="shared" si="3"/>
        <v>805770</v>
      </c>
      <c r="J44" s="187">
        <f t="shared" si="3"/>
        <v>731745</v>
      </c>
    </row>
    <row r="45" spans="2:16" x14ac:dyDescent="0.45">
      <c r="B45" s="181">
        <v>43</v>
      </c>
      <c r="C45" s="181"/>
      <c r="D45" s="185">
        <v>33600</v>
      </c>
      <c r="E45" s="186">
        <v>-147900</v>
      </c>
      <c r="F45" s="186">
        <v>-135800</v>
      </c>
      <c r="G45" s="186">
        <v>-156100</v>
      </c>
      <c r="H45" s="186">
        <v>-176400</v>
      </c>
      <c r="I45" s="187">
        <f t="shared" si="3"/>
        <v>805770</v>
      </c>
      <c r="J45" s="187">
        <f t="shared" si="3"/>
        <v>731745</v>
      </c>
    </row>
    <row r="46" spans="2:16" x14ac:dyDescent="0.45">
      <c r="B46" s="181">
        <v>44</v>
      </c>
      <c r="C46" s="181"/>
      <c r="D46" s="185">
        <v>34400</v>
      </c>
      <c r="E46" s="186">
        <v>-176600</v>
      </c>
      <c r="F46" s="186">
        <v>-171700</v>
      </c>
      <c r="G46" s="186">
        <v>-195900</v>
      </c>
      <c r="H46" s="186">
        <v>-220000</v>
      </c>
      <c r="I46" s="187">
        <f t="shared" si="3"/>
        <v>805770</v>
      </c>
      <c r="J46" s="187">
        <f t="shared" si="3"/>
        <v>731745</v>
      </c>
    </row>
    <row r="47" spans="2:16" x14ac:dyDescent="0.45">
      <c r="B47" s="181">
        <v>45</v>
      </c>
      <c r="C47" s="181"/>
      <c r="D47" s="185">
        <v>35200</v>
      </c>
      <c r="E47" s="186">
        <v>-205700</v>
      </c>
      <c r="F47" s="186">
        <v>-208200</v>
      </c>
      <c r="G47" s="186">
        <v>-236200</v>
      </c>
      <c r="H47" s="186">
        <v>-264200</v>
      </c>
      <c r="I47" s="187">
        <f t="shared" si="3"/>
        <v>805770</v>
      </c>
      <c r="J47" s="187">
        <f t="shared" si="3"/>
        <v>731745</v>
      </c>
    </row>
    <row r="48" spans="2:16" x14ac:dyDescent="0.45">
      <c r="B48" s="188">
        <v>46</v>
      </c>
      <c r="C48" s="188">
        <v>9</v>
      </c>
      <c r="D48" s="188">
        <v>36000</v>
      </c>
      <c r="E48" s="189">
        <v>-235500</v>
      </c>
      <c r="F48" s="189">
        <v>-245200</v>
      </c>
      <c r="G48" s="189">
        <v>-277100</v>
      </c>
      <c r="H48" s="189">
        <v>-309000</v>
      </c>
      <c r="I48" s="188">
        <f t="shared" si="3"/>
        <v>805770</v>
      </c>
      <c r="J48" s="188">
        <f t="shared" si="3"/>
        <v>731745</v>
      </c>
    </row>
    <row r="49" spans="2:19" x14ac:dyDescent="0.45">
      <c r="B49" s="181">
        <v>47</v>
      </c>
      <c r="C49" s="181"/>
      <c r="D49" s="185">
        <v>36800</v>
      </c>
      <c r="E49" s="186">
        <v>-265600</v>
      </c>
      <c r="F49" s="186">
        <v>-282600</v>
      </c>
      <c r="G49" s="186">
        <v>-318300</v>
      </c>
      <c r="H49" s="186">
        <v>-354100</v>
      </c>
      <c r="I49" s="187">
        <f t="shared" si="3"/>
        <v>805770</v>
      </c>
      <c r="J49" s="187">
        <f t="shared" si="3"/>
        <v>731745</v>
      </c>
    </row>
    <row r="50" spans="2:19" x14ac:dyDescent="0.45">
      <c r="B50" s="181">
        <v>48</v>
      </c>
      <c r="C50" s="181"/>
      <c r="D50" s="185">
        <v>37600</v>
      </c>
      <c r="E50" s="186">
        <v>-295800</v>
      </c>
      <c r="F50" s="186">
        <v>-320100</v>
      </c>
      <c r="G50" s="186">
        <v>-359700</v>
      </c>
      <c r="H50" s="186">
        <v>-399300</v>
      </c>
      <c r="I50" s="187">
        <f t="shared" si="3"/>
        <v>805770</v>
      </c>
      <c r="J50" s="187">
        <f t="shared" si="3"/>
        <v>731745</v>
      </c>
    </row>
    <row r="51" spans="2:19" x14ac:dyDescent="0.45">
      <c r="B51" s="181">
        <v>49</v>
      </c>
      <c r="C51" s="181"/>
      <c r="D51" s="185">
        <v>38400</v>
      </c>
      <c r="E51" s="186">
        <v>-326300</v>
      </c>
      <c r="F51" s="186">
        <v>-357900</v>
      </c>
      <c r="G51" s="186">
        <v>-401300</v>
      </c>
      <c r="H51" s="186">
        <v>-444800</v>
      </c>
      <c r="I51" s="187">
        <f t="shared" si="3"/>
        <v>805770</v>
      </c>
      <c r="J51" s="187">
        <f t="shared" si="3"/>
        <v>731745</v>
      </c>
      <c r="N51" s="190"/>
      <c r="O51" s="191"/>
      <c r="P51" s="191"/>
    </row>
    <row r="52" spans="2:19" x14ac:dyDescent="0.45">
      <c r="B52" s="181">
        <v>50</v>
      </c>
      <c r="C52" s="181"/>
      <c r="D52" s="185">
        <v>39200</v>
      </c>
      <c r="E52" s="186">
        <v>-356900</v>
      </c>
      <c r="F52" s="186">
        <v>-395700</v>
      </c>
      <c r="G52" s="186">
        <v>-443100</v>
      </c>
      <c r="H52" s="186">
        <v>-490400</v>
      </c>
      <c r="I52" s="187">
        <f t="shared" si="3"/>
        <v>805770</v>
      </c>
      <c r="J52" s="187">
        <f t="shared" si="3"/>
        <v>731745</v>
      </c>
    </row>
    <row r="53" spans="2:19" x14ac:dyDescent="0.45">
      <c r="B53" s="181">
        <v>51</v>
      </c>
      <c r="C53" s="181">
        <v>10</v>
      </c>
      <c r="D53" s="185">
        <v>40000</v>
      </c>
      <c r="E53" s="186">
        <v>-387600</v>
      </c>
      <c r="F53" s="186">
        <v>-433800</v>
      </c>
      <c r="G53" s="186">
        <v>-485000</v>
      </c>
      <c r="H53" s="186">
        <v>-536100</v>
      </c>
      <c r="I53" s="187">
        <f t="shared" si="3"/>
        <v>805770</v>
      </c>
      <c r="J53" s="187">
        <f t="shared" si="3"/>
        <v>731745</v>
      </c>
    </row>
    <row r="54" spans="2:19" x14ac:dyDescent="0.45">
      <c r="B54" s="181">
        <v>52</v>
      </c>
      <c r="C54" s="181"/>
      <c r="D54" s="185">
        <v>40800</v>
      </c>
      <c r="E54" s="186">
        <v>-418700</v>
      </c>
      <c r="F54" s="186">
        <v>-472000</v>
      </c>
      <c r="G54" s="186">
        <v>-527000</v>
      </c>
      <c r="H54" s="186">
        <v>-582100</v>
      </c>
      <c r="I54" s="187">
        <f t="shared" si="3"/>
        <v>805770</v>
      </c>
      <c r="J54" s="187">
        <f t="shared" si="3"/>
        <v>731745</v>
      </c>
    </row>
    <row r="55" spans="2:19" x14ac:dyDescent="0.45">
      <c r="B55" s="181">
        <v>53</v>
      </c>
      <c r="C55" s="181"/>
      <c r="D55" s="185">
        <v>41600</v>
      </c>
      <c r="E55" s="186">
        <v>-450000</v>
      </c>
      <c r="F55" s="186">
        <v>-510300</v>
      </c>
      <c r="G55" s="186">
        <v>-569200</v>
      </c>
      <c r="H55" s="186">
        <v>-628100</v>
      </c>
      <c r="I55" s="187">
        <f t="shared" si="3"/>
        <v>805770</v>
      </c>
      <c r="J55" s="187">
        <f t="shared" si="3"/>
        <v>731745</v>
      </c>
    </row>
    <row r="56" spans="2:19" x14ac:dyDescent="0.45">
      <c r="B56" s="181">
        <v>54</v>
      </c>
      <c r="C56" s="181"/>
      <c r="D56" s="185">
        <v>42400</v>
      </c>
      <c r="E56" s="186">
        <v>-481500</v>
      </c>
      <c r="F56" s="186">
        <v>-548900</v>
      </c>
      <c r="G56" s="186">
        <v>-611600</v>
      </c>
      <c r="H56" s="186">
        <v>-674400</v>
      </c>
      <c r="I56" s="187">
        <f t="shared" si="3"/>
        <v>805770</v>
      </c>
      <c r="J56" s="187">
        <f t="shared" si="3"/>
        <v>731745</v>
      </c>
    </row>
    <row r="57" spans="2:19" x14ac:dyDescent="0.45">
      <c r="B57" s="181">
        <v>55</v>
      </c>
      <c r="C57" s="181"/>
      <c r="D57" s="185">
        <v>43200</v>
      </c>
      <c r="E57" s="186">
        <v>-513100</v>
      </c>
      <c r="F57" s="186">
        <v>-587600</v>
      </c>
      <c r="G57" s="186">
        <v>-654200</v>
      </c>
      <c r="H57" s="186">
        <v>-720800</v>
      </c>
      <c r="I57" s="187">
        <f>I58</f>
        <v>805770</v>
      </c>
      <c r="J57" s="187">
        <f>J58</f>
        <v>731745</v>
      </c>
    </row>
    <row r="58" spans="2:19" x14ac:dyDescent="0.45">
      <c r="B58" s="188">
        <v>56</v>
      </c>
      <c r="C58" s="188">
        <v>11</v>
      </c>
      <c r="D58" s="188">
        <v>44000</v>
      </c>
      <c r="E58" s="189">
        <v>-544900</v>
      </c>
      <c r="F58" s="189">
        <v>-626400</v>
      </c>
      <c r="G58" s="189">
        <v>-696900</v>
      </c>
      <c r="H58" s="189">
        <v>-767400</v>
      </c>
      <c r="I58" s="188">
        <f>ABS(H58*1.05)</f>
        <v>805770</v>
      </c>
      <c r="J58" s="188">
        <f t="shared" ref="J58" si="4">ABS(G58*1.05)</f>
        <v>731745</v>
      </c>
    </row>
    <row r="59" spans="2:19" x14ac:dyDescent="0.45">
      <c r="D59" s="180" t="s">
        <v>302</v>
      </c>
      <c r="E59" s="192" cm="1">
        <f t="array" ref="E59">INDEX(E3:E58, MATCH(MAX(ABS(E3:E58)), ABS(E3:E58), 0))</f>
        <v>596300</v>
      </c>
      <c r="F59" s="192" cm="1">
        <f t="array" ref="F59">INDEX(F3:F58, MATCH(MAX(ABS(F3:F58)), ABS(F3:F58), 0))</f>
        <v>861800</v>
      </c>
      <c r="G59" s="192" cm="1">
        <f t="array" ref="G59">INDEX(G3:G58, MATCH(MAX(ABS(G3:G58)), ABS(G3:G58), 0))</f>
        <v>1004000</v>
      </c>
      <c r="H59" s="192" cm="1">
        <f t="array" ref="H59">INDEX(H3:H58, MATCH(MAX(ABS(H3:H58)), ABS(H3:H58), 0))</f>
        <v>1145000</v>
      </c>
      <c r="I59" s="192">
        <f>MAX(I3:I58)</f>
        <v>1202250</v>
      </c>
      <c r="J59" s="193"/>
    </row>
    <row r="60" spans="2:19" x14ac:dyDescent="0.45">
      <c r="D60" s="180" t="s">
        <v>303</v>
      </c>
      <c r="E60" s="192">
        <f>MIN(E3:E58)</f>
        <v>-544900</v>
      </c>
      <c r="F60" s="192">
        <f>MIN(F3:F58)</f>
        <v>-626400</v>
      </c>
      <c r="G60" s="192">
        <f>MIN(G3:G58)</f>
        <v>-696900</v>
      </c>
      <c r="H60" s="192">
        <f>MIN(H3:H58)</f>
        <v>-767400</v>
      </c>
      <c r="I60" s="192">
        <f>MIN(I3:I58)</f>
        <v>805770</v>
      </c>
      <c r="Q60" s="190"/>
      <c r="R60" s="191"/>
      <c r="S60" s="191"/>
    </row>
    <row r="61" spans="2:19" x14ac:dyDescent="0.45">
      <c r="Q61" s="190"/>
      <c r="R61" s="191"/>
      <c r="S61" s="191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sheetPr codeName="Sheet15"/>
  <dimension ref="B1:J60"/>
  <sheetViews>
    <sheetView showGridLines="0" topLeftCell="A29" zoomScaleNormal="100" workbookViewId="0">
      <selection activeCell="F31" sqref="F31"/>
    </sheetView>
  </sheetViews>
  <sheetFormatPr defaultColWidth="9" defaultRowHeight="16" x14ac:dyDescent="0.45"/>
  <cols>
    <col min="1" max="1" width="4.5" style="180" customWidth="1"/>
    <col min="2" max="3" width="6.5" style="180" customWidth="1"/>
    <col min="4" max="9" width="10.58203125" style="180" customWidth="1"/>
    <col min="10" max="10" width="10.08203125" style="180" customWidth="1"/>
    <col min="11" max="11" width="9.75" style="180" bestFit="1" customWidth="1"/>
    <col min="12" max="12" width="9.83203125" style="180" customWidth="1"/>
    <col min="13" max="18" width="8.33203125" style="180" customWidth="1"/>
    <col min="19" max="19" width="11.08203125" style="180" customWidth="1"/>
    <col min="20" max="23" width="8.33203125" style="180" customWidth="1"/>
    <col min="24" max="16384" width="9" style="180"/>
  </cols>
  <sheetData>
    <row r="1" spans="2:10" ht="25.5" x14ac:dyDescent="0.45">
      <c r="B1" s="179" t="s">
        <v>304</v>
      </c>
    </row>
    <row r="2" spans="2:10" ht="32" x14ac:dyDescent="0.45">
      <c r="B2" s="181" t="s">
        <v>305</v>
      </c>
      <c r="C2" s="181" t="s">
        <v>293</v>
      </c>
      <c r="D2" s="182" t="s">
        <v>294</v>
      </c>
      <c r="E2" s="183" t="s">
        <v>295</v>
      </c>
      <c r="F2" s="183" t="s">
        <v>306</v>
      </c>
      <c r="G2" s="183" t="s">
        <v>297</v>
      </c>
      <c r="H2" s="183" t="s">
        <v>298</v>
      </c>
      <c r="I2" s="184" t="s">
        <v>307</v>
      </c>
      <c r="J2" s="184" t="s">
        <v>308</v>
      </c>
    </row>
    <row r="3" spans="2:10" x14ac:dyDescent="0.45">
      <c r="B3" s="181">
        <v>1</v>
      </c>
      <c r="C3" s="181">
        <v>0</v>
      </c>
      <c r="D3" s="185">
        <v>0</v>
      </c>
      <c r="E3" s="186">
        <v>6367</v>
      </c>
      <c r="F3" s="186">
        <v>16000</v>
      </c>
      <c r="G3" s="186">
        <v>20830</v>
      </c>
      <c r="H3" s="186">
        <v>25650</v>
      </c>
      <c r="I3" s="192">
        <v>26932.5</v>
      </c>
      <c r="J3" s="187">
        <f>G3*1.05</f>
        <v>21871.5</v>
      </c>
    </row>
    <row r="4" spans="2:10" x14ac:dyDescent="0.45">
      <c r="B4" s="181">
        <v>2</v>
      </c>
      <c r="C4" s="181"/>
      <c r="D4" s="185">
        <v>800</v>
      </c>
      <c r="E4" s="186">
        <v>7022</v>
      </c>
      <c r="F4" s="186">
        <v>16570</v>
      </c>
      <c r="G4" s="186">
        <v>21390</v>
      </c>
      <c r="H4" s="186">
        <v>26220</v>
      </c>
      <c r="I4" s="192">
        <v>27531</v>
      </c>
      <c r="J4" s="187">
        <f t="shared" ref="J4:J58" si="0">G4*1.05</f>
        <v>22459.5</v>
      </c>
    </row>
    <row r="5" spans="2:10" x14ac:dyDescent="0.45">
      <c r="B5" s="181">
        <v>3</v>
      </c>
      <c r="C5" s="181"/>
      <c r="D5" s="185">
        <v>1600</v>
      </c>
      <c r="E5" s="186">
        <v>7677</v>
      </c>
      <c r="F5" s="186">
        <v>17140</v>
      </c>
      <c r="G5" s="186">
        <v>21960</v>
      </c>
      <c r="H5" s="186">
        <v>26790</v>
      </c>
      <c r="I5" s="192">
        <v>28129.5</v>
      </c>
      <c r="J5" s="187">
        <f t="shared" si="0"/>
        <v>23058</v>
      </c>
    </row>
    <row r="6" spans="2:10" x14ac:dyDescent="0.45">
      <c r="B6" s="181">
        <v>4</v>
      </c>
      <c r="C6" s="181"/>
      <c r="D6" s="185">
        <v>2400</v>
      </c>
      <c r="E6" s="186">
        <v>8332</v>
      </c>
      <c r="F6" s="186">
        <v>17700</v>
      </c>
      <c r="G6" s="186">
        <v>22530</v>
      </c>
      <c r="H6" s="186">
        <v>27350</v>
      </c>
      <c r="I6" s="192">
        <v>28717.5</v>
      </c>
      <c r="J6" s="187">
        <f t="shared" si="0"/>
        <v>23656.5</v>
      </c>
    </row>
    <row r="7" spans="2:10" x14ac:dyDescent="0.45">
      <c r="B7" s="181">
        <v>5</v>
      </c>
      <c r="C7" s="181"/>
      <c r="D7" s="185">
        <v>3200</v>
      </c>
      <c r="E7" s="186">
        <v>8987</v>
      </c>
      <c r="F7" s="186">
        <v>18270</v>
      </c>
      <c r="G7" s="186">
        <v>23090</v>
      </c>
      <c r="H7" s="186">
        <v>27920</v>
      </c>
      <c r="I7" s="192">
        <v>29316</v>
      </c>
      <c r="J7" s="187">
        <f t="shared" si="0"/>
        <v>24244.5</v>
      </c>
    </row>
    <row r="8" spans="2:10" x14ac:dyDescent="0.45">
      <c r="B8" s="181">
        <v>6</v>
      </c>
      <c r="C8" s="181">
        <v>1</v>
      </c>
      <c r="D8" s="185">
        <v>4000</v>
      </c>
      <c r="E8" s="186">
        <v>9642</v>
      </c>
      <c r="F8" s="186">
        <v>18840</v>
      </c>
      <c r="G8" s="186">
        <v>23660</v>
      </c>
      <c r="H8" s="186">
        <v>28490</v>
      </c>
      <c r="I8" s="192">
        <v>29914.5</v>
      </c>
      <c r="J8" s="187">
        <f t="shared" si="0"/>
        <v>24843</v>
      </c>
    </row>
    <row r="9" spans="2:10" x14ac:dyDescent="0.45">
      <c r="B9" s="181">
        <v>7</v>
      </c>
      <c r="C9" s="181"/>
      <c r="D9" s="185">
        <v>4800</v>
      </c>
      <c r="E9" s="186">
        <v>10300</v>
      </c>
      <c r="F9" s="186">
        <v>19400</v>
      </c>
      <c r="G9" s="186">
        <v>24230</v>
      </c>
      <c r="H9" s="186">
        <v>29050</v>
      </c>
      <c r="I9" s="192">
        <v>30502.5</v>
      </c>
      <c r="J9" s="187">
        <f t="shared" si="0"/>
        <v>25441.5</v>
      </c>
    </row>
    <row r="10" spans="2:10" x14ac:dyDescent="0.45">
      <c r="B10" s="181">
        <v>8</v>
      </c>
      <c r="C10" s="181"/>
      <c r="D10" s="185">
        <v>5600</v>
      </c>
      <c r="E10" s="186">
        <v>10950</v>
      </c>
      <c r="F10" s="186">
        <v>19970</v>
      </c>
      <c r="G10" s="186">
        <v>24800</v>
      </c>
      <c r="H10" s="186">
        <v>29620</v>
      </c>
      <c r="I10" s="192">
        <v>31101</v>
      </c>
      <c r="J10" s="187">
        <f t="shared" si="0"/>
        <v>26040</v>
      </c>
    </row>
    <row r="11" spans="2:10" x14ac:dyDescent="0.45">
      <c r="B11" s="181">
        <v>9</v>
      </c>
      <c r="C11" s="181"/>
      <c r="D11" s="185">
        <v>6400</v>
      </c>
      <c r="E11" s="186">
        <v>11620</v>
      </c>
      <c r="F11" s="186">
        <v>20540</v>
      </c>
      <c r="G11" s="186">
        <v>25360</v>
      </c>
      <c r="H11" s="186">
        <v>30190</v>
      </c>
      <c r="I11" s="192">
        <v>31699.5</v>
      </c>
      <c r="J11" s="187">
        <f t="shared" si="0"/>
        <v>26628</v>
      </c>
    </row>
    <row r="12" spans="2:10" x14ac:dyDescent="0.45">
      <c r="B12" s="181">
        <v>10</v>
      </c>
      <c r="C12" s="181"/>
      <c r="D12" s="185">
        <v>7200</v>
      </c>
      <c r="E12" s="186">
        <v>12270</v>
      </c>
      <c r="F12" s="186">
        <v>21110</v>
      </c>
      <c r="G12" s="186">
        <v>25930</v>
      </c>
      <c r="H12" s="186">
        <v>30760</v>
      </c>
      <c r="I12" s="192">
        <v>32298</v>
      </c>
      <c r="J12" s="187">
        <f t="shared" si="0"/>
        <v>27226.5</v>
      </c>
    </row>
    <row r="13" spans="2:10" x14ac:dyDescent="0.45">
      <c r="B13" s="188">
        <v>11</v>
      </c>
      <c r="C13" s="188">
        <v>2</v>
      </c>
      <c r="D13" s="188">
        <v>8000</v>
      </c>
      <c r="E13" s="189">
        <v>12920</v>
      </c>
      <c r="F13" s="189">
        <v>21670</v>
      </c>
      <c r="G13" s="189">
        <v>26500</v>
      </c>
      <c r="H13" s="189">
        <v>31320</v>
      </c>
      <c r="I13" s="194">
        <v>32886</v>
      </c>
      <c r="J13" s="195">
        <f t="shared" si="0"/>
        <v>27825</v>
      </c>
    </row>
    <row r="14" spans="2:10" x14ac:dyDescent="0.45">
      <c r="B14" s="181">
        <v>12</v>
      </c>
      <c r="C14" s="181"/>
      <c r="D14" s="185">
        <v>8800</v>
      </c>
      <c r="E14" s="186">
        <v>13630</v>
      </c>
      <c r="F14" s="186">
        <v>22390</v>
      </c>
      <c r="G14" s="186">
        <v>27210</v>
      </c>
      <c r="H14" s="186">
        <v>32040</v>
      </c>
      <c r="I14" s="192">
        <v>33642</v>
      </c>
      <c r="J14" s="187">
        <f t="shared" si="0"/>
        <v>28570.5</v>
      </c>
    </row>
    <row r="15" spans="2:10" x14ac:dyDescent="0.45">
      <c r="B15" s="181">
        <v>13</v>
      </c>
      <c r="C15" s="181"/>
      <c r="D15" s="185">
        <v>9600</v>
      </c>
      <c r="E15" s="186">
        <v>14330</v>
      </c>
      <c r="F15" s="186">
        <v>23100</v>
      </c>
      <c r="G15" s="186">
        <v>27930</v>
      </c>
      <c r="H15" s="186">
        <v>32750</v>
      </c>
      <c r="I15" s="192">
        <v>34387.5</v>
      </c>
      <c r="J15" s="187">
        <f t="shared" si="0"/>
        <v>29326.5</v>
      </c>
    </row>
    <row r="16" spans="2:10" x14ac:dyDescent="0.45">
      <c r="B16" s="181">
        <v>14</v>
      </c>
      <c r="C16" s="181"/>
      <c r="D16" s="185">
        <v>10400</v>
      </c>
      <c r="E16" s="186">
        <v>15030</v>
      </c>
      <c r="F16" s="186">
        <v>23810</v>
      </c>
      <c r="G16" s="186">
        <v>28640</v>
      </c>
      <c r="H16" s="186">
        <v>33460</v>
      </c>
      <c r="I16" s="192">
        <v>35133</v>
      </c>
      <c r="J16" s="187">
        <f t="shared" si="0"/>
        <v>30072</v>
      </c>
    </row>
    <row r="17" spans="2:10" x14ac:dyDescent="0.45">
      <c r="B17" s="181">
        <v>15</v>
      </c>
      <c r="C17" s="181"/>
      <c r="D17" s="185">
        <v>11200</v>
      </c>
      <c r="E17" s="186">
        <v>15740</v>
      </c>
      <c r="F17" s="186">
        <v>24530</v>
      </c>
      <c r="G17" s="186">
        <v>29350</v>
      </c>
      <c r="H17" s="186">
        <v>34180</v>
      </c>
      <c r="I17" s="192">
        <v>35889</v>
      </c>
      <c r="J17" s="187">
        <f t="shared" si="0"/>
        <v>30817.5</v>
      </c>
    </row>
    <row r="18" spans="2:10" x14ac:dyDescent="0.45">
      <c r="B18" s="181">
        <v>16</v>
      </c>
      <c r="C18" s="181">
        <v>3</v>
      </c>
      <c r="D18" s="185">
        <v>12000</v>
      </c>
      <c r="E18" s="186">
        <v>16440</v>
      </c>
      <c r="F18" s="186">
        <v>25240</v>
      </c>
      <c r="G18" s="186">
        <v>30070</v>
      </c>
      <c r="H18" s="186">
        <v>34890</v>
      </c>
      <c r="I18" s="192">
        <v>36634.5</v>
      </c>
      <c r="J18" s="187">
        <f t="shared" si="0"/>
        <v>31573.5</v>
      </c>
    </row>
    <row r="19" spans="2:10" x14ac:dyDescent="0.45">
      <c r="B19" s="181">
        <v>17</v>
      </c>
      <c r="C19" s="181"/>
      <c r="D19" s="185">
        <v>12800</v>
      </c>
      <c r="E19" s="186">
        <v>17140</v>
      </c>
      <c r="F19" s="186">
        <v>25950</v>
      </c>
      <c r="G19" s="186">
        <v>30780</v>
      </c>
      <c r="H19" s="186">
        <v>35600</v>
      </c>
      <c r="I19" s="192">
        <v>37380</v>
      </c>
      <c r="J19" s="187">
        <f t="shared" si="0"/>
        <v>32319</v>
      </c>
    </row>
    <row r="20" spans="2:10" x14ac:dyDescent="0.45">
      <c r="B20" s="181">
        <v>18</v>
      </c>
      <c r="C20" s="181"/>
      <c r="D20" s="185">
        <v>13600</v>
      </c>
      <c r="E20" s="186">
        <v>17840</v>
      </c>
      <c r="F20" s="186">
        <v>26670</v>
      </c>
      <c r="G20" s="186">
        <v>31490</v>
      </c>
      <c r="H20" s="186">
        <v>36320</v>
      </c>
      <c r="I20" s="192">
        <v>38136</v>
      </c>
      <c r="J20" s="187">
        <f t="shared" si="0"/>
        <v>33064.5</v>
      </c>
    </row>
    <row r="21" spans="2:10" x14ac:dyDescent="0.45">
      <c r="B21" s="181">
        <v>19</v>
      </c>
      <c r="C21" s="181"/>
      <c r="D21" s="185">
        <v>14400</v>
      </c>
      <c r="E21" s="186">
        <v>18550</v>
      </c>
      <c r="F21" s="186">
        <v>27380</v>
      </c>
      <c r="G21" s="186">
        <v>32200</v>
      </c>
      <c r="H21" s="186">
        <v>37030</v>
      </c>
      <c r="I21" s="192">
        <v>38881.5</v>
      </c>
      <c r="J21" s="187">
        <f t="shared" si="0"/>
        <v>33810</v>
      </c>
    </row>
    <row r="22" spans="2:10" x14ac:dyDescent="0.45">
      <c r="B22" s="181">
        <v>20</v>
      </c>
      <c r="C22" s="181"/>
      <c r="D22" s="185">
        <v>15200</v>
      </c>
      <c r="E22" s="186">
        <v>19250</v>
      </c>
      <c r="F22" s="186">
        <v>28090</v>
      </c>
      <c r="G22" s="186">
        <v>32920</v>
      </c>
      <c r="H22" s="186">
        <v>37740</v>
      </c>
      <c r="I22" s="192">
        <v>39627</v>
      </c>
      <c r="J22" s="187">
        <f t="shared" si="0"/>
        <v>34566</v>
      </c>
    </row>
    <row r="23" spans="2:10" x14ac:dyDescent="0.45">
      <c r="B23" s="181">
        <v>21</v>
      </c>
      <c r="C23" s="181">
        <v>4</v>
      </c>
      <c r="D23" s="185">
        <v>16000</v>
      </c>
      <c r="E23" s="186">
        <v>19950</v>
      </c>
      <c r="F23" s="186">
        <v>28810</v>
      </c>
      <c r="G23" s="186">
        <v>33630</v>
      </c>
      <c r="H23" s="186">
        <v>38460</v>
      </c>
      <c r="I23" s="192">
        <v>40383</v>
      </c>
      <c r="J23" s="187">
        <f t="shared" si="0"/>
        <v>35311.5</v>
      </c>
    </row>
    <row r="24" spans="2:10" x14ac:dyDescent="0.45">
      <c r="B24" s="181">
        <v>22</v>
      </c>
      <c r="C24" s="181"/>
      <c r="D24" s="185">
        <v>16800</v>
      </c>
      <c r="E24" s="186">
        <v>20660</v>
      </c>
      <c r="F24" s="186">
        <v>29520</v>
      </c>
      <c r="G24" s="186">
        <v>34340</v>
      </c>
      <c r="H24" s="186">
        <v>39170</v>
      </c>
      <c r="I24" s="192">
        <v>41128.5</v>
      </c>
      <c r="J24" s="187">
        <f t="shared" si="0"/>
        <v>36057</v>
      </c>
    </row>
    <row r="25" spans="2:10" x14ac:dyDescent="0.45">
      <c r="B25" s="181">
        <v>23</v>
      </c>
      <c r="C25" s="181"/>
      <c r="D25" s="185">
        <v>17600</v>
      </c>
      <c r="E25" s="186">
        <v>21360</v>
      </c>
      <c r="F25" s="186">
        <v>30230</v>
      </c>
      <c r="G25" s="186">
        <v>35060</v>
      </c>
      <c r="H25" s="186">
        <v>39880</v>
      </c>
      <c r="I25" s="192">
        <v>41874</v>
      </c>
      <c r="J25" s="187">
        <f t="shared" si="0"/>
        <v>36813</v>
      </c>
    </row>
    <row r="26" spans="2:10" x14ac:dyDescent="0.45">
      <c r="B26" s="181">
        <v>24</v>
      </c>
      <c r="C26" s="181"/>
      <c r="D26" s="185">
        <v>18400</v>
      </c>
      <c r="E26" s="186">
        <v>22060</v>
      </c>
      <c r="F26" s="186">
        <v>30950</v>
      </c>
      <c r="G26" s="186">
        <v>35770</v>
      </c>
      <c r="H26" s="186">
        <v>40600</v>
      </c>
      <c r="I26" s="192">
        <v>42630</v>
      </c>
      <c r="J26" s="187">
        <f t="shared" si="0"/>
        <v>37558.5</v>
      </c>
    </row>
    <row r="27" spans="2:10" x14ac:dyDescent="0.45">
      <c r="B27" s="181">
        <v>25</v>
      </c>
      <c r="C27" s="181"/>
      <c r="D27" s="185">
        <v>19200</v>
      </c>
      <c r="E27" s="186">
        <v>22770</v>
      </c>
      <c r="F27" s="186">
        <v>31660</v>
      </c>
      <c r="G27" s="186">
        <v>36480</v>
      </c>
      <c r="H27" s="186">
        <v>41310</v>
      </c>
      <c r="I27" s="192">
        <v>43375.5</v>
      </c>
      <c r="J27" s="187">
        <f t="shared" si="0"/>
        <v>38304</v>
      </c>
    </row>
    <row r="28" spans="2:10" x14ac:dyDescent="0.45">
      <c r="B28" s="181">
        <v>26</v>
      </c>
      <c r="C28" s="181">
        <v>5</v>
      </c>
      <c r="D28" s="185">
        <v>20000</v>
      </c>
      <c r="E28" s="186">
        <v>23470</v>
      </c>
      <c r="F28" s="186">
        <v>32370</v>
      </c>
      <c r="G28" s="186">
        <v>37200</v>
      </c>
      <c r="H28" s="186">
        <v>42020</v>
      </c>
      <c r="I28" s="192">
        <v>44121</v>
      </c>
      <c r="J28" s="187">
        <f t="shared" si="0"/>
        <v>39060</v>
      </c>
    </row>
    <row r="29" spans="2:10" x14ac:dyDescent="0.45">
      <c r="B29" s="181">
        <v>27</v>
      </c>
      <c r="C29" s="181"/>
      <c r="D29" s="185">
        <v>20800</v>
      </c>
      <c r="E29" s="186">
        <v>24170</v>
      </c>
      <c r="F29" s="186">
        <v>33090</v>
      </c>
      <c r="G29" s="186">
        <v>37910</v>
      </c>
      <c r="H29" s="186">
        <v>42740</v>
      </c>
      <c r="I29" s="192">
        <v>44877</v>
      </c>
      <c r="J29" s="187">
        <f t="shared" si="0"/>
        <v>39805.5</v>
      </c>
    </row>
    <row r="30" spans="2:10" x14ac:dyDescent="0.45">
      <c r="B30" s="188">
        <v>28</v>
      </c>
      <c r="C30" s="188"/>
      <c r="D30" s="188">
        <v>21600</v>
      </c>
      <c r="E30" s="189">
        <v>24870</v>
      </c>
      <c r="F30" s="189">
        <v>33800</v>
      </c>
      <c r="G30" s="189">
        <v>38620</v>
      </c>
      <c r="H30" s="189">
        <v>43450</v>
      </c>
      <c r="I30" s="194">
        <v>45622.5</v>
      </c>
      <c r="J30" s="195">
        <f t="shared" si="0"/>
        <v>40551</v>
      </c>
    </row>
    <row r="31" spans="2:10" x14ac:dyDescent="0.45">
      <c r="B31" s="188">
        <v>29</v>
      </c>
      <c r="C31" s="188"/>
      <c r="D31" s="188">
        <v>22400</v>
      </c>
      <c r="E31" s="189">
        <v>25580</v>
      </c>
      <c r="F31" s="189">
        <v>34510</v>
      </c>
      <c r="G31" s="189">
        <v>39340</v>
      </c>
      <c r="H31" s="189">
        <v>44160</v>
      </c>
      <c r="I31" s="194">
        <v>46368</v>
      </c>
      <c r="J31" s="195">
        <f t="shared" si="0"/>
        <v>41307</v>
      </c>
    </row>
    <row r="32" spans="2:10" x14ac:dyDescent="0.45">
      <c r="B32" s="181">
        <v>30</v>
      </c>
      <c r="C32" s="181"/>
      <c r="D32" s="185">
        <v>23200</v>
      </c>
      <c r="E32" s="186">
        <v>26280</v>
      </c>
      <c r="F32" s="186">
        <v>35220</v>
      </c>
      <c r="G32" s="186">
        <v>40050</v>
      </c>
      <c r="H32" s="186">
        <v>44880</v>
      </c>
      <c r="I32" s="192">
        <v>47124</v>
      </c>
      <c r="J32" s="187">
        <f t="shared" si="0"/>
        <v>42052.5</v>
      </c>
    </row>
    <row r="33" spans="2:10" x14ac:dyDescent="0.45">
      <c r="B33" s="181">
        <v>31</v>
      </c>
      <c r="C33" s="181">
        <v>6</v>
      </c>
      <c r="D33" s="185">
        <v>24000</v>
      </c>
      <c r="E33" s="186">
        <v>26980</v>
      </c>
      <c r="F33" s="186">
        <v>35940</v>
      </c>
      <c r="G33" s="186">
        <v>40760</v>
      </c>
      <c r="H33" s="186">
        <v>45590</v>
      </c>
      <c r="I33" s="192">
        <v>47869.5</v>
      </c>
      <c r="J33" s="187">
        <f t="shared" si="0"/>
        <v>42798</v>
      </c>
    </row>
    <row r="34" spans="2:10" x14ac:dyDescent="0.45">
      <c r="B34" s="181">
        <v>32</v>
      </c>
      <c r="C34" s="181"/>
      <c r="D34" s="185">
        <v>24800</v>
      </c>
      <c r="E34" s="186">
        <v>27690</v>
      </c>
      <c r="F34" s="186">
        <v>36650</v>
      </c>
      <c r="G34" s="186">
        <v>41480</v>
      </c>
      <c r="H34" s="186">
        <v>46300</v>
      </c>
      <c r="I34" s="192">
        <v>48615</v>
      </c>
      <c r="J34" s="187">
        <f t="shared" si="0"/>
        <v>43554</v>
      </c>
    </row>
    <row r="35" spans="2:10" x14ac:dyDescent="0.45">
      <c r="B35" s="181">
        <v>33</v>
      </c>
      <c r="C35" s="181"/>
      <c r="D35" s="185">
        <v>25600</v>
      </c>
      <c r="E35" s="186">
        <v>28390</v>
      </c>
      <c r="F35" s="186">
        <v>37360</v>
      </c>
      <c r="G35" s="186">
        <v>42190</v>
      </c>
      <c r="H35" s="186">
        <v>47010</v>
      </c>
      <c r="I35" s="192">
        <v>49360.5</v>
      </c>
      <c r="J35" s="187">
        <f t="shared" si="0"/>
        <v>44299.5</v>
      </c>
    </row>
    <row r="36" spans="2:10" x14ac:dyDescent="0.45">
      <c r="B36" s="181">
        <v>34</v>
      </c>
      <c r="C36" s="181"/>
      <c r="D36" s="185">
        <v>26400</v>
      </c>
      <c r="E36" s="186">
        <v>29090</v>
      </c>
      <c r="F36" s="186">
        <v>38080</v>
      </c>
      <c r="G36" s="186">
        <v>42900</v>
      </c>
      <c r="H36" s="186">
        <v>47730</v>
      </c>
      <c r="I36" s="192">
        <v>50116.5</v>
      </c>
      <c r="J36" s="187">
        <f t="shared" si="0"/>
        <v>45045</v>
      </c>
    </row>
    <row r="37" spans="2:10" x14ac:dyDescent="0.45">
      <c r="B37" s="181">
        <v>35</v>
      </c>
      <c r="C37" s="181"/>
      <c r="D37" s="185">
        <v>27200</v>
      </c>
      <c r="E37" s="186">
        <v>29790</v>
      </c>
      <c r="F37" s="186">
        <v>38790</v>
      </c>
      <c r="G37" s="186">
        <v>43620</v>
      </c>
      <c r="H37" s="186">
        <v>48440</v>
      </c>
      <c r="I37" s="192">
        <v>50862</v>
      </c>
      <c r="J37" s="187">
        <f t="shared" si="0"/>
        <v>45801</v>
      </c>
    </row>
    <row r="38" spans="2:10" x14ac:dyDescent="0.45">
      <c r="B38" s="181">
        <v>36</v>
      </c>
      <c r="C38" s="181">
        <v>7</v>
      </c>
      <c r="D38" s="185">
        <v>28000</v>
      </c>
      <c r="E38" s="186">
        <v>30500</v>
      </c>
      <c r="F38" s="186">
        <v>39500</v>
      </c>
      <c r="G38" s="186">
        <v>44330</v>
      </c>
      <c r="H38" s="186">
        <v>49150</v>
      </c>
      <c r="I38" s="192">
        <v>51607.5</v>
      </c>
      <c r="J38" s="187">
        <f t="shared" si="0"/>
        <v>46546.5</v>
      </c>
    </row>
    <row r="39" spans="2:10" x14ac:dyDescent="0.45">
      <c r="B39" s="181">
        <v>37</v>
      </c>
      <c r="C39" s="181"/>
      <c r="D39" s="185">
        <v>28800</v>
      </c>
      <c r="E39" s="186">
        <v>31200</v>
      </c>
      <c r="F39" s="186">
        <v>40220</v>
      </c>
      <c r="G39" s="186">
        <v>45040</v>
      </c>
      <c r="H39" s="186">
        <v>49870</v>
      </c>
      <c r="I39" s="192">
        <v>52363.5</v>
      </c>
      <c r="J39" s="187">
        <f t="shared" si="0"/>
        <v>47292</v>
      </c>
    </row>
    <row r="40" spans="2:10" x14ac:dyDescent="0.45">
      <c r="B40" s="181">
        <v>38</v>
      </c>
      <c r="C40" s="181"/>
      <c r="D40" s="185">
        <v>29600</v>
      </c>
      <c r="E40" s="186">
        <v>31900</v>
      </c>
      <c r="F40" s="186">
        <v>40930</v>
      </c>
      <c r="G40" s="186">
        <v>45760</v>
      </c>
      <c r="H40" s="186">
        <v>50580</v>
      </c>
      <c r="I40" s="192">
        <v>53109</v>
      </c>
      <c r="J40" s="187">
        <f t="shared" si="0"/>
        <v>48048</v>
      </c>
    </row>
    <row r="41" spans="2:10" x14ac:dyDescent="0.45">
      <c r="B41" s="181">
        <v>39</v>
      </c>
      <c r="C41" s="181" t="s">
        <v>301</v>
      </c>
      <c r="D41" s="185">
        <f>D38+2000</f>
        <v>30000</v>
      </c>
      <c r="E41" s="186" cm="1">
        <f t="array" ref="E41">_xll.Intp_Lagrange(D39,D40,D42,D43,E39,E40,E42,E43,D41)</f>
        <v>32252.1875</v>
      </c>
      <c r="F41" s="186" cm="1">
        <f t="array" ref="F41">_xll.Intp_Lagrange(D39,D40,D42,D43,F39,F40,F42,F43,D41)</f>
        <v>41287.1875</v>
      </c>
      <c r="G41" s="186" cm="1">
        <f t="array" ref="G41">_xll.Intp_Lagrange(D39,D40,D42,D43,G39,G40,G42,G43,D41)</f>
        <v>46115.625</v>
      </c>
      <c r="H41" s="186" cm="1">
        <f t="array" ref="H41">_xll.Intp_Lagrange(D39,D40,D42,D43,H39,H40,H42,H43,D41)</f>
        <v>50937.1875</v>
      </c>
      <c r="I41" s="192">
        <v>53854.5</v>
      </c>
      <c r="J41" s="187">
        <f t="shared" si="0"/>
        <v>48421.40625</v>
      </c>
    </row>
    <row r="42" spans="2:10" x14ac:dyDescent="0.45">
      <c r="B42" s="181">
        <v>40</v>
      </c>
      <c r="C42" s="181"/>
      <c r="D42" s="185">
        <v>31200</v>
      </c>
      <c r="E42" s="186">
        <v>33310</v>
      </c>
      <c r="F42" s="186">
        <v>42360</v>
      </c>
      <c r="G42" s="186">
        <v>47180</v>
      </c>
      <c r="H42" s="186">
        <v>52010</v>
      </c>
      <c r="I42" s="192">
        <v>54610.5</v>
      </c>
      <c r="J42" s="187">
        <f t="shared" si="0"/>
        <v>49539</v>
      </c>
    </row>
    <row r="43" spans="2:10" x14ac:dyDescent="0.45">
      <c r="B43" s="181">
        <v>41</v>
      </c>
      <c r="C43" s="181">
        <v>8</v>
      </c>
      <c r="D43" s="185">
        <v>32000</v>
      </c>
      <c r="E43" s="186">
        <v>34010</v>
      </c>
      <c r="F43" s="186">
        <v>43070</v>
      </c>
      <c r="G43" s="186">
        <v>47900</v>
      </c>
      <c r="H43" s="186">
        <v>52720</v>
      </c>
      <c r="I43" s="192">
        <v>55356</v>
      </c>
      <c r="J43" s="187">
        <f t="shared" si="0"/>
        <v>50295</v>
      </c>
    </row>
    <row r="44" spans="2:10" x14ac:dyDescent="0.45">
      <c r="B44" s="181">
        <v>42</v>
      </c>
      <c r="C44" s="181"/>
      <c r="D44" s="185">
        <v>32800</v>
      </c>
      <c r="E44" s="186">
        <v>34710</v>
      </c>
      <c r="F44" s="186">
        <v>43780</v>
      </c>
      <c r="G44" s="186">
        <v>48610</v>
      </c>
      <c r="H44" s="186">
        <v>53430</v>
      </c>
      <c r="I44" s="192">
        <v>56101.5</v>
      </c>
      <c r="J44" s="187">
        <f t="shared" si="0"/>
        <v>51040.5</v>
      </c>
    </row>
    <row r="45" spans="2:10" x14ac:dyDescent="0.45">
      <c r="B45" s="181">
        <v>43</v>
      </c>
      <c r="C45" s="181"/>
      <c r="D45" s="185">
        <v>33600</v>
      </c>
      <c r="E45" s="186">
        <v>35420</v>
      </c>
      <c r="F45" s="186">
        <v>44500</v>
      </c>
      <c r="G45" s="186">
        <v>49320</v>
      </c>
      <c r="H45" s="186">
        <v>54150</v>
      </c>
      <c r="I45" s="192">
        <v>56857.5</v>
      </c>
      <c r="J45" s="187">
        <f t="shared" si="0"/>
        <v>51786</v>
      </c>
    </row>
    <row r="46" spans="2:10" x14ac:dyDescent="0.45">
      <c r="B46" s="181">
        <v>44</v>
      </c>
      <c r="C46" s="181"/>
      <c r="D46" s="185">
        <v>34400</v>
      </c>
      <c r="E46" s="186">
        <v>36120</v>
      </c>
      <c r="F46" s="186">
        <v>45210</v>
      </c>
      <c r="G46" s="186">
        <v>50030</v>
      </c>
      <c r="H46" s="186">
        <v>54860</v>
      </c>
      <c r="I46" s="192">
        <v>57603</v>
      </c>
      <c r="J46" s="187">
        <f t="shared" si="0"/>
        <v>52531.5</v>
      </c>
    </row>
    <row r="47" spans="2:10" x14ac:dyDescent="0.45">
      <c r="B47" s="181">
        <v>45</v>
      </c>
      <c r="C47" s="181"/>
      <c r="D47" s="185">
        <v>35200</v>
      </c>
      <c r="E47" s="186">
        <v>36820</v>
      </c>
      <c r="F47" s="186">
        <v>45920</v>
      </c>
      <c r="G47" s="186">
        <v>50750</v>
      </c>
      <c r="H47" s="186">
        <v>55570</v>
      </c>
      <c r="I47" s="192">
        <v>58348.5</v>
      </c>
      <c r="J47" s="187">
        <f t="shared" si="0"/>
        <v>53287.5</v>
      </c>
    </row>
    <row r="48" spans="2:10" x14ac:dyDescent="0.45">
      <c r="B48" s="188">
        <v>46</v>
      </c>
      <c r="C48" s="188">
        <v>9</v>
      </c>
      <c r="D48" s="188">
        <v>36000</v>
      </c>
      <c r="E48" s="189">
        <v>37530</v>
      </c>
      <c r="F48" s="189">
        <v>46640</v>
      </c>
      <c r="G48" s="189">
        <v>51460</v>
      </c>
      <c r="H48" s="189">
        <v>56290</v>
      </c>
      <c r="I48" s="194">
        <v>59104.5</v>
      </c>
      <c r="J48" s="195">
        <f t="shared" si="0"/>
        <v>54033</v>
      </c>
    </row>
    <row r="49" spans="2:10" x14ac:dyDescent="0.45">
      <c r="B49" s="181">
        <v>47</v>
      </c>
      <c r="C49" s="181"/>
      <c r="D49" s="185">
        <v>36800</v>
      </c>
      <c r="E49" s="186">
        <v>37730</v>
      </c>
      <c r="F49" s="186">
        <v>46840</v>
      </c>
      <c r="G49" s="186">
        <v>51660</v>
      </c>
      <c r="H49" s="186">
        <v>56490</v>
      </c>
      <c r="I49" s="192">
        <v>59314.5</v>
      </c>
      <c r="J49" s="187">
        <f t="shared" si="0"/>
        <v>54243</v>
      </c>
    </row>
    <row r="50" spans="2:10" x14ac:dyDescent="0.45">
      <c r="B50" s="181">
        <v>48</v>
      </c>
      <c r="C50" s="181"/>
      <c r="D50" s="185">
        <v>37600</v>
      </c>
      <c r="E50" s="186">
        <v>37930</v>
      </c>
      <c r="F50" s="186">
        <v>47040</v>
      </c>
      <c r="G50" s="186">
        <v>51870</v>
      </c>
      <c r="H50" s="186">
        <v>56690</v>
      </c>
      <c r="I50" s="192">
        <v>59524.5</v>
      </c>
      <c r="J50" s="187">
        <f t="shared" si="0"/>
        <v>54463.5</v>
      </c>
    </row>
    <row r="51" spans="2:10" x14ac:dyDescent="0.45">
      <c r="B51" s="181">
        <v>49</v>
      </c>
      <c r="C51" s="181"/>
      <c r="D51" s="185">
        <v>38400</v>
      </c>
      <c r="E51" s="186">
        <v>38130</v>
      </c>
      <c r="F51" s="186">
        <v>47250</v>
      </c>
      <c r="G51" s="186">
        <v>52070</v>
      </c>
      <c r="H51" s="186">
        <v>56900</v>
      </c>
      <c r="I51" s="192">
        <v>59745</v>
      </c>
      <c r="J51" s="187">
        <f t="shared" si="0"/>
        <v>54673.5</v>
      </c>
    </row>
    <row r="52" spans="2:10" x14ac:dyDescent="0.45">
      <c r="B52" s="181">
        <v>50</v>
      </c>
      <c r="C52" s="181"/>
      <c r="D52" s="185">
        <v>39200</v>
      </c>
      <c r="E52" s="186">
        <v>38340</v>
      </c>
      <c r="F52" s="186">
        <v>47450</v>
      </c>
      <c r="G52" s="186">
        <v>52270</v>
      </c>
      <c r="H52" s="186">
        <v>57100</v>
      </c>
      <c r="I52" s="192">
        <v>59955</v>
      </c>
      <c r="J52" s="187">
        <f t="shared" si="0"/>
        <v>54883.5</v>
      </c>
    </row>
    <row r="53" spans="2:10" x14ac:dyDescent="0.45">
      <c r="B53" s="181">
        <v>51</v>
      </c>
      <c r="C53" s="181">
        <v>10</v>
      </c>
      <c r="D53" s="185">
        <v>40000</v>
      </c>
      <c r="E53" s="186">
        <v>38810</v>
      </c>
      <c r="F53" s="186">
        <v>47650</v>
      </c>
      <c r="G53" s="186">
        <v>52480</v>
      </c>
      <c r="H53" s="186">
        <v>57300</v>
      </c>
      <c r="I53" s="192">
        <v>60165</v>
      </c>
      <c r="J53" s="187">
        <f t="shared" si="0"/>
        <v>55104</v>
      </c>
    </row>
    <row r="54" spans="2:10" x14ac:dyDescent="0.45">
      <c r="B54" s="181">
        <v>52</v>
      </c>
      <c r="C54" s="181"/>
      <c r="D54" s="185">
        <v>40800</v>
      </c>
      <c r="E54" s="186">
        <v>39020</v>
      </c>
      <c r="F54" s="186">
        <v>47850</v>
      </c>
      <c r="G54" s="186">
        <v>52680</v>
      </c>
      <c r="H54" s="186">
        <v>57500</v>
      </c>
      <c r="I54" s="192">
        <v>60375</v>
      </c>
      <c r="J54" s="187">
        <f t="shared" si="0"/>
        <v>55314</v>
      </c>
    </row>
    <row r="55" spans="2:10" x14ac:dyDescent="0.45">
      <c r="B55" s="181">
        <v>53</v>
      </c>
      <c r="C55" s="181"/>
      <c r="D55" s="185">
        <v>41600</v>
      </c>
      <c r="E55" s="186">
        <v>39220</v>
      </c>
      <c r="F55" s="186">
        <v>48060</v>
      </c>
      <c r="G55" s="186">
        <v>52880</v>
      </c>
      <c r="H55" s="186">
        <v>57710</v>
      </c>
      <c r="I55" s="192">
        <v>60595.5</v>
      </c>
      <c r="J55" s="187">
        <f t="shared" si="0"/>
        <v>55524</v>
      </c>
    </row>
    <row r="56" spans="2:10" x14ac:dyDescent="0.45">
      <c r="B56" s="181">
        <v>54</v>
      </c>
      <c r="C56" s="181"/>
      <c r="D56" s="185">
        <v>42400</v>
      </c>
      <c r="E56" s="186">
        <v>39420</v>
      </c>
      <c r="F56" s="186">
        <v>48260</v>
      </c>
      <c r="G56" s="186">
        <v>53080</v>
      </c>
      <c r="H56" s="186">
        <v>57910</v>
      </c>
      <c r="I56" s="192">
        <v>60805.5</v>
      </c>
      <c r="J56" s="187">
        <f t="shared" si="0"/>
        <v>55734</v>
      </c>
    </row>
    <row r="57" spans="2:10" x14ac:dyDescent="0.45">
      <c r="B57" s="181">
        <v>55</v>
      </c>
      <c r="C57" s="181"/>
      <c r="D57" s="185">
        <v>43200</v>
      </c>
      <c r="E57" s="186">
        <v>39630</v>
      </c>
      <c r="F57" s="186">
        <v>48460</v>
      </c>
      <c r="G57" s="186">
        <v>53290</v>
      </c>
      <c r="H57" s="186">
        <v>58110</v>
      </c>
      <c r="I57" s="192">
        <v>61015.5</v>
      </c>
      <c r="J57" s="187">
        <f t="shared" si="0"/>
        <v>55954.5</v>
      </c>
    </row>
    <row r="58" spans="2:10" x14ac:dyDescent="0.45">
      <c r="B58" s="181">
        <v>56</v>
      </c>
      <c r="C58" s="188">
        <v>11</v>
      </c>
      <c r="D58" s="188">
        <v>44000</v>
      </c>
      <c r="E58" s="194">
        <v>39830</v>
      </c>
      <c r="F58" s="194">
        <v>48670</v>
      </c>
      <c r="G58" s="194">
        <v>53490</v>
      </c>
      <c r="H58" s="194">
        <v>58320</v>
      </c>
      <c r="I58" s="194">
        <v>61236</v>
      </c>
      <c r="J58" s="195">
        <f t="shared" si="0"/>
        <v>56164.5</v>
      </c>
    </row>
    <row r="59" spans="2:10" x14ac:dyDescent="0.45">
      <c r="D59" s="192" cm="1">
        <f t="array" ref="D59">INDEX(E3:E58, MATCH(MAX(ABS(E3:E58)), ABS(E3:E58), 0))</f>
        <v>39830</v>
      </c>
      <c r="E59" s="192" cm="1">
        <f t="array" ref="E59">INDEX(F3:F58, MATCH(MAX(ABS(F3:F58)), ABS(F3:F58), 0))</f>
        <v>48670</v>
      </c>
      <c r="F59" s="192" cm="1">
        <f t="array" ref="F59">INDEX(G3:G58, MATCH(MAX(ABS(G3:G58)), ABS(G3:G58), 0))</f>
        <v>53490</v>
      </c>
      <c r="G59" s="192" cm="1">
        <f t="array" ref="G59">INDEX(H3:H58, MATCH(MAX(ABS(H3:H58)), ABS(H3:H58), 0))</f>
        <v>58320</v>
      </c>
      <c r="H59" s="192">
        <f>MAX(I3:I58)</f>
        <v>61236</v>
      </c>
    </row>
    <row r="60" spans="2:10" x14ac:dyDescent="0.45">
      <c r="D60" s="192">
        <f>MIN(E3:E58)</f>
        <v>6367</v>
      </c>
      <c r="E60" s="192">
        <f>MIN(F3:F58)</f>
        <v>16000</v>
      </c>
      <c r="F60" s="192">
        <f t="shared" ref="F60:G60" si="1">MIN(G3:G58)</f>
        <v>20830</v>
      </c>
      <c r="G60" s="192">
        <f t="shared" si="1"/>
        <v>25650</v>
      </c>
      <c r="H60" s="192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C185"/>
  <sheetViews>
    <sheetView showGridLines="0" topLeftCell="A28" zoomScale="130" zoomScaleNormal="130" workbookViewId="0">
      <selection activeCell="A49" sqref="A49:A7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201"/>
      <c r="G1" s="201"/>
      <c r="H1" s="201"/>
      <c r="I1" s="201"/>
      <c r="J1" s="201"/>
      <c r="K1" s="201"/>
      <c r="L1" s="201"/>
      <c r="M1" s="201"/>
      <c r="N1" s="202"/>
    </row>
    <row r="2" spans="1:15" ht="12" customHeight="1" x14ac:dyDescent="0.45">
      <c r="A2" s="69"/>
      <c r="F2" s="203"/>
      <c r="G2" s="203"/>
      <c r="H2" s="203"/>
      <c r="I2" s="203"/>
      <c r="J2" s="203"/>
      <c r="K2" s="203"/>
      <c r="L2" s="203"/>
      <c r="M2" s="203"/>
      <c r="N2" s="204"/>
    </row>
    <row r="3" spans="1:15" ht="12" customHeight="1" x14ac:dyDescent="0.45">
      <c r="A3" s="69"/>
      <c r="F3" s="203"/>
      <c r="G3" s="203"/>
      <c r="H3" s="203"/>
      <c r="I3" s="203"/>
      <c r="J3" s="203"/>
      <c r="K3" s="203"/>
      <c r="L3" s="203"/>
      <c r="M3" s="203"/>
      <c r="N3" s="204"/>
    </row>
    <row r="4" spans="1:15" ht="12" customHeight="1" x14ac:dyDescent="0.45">
      <c r="A4" s="69"/>
      <c r="F4" s="203" t="s">
        <v>64</v>
      </c>
      <c r="G4" s="203"/>
      <c r="H4" s="203"/>
      <c r="I4" s="203"/>
      <c r="J4" s="203"/>
      <c r="K4" s="203"/>
      <c r="L4" s="203"/>
      <c r="M4" s="203"/>
      <c r="N4" s="204"/>
    </row>
    <row r="5" spans="1:15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209">
        <f>'Global Strength'!C10</f>
        <v>1054200</v>
      </c>
      <c r="N11" s="209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210">
        <f>'Global Strength'!C6</f>
        <v>27.2623</v>
      </c>
      <c r="N12" s="210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210">
        <f>'Global Strength'!C5</f>
        <v>5.8730000000000002</v>
      </c>
      <c r="N13" s="210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  <c r="M14" s="209"/>
      <c r="N14" s="209"/>
    </row>
    <row r="15" spans="1:15" ht="12" customHeight="1" x14ac:dyDescent="0.45">
      <c r="A15" s="156" t="s">
        <v>257</v>
      </c>
      <c r="B15" s="156"/>
      <c r="C15" s="156"/>
      <c r="D15" s="156"/>
      <c r="E15" s="157" t="s">
        <v>91</v>
      </c>
      <c r="F15" s="158">
        <v>6.3789999999999996</v>
      </c>
      <c r="G15" s="136" t="s">
        <v>37</v>
      </c>
      <c r="I15" s="4" t="s">
        <v>92</v>
      </c>
      <c r="M15" s="209">
        <f>'Global Strength'!C27</f>
        <v>21871.5</v>
      </c>
      <c r="N15" s="209"/>
      <c r="O15" s="5" t="s">
        <v>93</v>
      </c>
    </row>
    <row r="16" spans="1:15" ht="12" customHeight="1" x14ac:dyDescent="0.45">
      <c r="F16" s="5"/>
      <c r="G16" s="5"/>
    </row>
    <row r="17" spans="1:29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9" ht="12" customHeight="1" x14ac:dyDescent="0.45">
      <c r="A18" s="4" t="s">
        <v>96</v>
      </c>
      <c r="E18" s="14" t="s">
        <v>95</v>
      </c>
      <c r="F18" s="15">
        <v>1.1000000000000001</v>
      </c>
      <c r="G18" s="5"/>
      <c r="I18" s="4">
        <v>1</v>
      </c>
    </row>
    <row r="19" spans="1:29" ht="12" customHeight="1" x14ac:dyDescent="0.45">
      <c r="C19" s="4" t="s">
        <v>97</v>
      </c>
    </row>
    <row r="20" spans="1:29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9" ht="12" customHeight="1" x14ac:dyDescent="0.45">
      <c r="A21" s="207" t="s">
        <v>101</v>
      </c>
      <c r="B21" s="207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8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9" ht="12" customHeight="1" x14ac:dyDescent="0.45">
      <c r="A22" s="207"/>
      <c r="B22" s="207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8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9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29" si="0">$M$11/ABS(($M$12/(D23-$M$13)))/1000</f>
        <v>227.10177057695057</v>
      </c>
      <c r="R23" s="65">
        <v>0</v>
      </c>
      <c r="S23" s="65">
        <v>-20.2</v>
      </c>
      <c r="T23" s="60">
        <f t="shared" ref="T23:T24" si="1">SQRT(Q23^2+R23^2-Q23*R23+3*S23^2)</f>
        <v>229.78105709389078</v>
      </c>
      <c r="U23" s="59">
        <f>MIN(K23/$F$7,1.3*(K23/$F$7-T23))</f>
        <v>120.83008032339649</v>
      </c>
      <c r="V23" s="60">
        <f>14.3*$F$8/SQRT(K23/$F$7)</f>
        <v>5.5720658924548943</v>
      </c>
      <c r="W23" s="60">
        <f>15.8*N23*L23*SQRT(J23)/SQRT(U23*P23)</f>
        <v>14.13223959383787</v>
      </c>
      <c r="X23" s="60">
        <f>MAX(V23,W23)+O23</f>
        <v>15.63223959383787</v>
      </c>
      <c r="Y23" s="146">
        <v>16</v>
      </c>
      <c r="Z23" s="60" t="str">
        <f>IF(MROUND(X23,0.5)&lt;=Y23,"OK","N.G")</f>
        <v>OK</v>
      </c>
      <c r="AA23" s="74"/>
    </row>
    <row r="24" spans="1:29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57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227.10177057695057</v>
      </c>
      <c r="R24" s="65">
        <v>0</v>
      </c>
      <c r="S24" s="65">
        <v>-14.7</v>
      </c>
      <c r="T24" s="60">
        <f t="shared" si="1"/>
        <v>228.52458117057319</v>
      </c>
      <c r="U24" s="59">
        <f>MIN(K24/$F$7,1.3*(K24/$F$7-T24))</f>
        <v>122.46349902370936</v>
      </c>
      <c r="V24" s="60">
        <f>14.3*$F$8/SQRT(K24/$F$7)</f>
        <v>5.5720658924548943</v>
      </c>
      <c r="W24" s="60">
        <f>15.8*N24*L24*SQRT(J24)/SQRT(U24*P24)</f>
        <v>14.037675272875727</v>
      </c>
      <c r="X24" s="60">
        <f>MAX(V24,W24)+O24</f>
        <v>15.537675272875727</v>
      </c>
      <c r="Y24" s="146">
        <v>16</v>
      </c>
      <c r="Z24" s="60" t="str">
        <f t="shared" ref="Z24:Z57" si="5">IF(MROUND(X24,0.5)&lt;=Y24,"OK","N.G")</f>
        <v>OK</v>
      </c>
    </row>
    <row r="25" spans="1:29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227.10177057695057</v>
      </c>
      <c r="R25" s="65">
        <v>0</v>
      </c>
      <c r="S25" s="65">
        <v>-9.5</v>
      </c>
      <c r="T25" s="60">
        <f>SQRT(Q25^2+R25^2-Q25*R25+3*S25^2)</f>
        <v>227.6970886928199</v>
      </c>
      <c r="U25" s="59">
        <f>MIN(K25/$F$7,1.3*(K25/$F$7-T25))</f>
        <v>123.53923924478863</v>
      </c>
      <c r="V25" s="60">
        <f t="shared" ref="V25:V57" si="6">14.3*$F$8/SQRT(K25/$F$7)</f>
        <v>5.5720658924548943</v>
      </c>
      <c r="W25" s="60">
        <f t="shared" ref="W25:W30" si="7">15.8*N25*L25*SQRT(J25)/SQRT(U25*P25)</f>
        <v>13.976423846451317</v>
      </c>
      <c r="X25" s="60">
        <f t="shared" ref="X25:X56" si="8">MAX(V25,W25)+O25</f>
        <v>15.476423846451317</v>
      </c>
      <c r="Y25" s="146">
        <v>16</v>
      </c>
      <c r="Z25" s="60" t="str">
        <f t="shared" si="5"/>
        <v>OK</v>
      </c>
    </row>
    <row r="26" spans="1:29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227.10177057695057</v>
      </c>
      <c r="R26" s="65">
        <v>0</v>
      </c>
      <c r="S26" s="65">
        <v>-4.4000000000000004</v>
      </c>
      <c r="T26" s="60">
        <f t="shared" ref="T26:T59" si="9">SQRT(Q26^2+R26^2-Q26*R26+3*S26^2)</f>
        <v>227.22960678394421</v>
      </c>
      <c r="U26" s="59">
        <f>MIN(K26/$F$7,1.3*(K26/$F$7-T26))</f>
        <v>124.14696572632704</v>
      </c>
      <c r="V26" s="60">
        <f t="shared" si="6"/>
        <v>5.5720658924548943</v>
      </c>
      <c r="W26" s="60">
        <f t="shared" si="7"/>
        <v>13.942173056820819</v>
      </c>
      <c r="X26" s="60">
        <f>MAX(V26,W26)+O26</f>
        <v>15.442173056820819</v>
      </c>
      <c r="Y26" s="146">
        <v>16</v>
      </c>
      <c r="Z26" s="60" t="str">
        <f t="shared" si="5"/>
        <v>OK</v>
      </c>
    </row>
    <row r="27" spans="1:29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227.10177057695057</v>
      </c>
      <c r="R27" s="65">
        <v>0</v>
      </c>
      <c r="S27" s="65">
        <v>0.8</v>
      </c>
      <c r="T27" s="60">
        <f t="shared" si="9"/>
        <v>227.10599771733439</v>
      </c>
      <c r="U27" s="59">
        <f>MIN(K27/$F$7,1.3*(K27/$F$7-T27))</f>
        <v>124.30765751291979</v>
      </c>
      <c r="V27" s="60">
        <f t="shared" si="6"/>
        <v>5.5720658924548943</v>
      </c>
      <c r="W27" s="60">
        <f t="shared" si="7"/>
        <v>13.933158659613369</v>
      </c>
      <c r="X27" s="60">
        <f t="shared" si="8"/>
        <v>15.433158659613369</v>
      </c>
      <c r="Y27" s="146">
        <v>16</v>
      </c>
      <c r="Z27" s="60" t="str">
        <f t="shared" si="5"/>
        <v>OK</v>
      </c>
    </row>
    <row r="28" spans="1:29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227.10177057695057</v>
      </c>
      <c r="R28" s="65">
        <v>0</v>
      </c>
      <c r="S28" s="65">
        <v>6</v>
      </c>
      <c r="T28" s="60">
        <f t="shared" si="9"/>
        <v>227.33942508765588</v>
      </c>
      <c r="U28" s="59">
        <f t="shared" ref="U28:U30" si="10">MIN(K28/$F$7,1.3*(K28/$F$7-T28))</f>
        <v>124.00420193150185</v>
      </c>
      <c r="V28" s="60">
        <f t="shared" si="6"/>
        <v>5.5720658924548943</v>
      </c>
      <c r="W28" s="60">
        <f t="shared" si="7"/>
        <v>13.950196434027257</v>
      </c>
      <c r="X28" s="60">
        <f t="shared" si="8"/>
        <v>15.450196434027257</v>
      </c>
      <c r="Y28" s="146">
        <v>16</v>
      </c>
      <c r="Z28" s="60" t="str">
        <f t="shared" si="5"/>
        <v>OK</v>
      </c>
    </row>
    <row r="29" spans="1:29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227.10177057695057</v>
      </c>
      <c r="R29" s="65">
        <v>0</v>
      </c>
      <c r="S29" s="65">
        <v>15.3</v>
      </c>
      <c r="T29" s="60">
        <f t="shared" si="9"/>
        <v>228.64269985981596</v>
      </c>
      <c r="U29" s="59">
        <f t="shared" si="10"/>
        <v>122.30994472769375</v>
      </c>
      <c r="V29" s="60">
        <f t="shared" si="6"/>
        <v>5.5720658924548943</v>
      </c>
      <c r="W29" s="60">
        <f t="shared" si="7"/>
        <v>14.046484324450832</v>
      </c>
      <c r="X29" s="60">
        <f t="shared" si="8"/>
        <v>15.546484324450832</v>
      </c>
      <c r="Y29" s="146">
        <v>16</v>
      </c>
      <c r="Z29" s="60" t="str">
        <f>IF(MROUND(X29,0.5)&lt;=Y29,"OK","N.G")</f>
        <v>OK</v>
      </c>
    </row>
    <row r="30" spans="1:29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ref="Q30:Q48" si="11">$M$11/ABS(($M$12/(D30-$M$13)))/1000</f>
        <v>227.10177057695057</v>
      </c>
      <c r="R30" s="65">
        <v>0</v>
      </c>
      <c r="S30" s="65">
        <v>18.5</v>
      </c>
      <c r="T30" s="60">
        <f t="shared" si="9"/>
        <v>229.35118094133699</v>
      </c>
      <c r="U30" s="59">
        <f t="shared" si="10"/>
        <v>121.38891932171641</v>
      </c>
      <c r="V30" s="60">
        <f t="shared" si="6"/>
        <v>5.5720658924548943</v>
      </c>
      <c r="W30" s="60">
        <f t="shared" si="7"/>
        <v>14.099671723316359</v>
      </c>
      <c r="X30" s="60">
        <f t="shared" si="8"/>
        <v>15.599671723316359</v>
      </c>
      <c r="Y30" s="146">
        <v>16</v>
      </c>
      <c r="Z30" s="60" t="str">
        <f t="shared" si="5"/>
        <v>OK</v>
      </c>
    </row>
    <row r="31" spans="1:29" ht="12" customHeight="1" x14ac:dyDescent="0.3">
      <c r="A31" s="82">
        <v>9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11"/>
        <v>227.10177057695057</v>
      </c>
      <c r="R31" s="85">
        <v>0</v>
      </c>
      <c r="S31" s="85">
        <v>18.399999999999999</v>
      </c>
      <c r="T31" s="86">
        <f>SQRT(Q31^2+R31^2-Q31*R31+3*S31^2)</f>
        <v>229.32704637522784</v>
      </c>
      <c r="U31" s="83">
        <f>MIN(K31/$F$7,1.3*(K31/$F$7-T31))</f>
        <v>121.42029425765831</v>
      </c>
      <c r="V31" s="86">
        <f>14.3*$F$8/SQRT(K31/$F$7)</f>
        <v>5.5720658924548943</v>
      </c>
      <c r="W31" s="86">
        <f>15.8*N31*L31*SQRT(J31)/SQRT(U31*P31)</f>
        <v>13.157993269855735</v>
      </c>
      <c r="X31" s="86">
        <f t="shared" si="8"/>
        <v>14.657993269855735</v>
      </c>
      <c r="Y31" s="196" ph="1">
        <v>16</v>
      </c>
      <c r="Z31" s="86" t="str">
        <f>IF(MROUND(X31,0.5)&lt;=Y31,"OK","N.G")</f>
        <v>OK</v>
      </c>
      <c r="AA31" s="74"/>
      <c r="AB31" s="81"/>
      <c r="AC31" s="81"/>
    </row>
    <row r="32" spans="1:29" ht="12" customHeight="1" x14ac:dyDescent="0.3">
      <c r="A32" s="82">
        <v>10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11"/>
        <v>200.033621521295</v>
      </c>
      <c r="R32" s="85">
        <v>0</v>
      </c>
      <c r="S32" s="85">
        <v>22.3</v>
      </c>
      <c r="T32" s="86">
        <f t="shared" si="9"/>
        <v>203.7285442419022</v>
      </c>
      <c r="U32" s="83">
        <f t="shared" ref="U32:U73" si="12">MIN(K32/$F$7,1.3*(K32/$F$7-T32))</f>
        <v>154.69834703098164</v>
      </c>
      <c r="V32" s="86">
        <f t="shared" si="6"/>
        <v>5.5720658924548943</v>
      </c>
      <c r="W32" s="86">
        <f t="shared" ref="W32:W56" si="13">15.8*N32*L32*SQRT(J32)/SQRT(U32*P32)</f>
        <v>11.330294565270359</v>
      </c>
      <c r="X32" s="86">
        <f t="shared" si="8"/>
        <v>12.830294565270359</v>
      </c>
      <c r="Y32" s="196" ph="1">
        <v>16</v>
      </c>
      <c r="Z32" s="86" t="str">
        <f>IF(MROUND(X32,0.5)&lt;=Y32,"OK","N.G")</f>
        <v>OK</v>
      </c>
    </row>
    <row r="33" spans="1:26" ht="12" customHeight="1" x14ac:dyDescent="0.3">
      <c r="A33" s="82">
        <v>11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11"/>
        <v>172.96547246563941</v>
      </c>
      <c r="R33" s="85">
        <v>0</v>
      </c>
      <c r="S33" s="85">
        <v>25.7</v>
      </c>
      <c r="T33" s="86">
        <f t="shared" si="9"/>
        <v>178.60158080280775</v>
      </c>
      <c r="U33" s="83">
        <f t="shared" si="12"/>
        <v>187.36339950180442</v>
      </c>
      <c r="V33" s="86">
        <f t="shared" si="6"/>
        <v>5.5720658924548943</v>
      </c>
      <c r="W33" s="86">
        <f t="shared" si="13"/>
        <v>9.989534797951368</v>
      </c>
      <c r="X33" s="86">
        <f t="shared" si="8"/>
        <v>11.489534797951368</v>
      </c>
      <c r="Y33" s="196" ph="1">
        <v>16</v>
      </c>
      <c r="Z33" s="86" t="str">
        <f>IF(MROUND(X33,0.5)&lt;=Y33,"OK","N.G")</f>
        <v>OK</v>
      </c>
    </row>
    <row r="34" spans="1:26" ht="12" customHeight="1" x14ac:dyDescent="0.3">
      <c r="A34" s="82">
        <v>12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11"/>
        <v>145.89732340998378</v>
      </c>
      <c r="R34" s="85">
        <v>0</v>
      </c>
      <c r="S34" s="85">
        <v>28.6</v>
      </c>
      <c r="T34" s="86">
        <f t="shared" si="9"/>
        <v>154.07760699789378</v>
      </c>
      <c r="U34" s="83">
        <f t="shared" si="12"/>
        <v>219.24456544819259</v>
      </c>
      <c r="V34" s="86">
        <f t="shared" si="6"/>
        <v>5.5720658924548943</v>
      </c>
      <c r="W34" s="86">
        <f t="shared" si="13"/>
        <v>8.9430567811683304</v>
      </c>
      <c r="X34" s="86">
        <f t="shared" si="8"/>
        <v>10.44305678116833</v>
      </c>
      <c r="Y34" s="196" ph="1">
        <v>16</v>
      </c>
      <c r="Z34" s="86" t="str">
        <f t="shared" si="5"/>
        <v>OK</v>
      </c>
    </row>
    <row r="35" spans="1:26" ht="12" customHeight="1" x14ac:dyDescent="0.3">
      <c r="A35" s="82">
        <v>13</v>
      </c>
      <c r="B35" s="82" t="s">
        <v>133</v>
      </c>
      <c r="C35" s="82">
        <v>7.8559999999999999</v>
      </c>
      <c r="D35" s="86">
        <f t="shared" ref="D35:D48" si="14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11"/>
        <v>118.82917435432816</v>
      </c>
      <c r="R35" s="85">
        <v>0</v>
      </c>
      <c r="S35" s="85">
        <v>30.7</v>
      </c>
      <c r="T35" s="86">
        <f t="shared" si="9"/>
        <v>130.18388025301491</v>
      </c>
      <c r="U35" s="83">
        <f t="shared" si="12"/>
        <v>250.30641021653514</v>
      </c>
      <c r="V35" s="86">
        <f t="shared" si="6"/>
        <v>5.5720658924548943</v>
      </c>
      <c r="W35" s="86">
        <f t="shared" si="13"/>
        <v>8.0876233819126373</v>
      </c>
      <c r="X35" s="86">
        <f t="shared" si="8"/>
        <v>9.5876233819126373</v>
      </c>
      <c r="Y35" s="196" ph="1">
        <v>16</v>
      </c>
      <c r="Z35" s="86" t="str">
        <f t="shared" si="5"/>
        <v>OK</v>
      </c>
    </row>
    <row r="36" spans="1:26" ht="12" customHeight="1" x14ac:dyDescent="0.3">
      <c r="A36" s="82">
        <v>14</v>
      </c>
      <c r="B36" s="82" t="s">
        <v>133</v>
      </c>
      <c r="C36" s="82">
        <v>7.8559999999999999</v>
      </c>
      <c r="D36" s="86">
        <f t="shared" si="14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11"/>
        <v>91.761025298672521</v>
      </c>
      <c r="R36" s="85">
        <v>0</v>
      </c>
      <c r="S36" s="85">
        <v>32.5</v>
      </c>
      <c r="T36" s="86">
        <f t="shared" si="9"/>
        <v>107.65145500114534</v>
      </c>
      <c r="U36" s="83">
        <f t="shared" si="12"/>
        <v>279.59856304396556</v>
      </c>
      <c r="V36" s="86">
        <f t="shared" si="6"/>
        <v>5.5720658924548943</v>
      </c>
      <c r="W36" s="86">
        <f t="shared" si="13"/>
        <v>7.3756231180281349</v>
      </c>
      <c r="X36" s="86">
        <f t="shared" si="8"/>
        <v>8.875623118028134</v>
      </c>
      <c r="Y36" s="196" ph="1">
        <v>16</v>
      </c>
      <c r="Z36" s="86" t="str">
        <f t="shared" si="5"/>
        <v>OK</v>
      </c>
    </row>
    <row r="37" spans="1:26" ht="12" customHeight="1" x14ac:dyDescent="0.3">
      <c r="A37" s="82">
        <v>15</v>
      </c>
      <c r="B37" s="82" t="s">
        <v>133</v>
      </c>
      <c r="C37" s="82">
        <v>7.8559999999999999</v>
      </c>
      <c r="D37" s="86">
        <f t="shared" si="14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11"/>
        <v>64.692876243016912</v>
      </c>
      <c r="R37" s="85">
        <v>0</v>
      </c>
      <c r="S37" s="85">
        <v>33.799999999999997</v>
      </c>
      <c r="T37" s="86">
        <f t="shared" si="9"/>
        <v>87.249574420705926</v>
      </c>
      <c r="U37" s="83">
        <f t="shared" si="12"/>
        <v>306.12100779853682</v>
      </c>
      <c r="V37" s="86">
        <f t="shared" si="6"/>
        <v>5.5720658924548943</v>
      </c>
      <c r="W37" s="86">
        <f t="shared" si="13"/>
        <v>6.7741851411280756</v>
      </c>
      <c r="X37" s="86">
        <f t="shared" si="8"/>
        <v>8.2741851411280756</v>
      </c>
      <c r="Y37" s="196" ph="1">
        <v>16</v>
      </c>
      <c r="Z37" s="86" t="str">
        <f t="shared" si="5"/>
        <v>OK</v>
      </c>
    </row>
    <row r="38" spans="1:26" ht="12" customHeight="1" x14ac:dyDescent="0.3">
      <c r="A38" s="82">
        <v>16</v>
      </c>
      <c r="B38" s="82" t="s">
        <v>133</v>
      </c>
      <c r="C38" s="82">
        <v>7.8559999999999999</v>
      </c>
      <c r="D38" s="86">
        <f t="shared" si="14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11"/>
        <v>37.624727187361302</v>
      </c>
      <c r="R38" s="85">
        <v>0</v>
      </c>
      <c r="S38" s="85">
        <v>34.6</v>
      </c>
      <c r="T38" s="86">
        <f t="shared" si="9"/>
        <v>70.760865567934971</v>
      </c>
      <c r="U38" s="83">
        <f t="shared" si="12"/>
        <v>322.72727272727269</v>
      </c>
      <c r="V38" s="86">
        <f t="shared" si="6"/>
        <v>5.5720658924548943</v>
      </c>
      <c r="W38" s="86">
        <f t="shared" si="13"/>
        <v>6.3187543844466276</v>
      </c>
      <c r="X38" s="86">
        <f t="shared" si="8"/>
        <v>7.8187543844466276</v>
      </c>
      <c r="Y38" s="196" ph="1">
        <v>16</v>
      </c>
      <c r="Z38" s="86" t="str">
        <f t="shared" si="5"/>
        <v>OK</v>
      </c>
    </row>
    <row r="39" spans="1:26" ht="12" customHeight="1" x14ac:dyDescent="0.3">
      <c r="A39" s="82">
        <v>17</v>
      </c>
      <c r="B39" s="82" t="s">
        <v>133</v>
      </c>
      <c r="C39" s="82">
        <v>7.8559999999999999</v>
      </c>
      <c r="D39" s="86">
        <f t="shared" si="14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11"/>
        <v>10.556578131705676</v>
      </c>
      <c r="R39" s="85">
        <v>0</v>
      </c>
      <c r="S39" s="85">
        <v>0</v>
      </c>
      <c r="T39" s="86">
        <f t="shared" si="9"/>
        <v>10.556578131705676</v>
      </c>
      <c r="U39" s="83">
        <f t="shared" si="12"/>
        <v>322.72727272727269</v>
      </c>
      <c r="V39" s="86">
        <f t="shared" si="6"/>
        <v>5.5720658924548943</v>
      </c>
      <c r="W39" s="86">
        <f t="shared" si="13"/>
        <v>6.0270246011751434</v>
      </c>
      <c r="X39" s="86">
        <f t="shared" si="8"/>
        <v>7.5270246011751434</v>
      </c>
      <c r="Y39" s="196" ph="1">
        <v>16</v>
      </c>
      <c r="Z39" s="86" t="str">
        <f t="shared" si="5"/>
        <v>OK</v>
      </c>
    </row>
    <row r="40" spans="1:26" ht="12" customHeight="1" x14ac:dyDescent="0.3">
      <c r="A40" s="82">
        <v>18</v>
      </c>
      <c r="B40" s="82" t="s">
        <v>133</v>
      </c>
      <c r="C40" s="82">
        <v>7.8559999999999999</v>
      </c>
      <c r="D40" s="86">
        <f t="shared" si="14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11"/>
        <v>16.51157092394994</v>
      </c>
      <c r="R40" s="85">
        <v>0</v>
      </c>
      <c r="S40" s="85">
        <v>34.9</v>
      </c>
      <c r="T40" s="86">
        <f t="shared" si="9"/>
        <v>62.663083026424964</v>
      </c>
      <c r="U40" s="83">
        <f t="shared" si="12"/>
        <v>322.72727272727269</v>
      </c>
      <c r="V40" s="86">
        <f t="shared" si="6"/>
        <v>5.5720658924548943</v>
      </c>
      <c r="W40" s="86">
        <f t="shared" si="13"/>
        <v>5.7204365318896162</v>
      </c>
      <c r="X40" s="86">
        <f t="shared" si="8"/>
        <v>7.2204365318896162</v>
      </c>
      <c r="Y40" s="196" ph="1">
        <v>16</v>
      </c>
      <c r="Z40" s="86" t="str">
        <f t="shared" si="5"/>
        <v>OK</v>
      </c>
    </row>
    <row r="41" spans="1:26" ht="12" customHeight="1" x14ac:dyDescent="0.3">
      <c r="A41" s="82">
        <v>19</v>
      </c>
      <c r="B41" s="82" t="s">
        <v>133</v>
      </c>
      <c r="C41" s="82">
        <v>7.8559999999999999</v>
      </c>
      <c r="D41" s="86">
        <f t="shared" si="14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11"/>
        <v>43.579719979605564</v>
      </c>
      <c r="R41" s="85">
        <v>0</v>
      </c>
      <c r="S41" s="85">
        <v>34.4</v>
      </c>
      <c r="T41" s="86">
        <f t="shared" si="9"/>
        <v>73.819184454319412</v>
      </c>
      <c r="U41" s="83">
        <f t="shared" si="12"/>
        <v>322.72727272727269</v>
      </c>
      <c r="V41" s="86">
        <f t="shared" si="6"/>
        <v>5.5720658924548943</v>
      </c>
      <c r="W41" s="86">
        <f t="shared" si="13"/>
        <v>5.396458346692226</v>
      </c>
      <c r="X41" s="86">
        <f t="shared" si="8"/>
        <v>7.0720658924548943</v>
      </c>
      <c r="Y41" s="196" ph="1">
        <v>16</v>
      </c>
      <c r="Z41" s="86" t="str">
        <f t="shared" si="5"/>
        <v>OK</v>
      </c>
    </row>
    <row r="42" spans="1:26" ht="12" customHeight="1" x14ac:dyDescent="0.3">
      <c r="A42" s="82">
        <v>20</v>
      </c>
      <c r="B42" s="82" t="s">
        <v>133</v>
      </c>
      <c r="C42" s="82">
        <v>7.8559999999999999</v>
      </c>
      <c r="D42" s="86">
        <f t="shared" si="14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11"/>
        <v>70.647869035261195</v>
      </c>
      <c r="R42" s="85">
        <v>0</v>
      </c>
      <c r="S42" s="85">
        <v>33.4</v>
      </c>
      <c r="T42" s="86">
        <f t="shared" si="9"/>
        <v>91.311562242814674</v>
      </c>
      <c r="U42" s="83">
        <f t="shared" si="12"/>
        <v>300.84042362979545</v>
      </c>
      <c r="V42" s="86">
        <f t="shared" si="6"/>
        <v>5.5720658924548943</v>
      </c>
      <c r="W42" s="86">
        <f t="shared" si="13"/>
        <v>5.2322825699514048</v>
      </c>
      <c r="X42" s="86">
        <f t="shared" si="8"/>
        <v>7.0720658924548943</v>
      </c>
      <c r="Y42" s="196" ph="1">
        <v>16</v>
      </c>
      <c r="Z42" s="86" t="str">
        <f t="shared" si="5"/>
        <v>OK</v>
      </c>
    </row>
    <row r="43" spans="1:26" ht="12" customHeight="1" x14ac:dyDescent="0.3">
      <c r="A43" s="82">
        <v>21</v>
      </c>
      <c r="B43" s="82" t="s">
        <v>133</v>
      </c>
      <c r="C43" s="82">
        <v>7.8559999999999999</v>
      </c>
      <c r="D43" s="86">
        <f t="shared" si="14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11"/>
        <v>97.716018090916748</v>
      </c>
      <c r="R43" s="85">
        <v>0</v>
      </c>
      <c r="S43" s="85">
        <v>32</v>
      </c>
      <c r="T43" s="86">
        <f t="shared" si="9"/>
        <v>112.34064354250589</v>
      </c>
      <c r="U43" s="83">
        <f t="shared" si="12"/>
        <v>273.50261794019684</v>
      </c>
      <c r="V43" s="86">
        <f t="shared" si="6"/>
        <v>5.5720658924548943</v>
      </c>
      <c r="W43" s="86">
        <f t="shared" si="13"/>
        <v>5.0856035700870681</v>
      </c>
      <c r="X43" s="86">
        <f t="shared" si="8"/>
        <v>7.0720658924548943</v>
      </c>
      <c r="Y43" s="196" ph="1">
        <v>16</v>
      </c>
      <c r="Z43" s="86" t="str">
        <f t="shared" si="5"/>
        <v>OK</v>
      </c>
    </row>
    <row r="44" spans="1:26" ht="12" customHeight="1" x14ac:dyDescent="0.3">
      <c r="A44" s="82">
        <v>22</v>
      </c>
      <c r="B44" s="82" t="s">
        <v>133</v>
      </c>
      <c r="C44" s="82">
        <v>7.8559999999999999</v>
      </c>
      <c r="D44" s="86">
        <f t="shared" si="14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11"/>
        <v>124.78416714657234</v>
      </c>
      <c r="R44" s="85">
        <v>0</v>
      </c>
      <c r="S44" s="85">
        <v>30.1</v>
      </c>
      <c r="T44" s="86">
        <f t="shared" si="9"/>
        <v>135.23726694392971</v>
      </c>
      <c r="U44" s="83">
        <f t="shared" si="12"/>
        <v>243.73700751834588</v>
      </c>
      <c r="V44" s="86">
        <f t="shared" si="6"/>
        <v>5.5720658924548943</v>
      </c>
      <c r="W44" s="86">
        <f t="shared" si="13"/>
        <v>4.9247332210929846</v>
      </c>
      <c r="X44" s="86">
        <f t="shared" si="8"/>
        <v>7.0720658924548943</v>
      </c>
      <c r="Y44" s="196" ph="1">
        <v>16</v>
      </c>
      <c r="Z44" s="86" t="str">
        <f t="shared" si="5"/>
        <v>OK</v>
      </c>
    </row>
    <row r="45" spans="1:26" ht="12" customHeight="1" x14ac:dyDescent="0.3">
      <c r="A45" s="82">
        <v>23</v>
      </c>
      <c r="B45" s="82" t="s">
        <v>133</v>
      </c>
      <c r="C45" s="82">
        <v>7.8559999999999999</v>
      </c>
      <c r="D45" s="86">
        <f t="shared" si="14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11"/>
        <v>151.85231620222794</v>
      </c>
      <c r="R45" s="85">
        <v>0</v>
      </c>
      <c r="S45" s="85">
        <v>27.7</v>
      </c>
      <c r="T45" s="86">
        <f t="shared" si="9"/>
        <v>159.25136086068909</v>
      </c>
      <c r="U45" s="83">
        <f t="shared" si="12"/>
        <v>212.51868542655868</v>
      </c>
      <c r="V45" s="86">
        <f t="shared" si="6"/>
        <v>5.5720658924548943</v>
      </c>
      <c r="W45" s="86">
        <f t="shared" si="13"/>
        <v>4.7271883182089285</v>
      </c>
      <c r="X45" s="86">
        <f t="shared" si="8"/>
        <v>7.0720658924548943</v>
      </c>
      <c r="Y45" s="196" ph="1">
        <v>16</v>
      </c>
      <c r="Z45" s="86" t="str">
        <f t="shared" si="5"/>
        <v>OK</v>
      </c>
    </row>
    <row r="46" spans="1:26" ht="12" customHeight="1" x14ac:dyDescent="0.3">
      <c r="A46" s="82">
        <v>24</v>
      </c>
      <c r="B46" s="82" t="s">
        <v>133</v>
      </c>
      <c r="C46" s="82">
        <v>7.8559999999999999</v>
      </c>
      <c r="D46" s="86">
        <f t="shared" si="14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11"/>
        <v>178.92046525788354</v>
      </c>
      <c r="R46" s="85">
        <v>0</v>
      </c>
      <c r="S46" s="85">
        <v>25</v>
      </c>
      <c r="T46" s="86">
        <f t="shared" si="9"/>
        <v>184.08566725331312</v>
      </c>
      <c r="U46" s="83">
        <f t="shared" si="12"/>
        <v>180.23408711614746</v>
      </c>
      <c r="V46" s="86">
        <f t="shared" si="6"/>
        <v>5.5720658924548943</v>
      </c>
      <c r="W46" s="86">
        <f t="shared" si="13"/>
        <v>4.4609448852168239</v>
      </c>
      <c r="X46" s="86">
        <f t="shared" si="8"/>
        <v>7.0720658924548943</v>
      </c>
      <c r="Y46" s="196" ph="1">
        <v>16</v>
      </c>
      <c r="Z46" s="86" t="str">
        <f t="shared" si="5"/>
        <v>OK</v>
      </c>
    </row>
    <row r="47" spans="1:26" ht="12" customHeight="1" x14ac:dyDescent="0.3">
      <c r="A47" s="82">
        <v>25</v>
      </c>
      <c r="B47" s="82" t="s">
        <v>133</v>
      </c>
      <c r="C47" s="82">
        <v>7.8559999999999999</v>
      </c>
      <c r="D47" s="86">
        <f t="shared" si="14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11"/>
        <v>205.9886143135391</v>
      </c>
      <c r="R47" s="85">
        <v>0</v>
      </c>
      <c r="S47" s="85">
        <v>17.100000000000001</v>
      </c>
      <c r="T47" s="86">
        <f t="shared" si="9"/>
        <v>208.10703790792846</v>
      </c>
      <c r="U47" s="83">
        <f t="shared" si="12"/>
        <v>149.00630526514752</v>
      </c>
      <c r="V47" s="86">
        <f t="shared" si="6"/>
        <v>5.5720658924548943</v>
      </c>
      <c r="W47" s="86">
        <f t="shared" si="13"/>
        <v>4.033597437369429</v>
      </c>
      <c r="X47" s="86">
        <f t="shared" si="8"/>
        <v>7.0720658924548943</v>
      </c>
      <c r="Y47" s="196" ph="1">
        <v>16</v>
      </c>
      <c r="Z47" s="86" t="str">
        <f t="shared" si="5"/>
        <v>OK</v>
      </c>
    </row>
    <row r="48" spans="1:26" ht="12" customHeight="1" x14ac:dyDescent="0.3">
      <c r="A48" s="82">
        <v>26</v>
      </c>
      <c r="B48" s="82" t="s">
        <v>133</v>
      </c>
      <c r="C48" s="82">
        <v>7.8559999999999999</v>
      </c>
      <c r="D48" s="86">
        <f t="shared" si="14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11"/>
        <v>233.0567633691947</v>
      </c>
      <c r="R48" s="85">
        <v>0</v>
      </c>
      <c r="S48" s="85">
        <v>14.1</v>
      </c>
      <c r="T48" s="86">
        <f t="shared" si="9"/>
        <v>234.33285077454423</v>
      </c>
      <c r="U48" s="83">
        <f t="shared" si="12"/>
        <v>114.91274853854701</v>
      </c>
      <c r="V48" s="86">
        <f t="shared" si="6"/>
        <v>5.5720658924548943</v>
      </c>
      <c r="W48" s="86">
        <f t="shared" si="13"/>
        <v>3.3139132655660108</v>
      </c>
      <c r="X48" s="86">
        <f t="shared" si="8"/>
        <v>7.0720658924548943</v>
      </c>
      <c r="Y48" s="196" ph="1">
        <v>16</v>
      </c>
      <c r="Z48" s="86" t="str">
        <f t="shared" si="5"/>
        <v>OK</v>
      </c>
    </row>
    <row r="49" spans="1:28" ht="12" customHeight="1" x14ac:dyDescent="0.3">
      <c r="A49" s="87">
        <v>1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233.05676336919484</v>
      </c>
      <c r="R49" s="90">
        <v>0</v>
      </c>
      <c r="S49" s="90">
        <v>-20.2</v>
      </c>
      <c r="T49" s="91">
        <f t="shared" si="9"/>
        <v>235.66835797816574</v>
      </c>
      <c r="U49" s="88">
        <f t="shared" si="12"/>
        <v>113.17658917383903</v>
      </c>
      <c r="V49" s="91">
        <f t="shared" si="6"/>
        <v>5.5720658924548943</v>
      </c>
      <c r="W49" s="91">
        <f t="shared" si="13"/>
        <v>3.5777514502378969</v>
      </c>
      <c r="X49" s="91">
        <f t="shared" si="8"/>
        <v>7.0720658924548943</v>
      </c>
      <c r="Y49" s="197" ph="1">
        <v>20</v>
      </c>
      <c r="Z49" s="91" t="str">
        <f t="shared" si="5"/>
        <v>OK</v>
      </c>
    </row>
    <row r="50" spans="1:28" ht="12" customHeight="1" x14ac:dyDescent="0.3">
      <c r="A50" s="87">
        <v>2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5">$M$11/ABS(($M$12/(D50-$M$13)))/1000</f>
        <v>233.05676336919484</v>
      </c>
      <c r="R50" s="90">
        <v>0</v>
      </c>
      <c r="S50" s="90">
        <v>-14.4</v>
      </c>
      <c r="T50" s="91">
        <f t="shared" si="9"/>
        <v>234.38757422722921</v>
      </c>
      <c r="U50" s="88">
        <f t="shared" si="12"/>
        <v>114.84160805005654</v>
      </c>
      <c r="V50" s="91">
        <f t="shared" si="6"/>
        <v>5.5720658924548943</v>
      </c>
      <c r="W50" s="91">
        <f t="shared" si="13"/>
        <v>3.551720930568607</v>
      </c>
      <c r="X50" s="91">
        <f t="shared" si="8"/>
        <v>7.0720658924548943</v>
      </c>
      <c r="Y50" s="197" ph="1">
        <v>20</v>
      </c>
      <c r="Z50" s="91" t="str">
        <f t="shared" si="5"/>
        <v>OK</v>
      </c>
    </row>
    <row r="51" spans="1:28" ht="12" customHeight="1" x14ac:dyDescent="0.3">
      <c r="A51" s="87">
        <v>3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5"/>
        <v>233.05676336919484</v>
      </c>
      <c r="R51" s="90">
        <v>0</v>
      </c>
      <c r="S51" s="90">
        <v>-9.5</v>
      </c>
      <c r="T51" s="91">
        <f t="shared" si="9"/>
        <v>233.63690836878681</v>
      </c>
      <c r="U51" s="88">
        <f t="shared" si="12"/>
        <v>115.81747366603166</v>
      </c>
      <c r="V51" s="91">
        <f t="shared" si="6"/>
        <v>5.5720658924548943</v>
      </c>
      <c r="W51" s="91">
        <f t="shared" si="13"/>
        <v>3.5367260675889916</v>
      </c>
      <c r="X51" s="91">
        <f t="shared" si="8"/>
        <v>7.0720658924548943</v>
      </c>
      <c r="Y51" s="197" ph="1">
        <v>20</v>
      </c>
      <c r="Z51" s="91" t="str">
        <f t="shared" si="5"/>
        <v>OK</v>
      </c>
    </row>
    <row r="52" spans="1:28" ht="12" customHeight="1" x14ac:dyDescent="0.3">
      <c r="A52" s="87">
        <v>4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5"/>
        <v>233.05676336919484</v>
      </c>
      <c r="R52" s="90">
        <v>0</v>
      </c>
      <c r="S52" s="90">
        <v>-4.8</v>
      </c>
      <c r="T52" s="91">
        <f t="shared" si="9"/>
        <v>233.2050062758621</v>
      </c>
      <c r="U52" s="88">
        <f t="shared" si="12"/>
        <v>116.37894638683376</v>
      </c>
      <c r="V52" s="91">
        <f t="shared" si="6"/>
        <v>5.5720658924548943</v>
      </c>
      <c r="W52" s="91">
        <f t="shared" si="13"/>
        <v>3.5281842472319456</v>
      </c>
      <c r="X52" s="91">
        <f t="shared" si="8"/>
        <v>7.0720658924548943</v>
      </c>
      <c r="Y52" s="197" ph="1">
        <v>20</v>
      </c>
      <c r="Z52" s="91" t="str">
        <f t="shared" si="5"/>
        <v>OK</v>
      </c>
    </row>
    <row r="53" spans="1:28" ht="12" customHeight="1" x14ac:dyDescent="0.3">
      <c r="A53" s="87">
        <v>5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5"/>
        <v>233.05676336919484</v>
      </c>
      <c r="R53" s="90">
        <v>0</v>
      </c>
      <c r="S53" s="90">
        <v>-0.11</v>
      </c>
      <c r="T53" s="91">
        <f t="shared" si="9"/>
        <v>233.05684124720491</v>
      </c>
      <c r="U53" s="88">
        <f t="shared" si="12"/>
        <v>116.57156092408812</v>
      </c>
      <c r="V53" s="91">
        <f t="shared" si="6"/>
        <v>5.5720658924548943</v>
      </c>
      <c r="W53" s="91">
        <f t="shared" si="13"/>
        <v>3.5252681820908709</v>
      </c>
      <c r="X53" s="91">
        <f t="shared" si="8"/>
        <v>7.0720658924548943</v>
      </c>
      <c r="Y53" s="197" ph="1">
        <v>20</v>
      </c>
      <c r="Z53" s="91" t="str">
        <f t="shared" si="5"/>
        <v>OK</v>
      </c>
    </row>
    <row r="54" spans="1:28" ht="12" customHeight="1" x14ac:dyDescent="0.3">
      <c r="A54" s="87">
        <v>6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5"/>
        <v>233.05676336919484</v>
      </c>
      <c r="R54" s="90">
        <v>0</v>
      </c>
      <c r="S54" s="90">
        <v>4.3</v>
      </c>
      <c r="T54" s="91">
        <f t="shared" si="9"/>
        <v>233.17573834368977</v>
      </c>
      <c r="U54" s="88">
        <f t="shared" si="12"/>
        <v>116.4169946986578</v>
      </c>
      <c r="V54" s="91">
        <f t="shared" si="6"/>
        <v>5.5720658924548943</v>
      </c>
      <c r="W54" s="91">
        <f t="shared" si="13"/>
        <v>3.5276076457442853</v>
      </c>
      <c r="X54" s="91">
        <f t="shared" si="8"/>
        <v>7.0720658924548943</v>
      </c>
      <c r="Y54" s="197" ph="1">
        <v>20</v>
      </c>
      <c r="Z54" s="91" t="str">
        <f t="shared" si="5"/>
        <v>OK</v>
      </c>
    </row>
    <row r="55" spans="1:28" ht="12" customHeight="1" x14ac:dyDescent="0.3">
      <c r="A55" s="87">
        <v>7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5"/>
        <v>233.05676336919484</v>
      </c>
      <c r="R55" s="90">
        <v>0</v>
      </c>
      <c r="S55" s="90">
        <v>15.3</v>
      </c>
      <c r="T55" s="91">
        <f t="shared" si="9"/>
        <v>234.5585746719247</v>
      </c>
      <c r="U55" s="88">
        <f t="shared" si="12"/>
        <v>114.61930747195238</v>
      </c>
      <c r="V55" s="91">
        <f t="shared" si="6"/>
        <v>5.5720658924548943</v>
      </c>
      <c r="W55" s="91">
        <f t="shared" si="13"/>
        <v>3.5551634882737724</v>
      </c>
      <c r="X55" s="91">
        <f t="shared" si="8"/>
        <v>7.0720658924548943</v>
      </c>
      <c r="Y55" s="197" ph="1">
        <v>20</v>
      </c>
      <c r="Z55" s="91" t="str">
        <f t="shared" si="5"/>
        <v>OK</v>
      </c>
    </row>
    <row r="56" spans="1:28" ht="12" customHeight="1" x14ac:dyDescent="0.3">
      <c r="A56" s="87">
        <v>8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5"/>
        <v>233.05676336919484</v>
      </c>
      <c r="R56" s="90">
        <v>0</v>
      </c>
      <c r="S56" s="90">
        <v>18.399999999999999</v>
      </c>
      <c r="T56" s="91">
        <f t="shared" si="9"/>
        <v>235.22571065282145</v>
      </c>
      <c r="U56" s="88">
        <f t="shared" si="12"/>
        <v>113.75203069678662</v>
      </c>
      <c r="V56" s="91">
        <f t="shared" si="6"/>
        <v>5.5720658924548943</v>
      </c>
      <c r="W56" s="91">
        <f t="shared" si="13"/>
        <v>3.5686905259974004</v>
      </c>
      <c r="X56" s="91">
        <f t="shared" si="8"/>
        <v>7.0720658924548943</v>
      </c>
      <c r="Y56" s="197" ph="1">
        <v>20</v>
      </c>
      <c r="Z56" s="91" t="str">
        <f t="shared" si="5"/>
        <v>OK</v>
      </c>
    </row>
    <row r="57" spans="1:28" ht="12" customHeight="1" x14ac:dyDescent="0.3">
      <c r="A57" s="92">
        <v>1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2"/>
        <v>322.72727272727269</v>
      </c>
      <c r="V57" s="96">
        <f t="shared" si="6"/>
        <v>5.5720658924548943</v>
      </c>
      <c r="W57" s="96">
        <f>15.8*N57*L57*SQRT(J57)/SQRT(U57*P57)</f>
        <v>8.6473032593631434</v>
      </c>
      <c r="X57" s="96">
        <f t="shared" ref="X57:X74" si="16">MAX(V57,W57)+O57</f>
        <v>10.147303259363143</v>
      </c>
      <c r="Y57" s="155" ph="1">
        <v>16</v>
      </c>
      <c r="Z57" s="96" t="str">
        <f t="shared" si="5"/>
        <v>OK</v>
      </c>
    </row>
    <row r="58" spans="1:28" ht="12" customHeight="1" x14ac:dyDescent="0.3">
      <c r="A58" s="92">
        <v>2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ref="G58:G74" si="17">E58*$F$18+F58*$F$17</f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22.790656260557402</v>
      </c>
      <c r="T58" s="96">
        <f t="shared" si="9"/>
        <v>39.474574581123136</v>
      </c>
      <c r="U58" s="93">
        <f t="shared" si="12"/>
        <v>322.72727272727269</v>
      </c>
      <c r="V58" s="96">
        <f t="shared" ref="V58:V74" si="18">14.3*$F$8/SQRT(K58/$F$7)</f>
        <v>5.5720658924548943</v>
      </c>
      <c r="W58" s="96">
        <f>15.8*N58*L58*SQRT(J58)/SQRT(U58*P58)</f>
        <v>8.4048395455029592</v>
      </c>
      <c r="X58" s="96">
        <f t="shared" si="16"/>
        <v>9.9048395455029592</v>
      </c>
      <c r="Y58" s="155" ph="1">
        <v>16</v>
      </c>
      <c r="Z58" s="96" t="str">
        <f t="shared" ref="Z58:Z74" si="19">IF(MROUND(X58,0.5)&lt;=Y58,"OK","N.G")</f>
        <v>OK</v>
      </c>
    </row>
    <row r="59" spans="1:28" ht="12" customHeight="1" x14ac:dyDescent="0.3">
      <c r="A59" s="92">
        <v>3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17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25.116716907297899</v>
      </c>
      <c r="T59" s="96">
        <f t="shared" si="9"/>
        <v>43.503429802764202</v>
      </c>
      <c r="U59" s="93">
        <f t="shared" si="12"/>
        <v>322.72727272727269</v>
      </c>
      <c r="V59" s="96">
        <f t="shared" si="18"/>
        <v>5.5720658924548943</v>
      </c>
      <c r="W59" s="96">
        <f t="shared" ref="W59:W74" si="20">15.8*N59*L59*SQRT(J59)/SQRT(U59*P59)</f>
        <v>8.1551702564635828</v>
      </c>
      <c r="X59" s="96">
        <f t="shared" si="16"/>
        <v>9.6551702564635828</v>
      </c>
      <c r="Y59" s="155" ph="1">
        <v>16</v>
      </c>
      <c r="Z59" s="96" t="str">
        <f t="shared" si="19"/>
        <v>OK</v>
      </c>
    </row>
    <row r="60" spans="1:28" ht="12" customHeight="1" x14ac:dyDescent="0.3">
      <c r="A60" s="92">
        <v>4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17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27.109419100389399</v>
      </c>
      <c r="T60" s="96">
        <f t="shared" ref="T60:T74" si="21">SQRT(Q60^2+R60^2-Q60*R60+3*S60^2)</f>
        <v>46.954891245552602</v>
      </c>
      <c r="U60" s="93">
        <f t="shared" si="12"/>
        <v>322.72727272727269</v>
      </c>
      <c r="V60" s="96">
        <f t="shared" si="18"/>
        <v>5.5720658924548943</v>
      </c>
      <c r="W60" s="96">
        <f t="shared" si="20"/>
        <v>7.897612046572446</v>
      </c>
      <c r="X60" s="96">
        <f t="shared" si="16"/>
        <v>9.397612046572446</v>
      </c>
      <c r="Y60" s="155" ph="1">
        <v>16</v>
      </c>
      <c r="Z60" s="96" t="str">
        <f t="shared" si="19"/>
        <v>OK</v>
      </c>
    </row>
    <row r="61" spans="1:28" ht="12" customHeight="1" x14ac:dyDescent="0.3">
      <c r="A61" s="92">
        <v>5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17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28.6999999999999</v>
      </c>
      <c r="T61" s="96">
        <f t="shared" si="21"/>
        <v>49.709858177226607</v>
      </c>
      <c r="U61" s="93">
        <f t="shared" si="12"/>
        <v>322.72727272727269</v>
      </c>
      <c r="V61" s="96">
        <f t="shared" si="18"/>
        <v>5.5720658924548943</v>
      </c>
      <c r="W61" s="96">
        <f t="shared" si="20"/>
        <v>7.6313662056295097</v>
      </c>
      <c r="X61" s="96">
        <f t="shared" si="16"/>
        <v>9.1313662056295097</v>
      </c>
      <c r="Y61" s="155" ph="1">
        <v>16</v>
      </c>
      <c r="Z61" s="96" t="str">
        <f t="shared" si="19"/>
        <v>OK</v>
      </c>
    </row>
    <row r="62" spans="1:28" ht="12" customHeight="1" x14ac:dyDescent="0.3">
      <c r="A62" s="92">
        <v>6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17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29.857936048389998</v>
      </c>
      <c r="T62" s="96">
        <f t="shared" si="21"/>
        <v>51.715462244953791</v>
      </c>
      <c r="U62" s="93">
        <f t="shared" si="12"/>
        <v>322.72727272727269</v>
      </c>
      <c r="V62" s="96">
        <f t="shared" si="18"/>
        <v>5.5720658924548943</v>
      </c>
      <c r="W62" s="96">
        <f t="shared" si="20"/>
        <v>7.3554893984480767</v>
      </c>
      <c r="X62" s="96">
        <f t="shared" si="16"/>
        <v>8.8554893984480767</v>
      </c>
      <c r="Y62" s="155" ph="1">
        <v>16</v>
      </c>
      <c r="Z62" s="96" t="str">
        <f t="shared" si="19"/>
        <v>OK</v>
      </c>
    </row>
    <row r="63" spans="1:28" ht="12" customHeight="1" x14ac:dyDescent="0.3">
      <c r="A63" s="92">
        <v>7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17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30.705660816190498</v>
      </c>
      <c r="T63" s="96">
        <f t="shared" si="21"/>
        <v>53.183764613618784</v>
      </c>
      <c r="U63" s="93">
        <f t="shared" si="12"/>
        <v>322.72727272727269</v>
      </c>
      <c r="V63" s="96">
        <f t="shared" si="18"/>
        <v>5.5720658924548943</v>
      </c>
      <c r="W63" s="96">
        <f t="shared" si="20"/>
        <v>7.0688541091848798</v>
      </c>
      <c r="X63" s="96">
        <f t="shared" si="16"/>
        <v>8.5688541091848798</v>
      </c>
      <c r="Y63" s="155" ph="1">
        <v>16</v>
      </c>
      <c r="Z63" s="96" t="str">
        <f t="shared" si="19"/>
        <v>OK</v>
      </c>
      <c r="AB63" s="4" t="s">
        <v>97</v>
      </c>
    </row>
    <row r="64" spans="1:28" ht="12" customHeight="1" x14ac:dyDescent="0.3">
      <c r="A64" s="92">
        <v>8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17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31.403847156124399</v>
      </c>
      <c r="T64" s="96">
        <f t="shared" si="21"/>
        <v>54.393058827534858</v>
      </c>
      <c r="U64" s="93">
        <f t="shared" si="12"/>
        <v>322.72727272727269</v>
      </c>
      <c r="V64" s="96">
        <f t="shared" si="18"/>
        <v>5.5720658924548943</v>
      </c>
      <c r="W64" s="96">
        <f t="shared" si="20"/>
        <v>6.7700939833356726</v>
      </c>
      <c r="X64" s="96">
        <f t="shared" si="16"/>
        <v>8.2700939833356735</v>
      </c>
      <c r="Y64" s="155" ph="1">
        <v>16</v>
      </c>
      <c r="Z64" s="96" t="str">
        <f t="shared" si="19"/>
        <v>OK</v>
      </c>
    </row>
    <row r="65" spans="1:26" ht="12" customHeight="1" x14ac:dyDescent="0.3">
      <c r="A65" s="92">
        <v>9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17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21"/>
        <v>55.598830922960964</v>
      </c>
      <c r="U65" s="93">
        <f t="shared" si="12"/>
        <v>322.72727272727269</v>
      </c>
      <c r="V65" s="96">
        <f t="shared" si="18"/>
        <v>5.5720658924548943</v>
      </c>
      <c r="W65" s="96">
        <f t="shared" si="20"/>
        <v>6.4575263584019398</v>
      </c>
      <c r="X65" s="96">
        <f t="shared" si="16"/>
        <v>7.9575263584019398</v>
      </c>
      <c r="Y65" s="155" ph="1">
        <v>16</v>
      </c>
      <c r="Z65" s="96" t="str">
        <f t="shared" si="19"/>
        <v>OK</v>
      </c>
    </row>
    <row r="66" spans="1:26" ht="12" customHeight="1" x14ac:dyDescent="0.3">
      <c r="A66" s="92">
        <v>10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17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32.359080355557502</v>
      </c>
      <c r="T66" s="96">
        <f t="shared" si="21"/>
        <v>56.047571262029564</v>
      </c>
      <c r="U66" s="93">
        <f t="shared" si="12"/>
        <v>322.72727272727269</v>
      </c>
      <c r="V66" s="96">
        <f t="shared" si="18"/>
        <v>5.5720658924548943</v>
      </c>
      <c r="W66" s="96">
        <f t="shared" si="20"/>
        <v>6.1290391413103036</v>
      </c>
      <c r="X66" s="96">
        <f t="shared" si="16"/>
        <v>7.6290391413103036</v>
      </c>
      <c r="Y66" s="155" ph="1">
        <v>16</v>
      </c>
      <c r="Z66" s="96" t="str">
        <f t="shared" si="19"/>
        <v>OK</v>
      </c>
    </row>
    <row r="67" spans="1:26" ht="12" customHeight="1" x14ac:dyDescent="0.3">
      <c r="A67" s="92">
        <v>11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17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31.9836181127576</v>
      </c>
      <c r="T67" s="96">
        <f t="shared" si="21"/>
        <v>55.397251581176377</v>
      </c>
      <c r="U67" s="93">
        <f t="shared" si="12"/>
        <v>322.72727272727269</v>
      </c>
      <c r="V67" s="96">
        <f t="shared" si="18"/>
        <v>5.5720658924548943</v>
      </c>
      <c r="W67" s="96">
        <f t="shared" si="20"/>
        <v>5.781919657170242</v>
      </c>
      <c r="X67" s="96">
        <f t="shared" si="16"/>
        <v>7.281919657170242</v>
      </c>
      <c r="Y67" s="155" ph="1">
        <v>16</v>
      </c>
      <c r="Z67" s="96" t="str">
        <f t="shared" si="19"/>
        <v>OK</v>
      </c>
    </row>
    <row r="68" spans="1:26" ht="12" customHeight="1" x14ac:dyDescent="0.3">
      <c r="A68" s="92">
        <v>12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17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31.135105582939602</v>
      </c>
      <c r="T68" s="96">
        <f t="shared" si="21"/>
        <v>53.927584768672794</v>
      </c>
      <c r="U68" s="93">
        <f t="shared" si="12"/>
        <v>322.72727272727269</v>
      </c>
      <c r="V68" s="96">
        <f t="shared" si="18"/>
        <v>5.5720658924548943</v>
      </c>
      <c r="W68" s="96">
        <f t="shared" si="20"/>
        <v>5.4125843225052463</v>
      </c>
      <c r="X68" s="96">
        <f t="shared" si="16"/>
        <v>7.0720658924548943</v>
      </c>
      <c r="Y68" s="155" ph="1">
        <v>16</v>
      </c>
      <c r="Z68" s="96" t="str">
        <f t="shared" si="19"/>
        <v>OK</v>
      </c>
    </row>
    <row r="69" spans="1:26" ht="12" customHeight="1" x14ac:dyDescent="0.3">
      <c r="A69" s="92">
        <v>13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17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29.972220103788199</v>
      </c>
      <c r="T69" s="96">
        <f t="shared" si="21"/>
        <v>51.91340803539849</v>
      </c>
      <c r="U69" s="93">
        <f t="shared" si="12"/>
        <v>322.72727272727269</v>
      </c>
      <c r="V69" s="96">
        <f t="shared" si="18"/>
        <v>5.5720658924548943</v>
      </c>
      <c r="W69" s="96">
        <f t="shared" si="20"/>
        <v>5.0161283052258048</v>
      </c>
      <c r="X69" s="96">
        <f t="shared" si="16"/>
        <v>7.0720658924548943</v>
      </c>
      <c r="Y69" s="155" ph="1">
        <v>16</v>
      </c>
      <c r="Z69" s="96" t="str">
        <f t="shared" si="19"/>
        <v>OK</v>
      </c>
    </row>
    <row r="70" spans="1:26" ht="12" customHeight="1" x14ac:dyDescent="0.3">
      <c r="A70" s="92">
        <v>14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17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28.5611444879126</v>
      </c>
      <c r="T70" s="96">
        <f t="shared" si="21"/>
        <v>49.469353375380408</v>
      </c>
      <c r="U70" s="93">
        <f t="shared" si="12"/>
        <v>322.72727272727269</v>
      </c>
      <c r="V70" s="96">
        <f t="shared" si="18"/>
        <v>5.5720658924548943</v>
      </c>
      <c r="W70" s="96">
        <f t="shared" si="20"/>
        <v>4.5855225766258556</v>
      </c>
      <c r="X70" s="96">
        <f t="shared" si="16"/>
        <v>7.0720658924548943</v>
      </c>
      <c r="Y70" s="155" ph="1">
        <v>16</v>
      </c>
      <c r="Z70" s="96" t="str">
        <f t="shared" si="19"/>
        <v>OK</v>
      </c>
    </row>
    <row r="71" spans="1:26" ht="12" customHeight="1" x14ac:dyDescent="0.3">
      <c r="A71" s="92">
        <v>15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17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26.867572760892099</v>
      </c>
      <c r="T71" s="96">
        <f t="shared" si="21"/>
        <v>46.536001097918728</v>
      </c>
      <c r="U71" s="93">
        <f t="shared" si="12"/>
        <v>322.72727272727269</v>
      </c>
      <c r="V71" s="96">
        <f t="shared" si="18"/>
        <v>5.5720658924548943</v>
      </c>
      <c r="W71" s="96">
        <f t="shared" si="20"/>
        <v>4.1100476185810013</v>
      </c>
      <c r="X71" s="96">
        <f t="shared" si="16"/>
        <v>7.0720658924548943</v>
      </c>
      <c r="Y71" s="155" ph="1">
        <v>16</v>
      </c>
      <c r="Z71" s="96" t="str">
        <f t="shared" si="19"/>
        <v>OK</v>
      </c>
    </row>
    <row r="72" spans="1:26" ht="12" customHeight="1" x14ac:dyDescent="0.3">
      <c r="A72" s="92">
        <v>16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17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24.862115285904601</v>
      </c>
      <c r="T72" s="96">
        <f t="shared" si="21"/>
        <v>43.062446858821595</v>
      </c>
      <c r="U72" s="93">
        <f t="shared" si="12"/>
        <v>322.72727272727269</v>
      </c>
      <c r="V72" s="96">
        <f t="shared" si="18"/>
        <v>5.5720658924548943</v>
      </c>
      <c r="W72" s="96">
        <f t="shared" si="20"/>
        <v>3.5718294406734037</v>
      </c>
      <c r="X72" s="96">
        <f t="shared" si="16"/>
        <v>7.0720658924548943</v>
      </c>
      <c r="Y72" s="155" ph="1">
        <v>16</v>
      </c>
      <c r="Z72" s="96" t="str">
        <f t="shared" si="19"/>
        <v>OK</v>
      </c>
    </row>
    <row r="73" spans="1:26" ht="12" customHeight="1" x14ac:dyDescent="0.3">
      <c r="A73" s="92">
        <v>17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17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22.515886289943001</v>
      </c>
      <c r="T73" s="96">
        <f t="shared" si="21"/>
        <v>38.99865903162479</v>
      </c>
      <c r="U73" s="93">
        <f t="shared" si="12"/>
        <v>322.72727272727269</v>
      </c>
      <c r="V73" s="96">
        <f t="shared" si="18"/>
        <v>5.5720658924548943</v>
      </c>
      <c r="W73" s="96">
        <f t="shared" si="20"/>
        <v>2.936569372502412</v>
      </c>
      <c r="X73" s="96">
        <f t="shared" si="16"/>
        <v>7.0720658924548943</v>
      </c>
      <c r="Y73" s="155" ph="1">
        <v>16</v>
      </c>
      <c r="Z73" s="96" t="str">
        <f t="shared" si="19"/>
        <v>OK</v>
      </c>
    </row>
    <row r="74" spans="1:26" ht="12" customHeight="1" x14ac:dyDescent="0.3">
      <c r="A74" s="92">
        <v>18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17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21"/>
        <v>34.294605989863776</v>
      </c>
      <c r="U74" s="93">
        <f t="shared" ref="U74" si="22">MIN(K74/$F$7,1.3*(K74/$F$7-T74))</f>
        <v>322.72727272727269</v>
      </c>
      <c r="V74" s="96">
        <f t="shared" si="18"/>
        <v>5.5720658924548943</v>
      </c>
      <c r="W74" s="96">
        <f t="shared" si="20"/>
        <v>2.1187056911655127</v>
      </c>
      <c r="X74" s="96">
        <f t="shared" si="16"/>
        <v>7.0720658924548943</v>
      </c>
      <c r="Y74" s="155" ph="1">
        <v>16</v>
      </c>
      <c r="Z74" s="96" t="str">
        <f t="shared" si="19"/>
        <v>OK</v>
      </c>
    </row>
    <row r="76" spans="1:26" ht="12" customHeight="1" x14ac:dyDescent="0.45">
      <c r="A76" s="4" t="s">
        <v>136</v>
      </c>
    </row>
    <row r="77" spans="1:26" ht="12" customHeight="1" x14ac:dyDescent="0.45">
      <c r="A77" s="4" t="s">
        <v>137</v>
      </c>
    </row>
    <row r="78" spans="1:26" ht="12" customHeight="1" x14ac:dyDescent="0.45">
      <c r="A78" s="4" t="s">
        <v>311</v>
      </c>
    </row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spans="1:14" ht="15" customHeight="1" x14ac:dyDescent="0.45"/>
    <row r="98" spans="1:14" ht="15" customHeight="1" x14ac:dyDescent="0.45"/>
    <row r="99" spans="1:14" ht="15" customHeight="1" x14ac:dyDescent="0.45"/>
    <row r="100" spans="1:14" ht="15" customHeight="1" x14ac:dyDescent="0.45"/>
    <row r="101" spans="1:14" ht="15" customHeight="1" x14ac:dyDescent="0.45"/>
    <row r="102" spans="1:14" ht="15" customHeight="1" x14ac:dyDescent="0.45"/>
    <row r="103" spans="1:14" ht="15" customHeight="1" x14ac:dyDescent="0.45"/>
    <row r="104" spans="1:14" ht="15" customHeight="1" x14ac:dyDescent="0.45"/>
    <row r="105" spans="1:14" ht="15" customHeight="1" x14ac:dyDescent="0.45"/>
    <row r="106" spans="1:14" ht="15" customHeight="1" x14ac:dyDescent="0.45">
      <c r="A106" s="16">
        <v>1</v>
      </c>
      <c r="B106" s="17" t="s">
        <v>138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9"/>
      <c r="N106" s="9"/>
    </row>
    <row r="107" spans="1:14" ht="15" customHeight="1" x14ac:dyDescent="0.45">
      <c r="A107" s="20" t="s">
        <v>139</v>
      </c>
      <c r="B107" s="21" t="s">
        <v>140</v>
      </c>
      <c r="C107" s="22" t="s">
        <v>141</v>
      </c>
      <c r="D107" s="22"/>
      <c r="E107" s="23" t="s">
        <v>142</v>
      </c>
      <c r="F107" s="21" t="s">
        <v>143</v>
      </c>
      <c r="G107" s="24" t="s">
        <v>144</v>
      </c>
      <c r="H107" s="24" t="s">
        <v>145</v>
      </c>
      <c r="I107" s="24" t="s">
        <v>146</v>
      </c>
      <c r="J107" s="24" t="s">
        <v>147</v>
      </c>
      <c r="K107" s="24" t="s">
        <v>148</v>
      </c>
      <c r="L107" s="24"/>
      <c r="M107" s="25" t="s">
        <v>149</v>
      </c>
      <c r="N107" s="9"/>
    </row>
    <row r="108" spans="1:14" ht="15" customHeight="1" x14ac:dyDescent="0.45">
      <c r="A108" s="26">
        <v>355</v>
      </c>
      <c r="B108" s="27">
        <v>1.1000000000000001</v>
      </c>
      <c r="C108" s="28">
        <v>0</v>
      </c>
      <c r="D108" s="28"/>
      <c r="E108" s="29">
        <v>191</v>
      </c>
      <c r="F108" s="30">
        <v>171.24545454545449</v>
      </c>
      <c r="G108" s="27">
        <v>0.75</v>
      </c>
      <c r="H108" s="27">
        <v>7</v>
      </c>
      <c r="I108" s="27">
        <v>1</v>
      </c>
      <c r="J108" s="27">
        <v>1</v>
      </c>
      <c r="K108" s="27">
        <v>1</v>
      </c>
      <c r="L108" s="29"/>
      <c r="M108" s="31">
        <v>5.5720658924548943</v>
      </c>
      <c r="N108" s="37"/>
    </row>
    <row r="109" spans="1:14" ht="15" customHeight="1" x14ac:dyDescent="0.45">
      <c r="A109" s="32" t="s">
        <v>150</v>
      </c>
      <c r="B109" s="33"/>
      <c r="C109" s="22"/>
      <c r="D109" s="22"/>
      <c r="E109" s="24"/>
      <c r="F109" s="34"/>
      <c r="G109" s="35"/>
      <c r="H109" s="36" t="s">
        <v>151</v>
      </c>
      <c r="I109" s="33"/>
      <c r="J109" s="35"/>
      <c r="K109" s="37"/>
      <c r="L109" s="9"/>
      <c r="M109" s="38"/>
      <c r="N109" s="9"/>
    </row>
    <row r="110" spans="1:14" ht="15" customHeight="1" x14ac:dyDescent="0.45">
      <c r="A110" s="39" t="s">
        <v>152</v>
      </c>
      <c r="B110" s="22"/>
      <c r="C110" s="22"/>
      <c r="D110" s="22"/>
      <c r="E110" s="22" t="s">
        <v>153</v>
      </c>
      <c r="F110" s="22" t="s">
        <v>154</v>
      </c>
      <c r="G110" s="40" t="s">
        <v>155</v>
      </c>
      <c r="H110" s="41" t="s">
        <v>153</v>
      </c>
      <c r="I110" s="22" t="s">
        <v>154</v>
      </c>
      <c r="J110" s="42" t="s">
        <v>156</v>
      </c>
      <c r="K110" s="24" t="s">
        <v>157</v>
      </c>
      <c r="L110" s="24"/>
      <c r="M110" s="25" t="s">
        <v>158</v>
      </c>
      <c r="N110" s="9"/>
    </row>
    <row r="111" spans="1:14" ht="15" customHeight="1" x14ac:dyDescent="0.45">
      <c r="A111" s="43" t="s">
        <v>159</v>
      </c>
      <c r="B111" s="28"/>
      <c r="C111" s="28"/>
      <c r="D111" s="28"/>
      <c r="E111" s="44">
        <v>43.137022499999993</v>
      </c>
      <c r="F111" s="45">
        <v>61.966966861816026</v>
      </c>
      <c r="G111" s="46">
        <v>105.10398936181602</v>
      </c>
      <c r="H111" s="47">
        <v>130.58012500000001</v>
      </c>
      <c r="I111" s="29">
        <v>0</v>
      </c>
      <c r="J111" s="48">
        <v>130.58012500000001</v>
      </c>
      <c r="K111" s="30">
        <v>130.58012500000001</v>
      </c>
      <c r="L111" s="27"/>
      <c r="M111" s="31">
        <v>11.347784223428096</v>
      </c>
      <c r="N111" s="37"/>
    </row>
    <row r="112" spans="1:14" ht="15" customHeight="1" x14ac:dyDescent="0.45">
      <c r="A112" s="16">
        <v>2</v>
      </c>
      <c r="B112" s="17" t="s">
        <v>160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9"/>
      <c r="N112" s="9"/>
    </row>
    <row r="113" spans="1:14" ht="15" customHeight="1" x14ac:dyDescent="0.45">
      <c r="A113" s="20" t="s">
        <v>139</v>
      </c>
      <c r="B113" s="21" t="s">
        <v>140</v>
      </c>
      <c r="C113" s="22" t="s">
        <v>141</v>
      </c>
      <c r="D113" s="22"/>
      <c r="E113" s="23" t="s">
        <v>142</v>
      </c>
      <c r="F113" s="21" t="s">
        <v>143</v>
      </c>
      <c r="G113" s="24" t="s">
        <v>144</v>
      </c>
      <c r="H113" s="24" t="s">
        <v>145</v>
      </c>
      <c r="I113" s="24" t="s">
        <v>146</v>
      </c>
      <c r="J113" s="24" t="s">
        <v>147</v>
      </c>
      <c r="K113" s="24" t="s">
        <v>148</v>
      </c>
      <c r="L113" s="24"/>
      <c r="M113" s="25" t="s">
        <v>149</v>
      </c>
      <c r="N113" s="9"/>
    </row>
    <row r="114" spans="1:14" ht="15" customHeight="1" x14ac:dyDescent="0.45">
      <c r="A114" s="26">
        <v>355</v>
      </c>
      <c r="B114" s="27">
        <v>1.1000000000000001</v>
      </c>
      <c r="C114" s="28">
        <v>0</v>
      </c>
      <c r="D114" s="28"/>
      <c r="E114" s="29">
        <v>191</v>
      </c>
      <c r="F114" s="30">
        <v>171.24545454545449</v>
      </c>
      <c r="G114" s="27">
        <v>0.7</v>
      </c>
      <c r="H114" s="27">
        <v>4.2140000000000004</v>
      </c>
      <c r="I114" s="27">
        <v>1</v>
      </c>
      <c r="J114" s="27">
        <v>1</v>
      </c>
      <c r="K114" s="27">
        <v>1</v>
      </c>
      <c r="L114" s="29"/>
      <c r="M114" s="31">
        <v>5.5720658924548943</v>
      </c>
      <c r="N114" s="37"/>
    </row>
    <row r="115" spans="1:14" ht="15" customHeight="1" x14ac:dyDescent="0.45">
      <c r="A115" s="32" t="s">
        <v>150</v>
      </c>
      <c r="B115" s="33"/>
      <c r="C115" s="22"/>
      <c r="D115" s="22"/>
      <c r="E115" s="24"/>
      <c r="F115" s="34"/>
      <c r="G115" s="35"/>
      <c r="H115" s="36" t="s">
        <v>151</v>
      </c>
      <c r="I115" s="33"/>
      <c r="J115" s="35"/>
      <c r="K115" s="37"/>
      <c r="L115" s="9"/>
      <c r="M115" s="38"/>
      <c r="N115" s="9"/>
    </row>
    <row r="116" spans="1:14" ht="15" customHeight="1" x14ac:dyDescent="0.45">
      <c r="A116" s="39" t="s">
        <v>152</v>
      </c>
      <c r="B116" s="22"/>
      <c r="C116" s="22"/>
      <c r="D116" s="22"/>
      <c r="E116" s="22" t="s">
        <v>153</v>
      </c>
      <c r="F116" s="22" t="s">
        <v>154</v>
      </c>
      <c r="G116" s="40" t="s">
        <v>155</v>
      </c>
      <c r="H116" s="41" t="s">
        <v>153</v>
      </c>
      <c r="I116" s="22" t="s">
        <v>154</v>
      </c>
      <c r="J116" s="42" t="s">
        <v>156</v>
      </c>
      <c r="K116" s="24" t="s">
        <v>157</v>
      </c>
      <c r="L116" s="24"/>
      <c r="M116" s="25" t="s">
        <v>158</v>
      </c>
      <c r="N116" s="9"/>
    </row>
    <row r="117" spans="1:14" ht="15" customHeight="1" x14ac:dyDescent="0.45">
      <c r="A117" s="43" t="s">
        <v>161</v>
      </c>
      <c r="B117" s="28"/>
      <c r="C117" s="28"/>
      <c r="D117" s="28"/>
      <c r="E117" s="44">
        <v>43.137022499999993</v>
      </c>
      <c r="F117" s="45">
        <v>61.966966861816026</v>
      </c>
      <c r="G117" s="46">
        <v>105.10398936181602</v>
      </c>
      <c r="H117" s="47">
        <v>130.58012500000001</v>
      </c>
      <c r="I117" s="29">
        <v>0</v>
      </c>
      <c r="J117" s="48">
        <v>130.58012500000001</v>
      </c>
      <c r="K117" s="30">
        <v>130.58012500000001</v>
      </c>
      <c r="L117" s="27"/>
      <c r="M117" s="31">
        <v>10.657931941866222</v>
      </c>
      <c r="N117" s="37"/>
    </row>
    <row r="118" spans="1:14" ht="15" customHeight="1" x14ac:dyDescent="0.45">
      <c r="A118" s="16">
        <v>3</v>
      </c>
      <c r="B118" s="17" t="s">
        <v>162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9"/>
      <c r="N118" s="9"/>
    </row>
    <row r="119" spans="1:14" ht="15" customHeight="1" x14ac:dyDescent="0.45">
      <c r="A119" s="20" t="s">
        <v>139</v>
      </c>
      <c r="B119" s="21" t="s">
        <v>140</v>
      </c>
      <c r="C119" s="22" t="s">
        <v>141</v>
      </c>
      <c r="D119" s="22"/>
      <c r="E119" s="23" t="s">
        <v>142</v>
      </c>
      <c r="F119" s="21" t="s">
        <v>143</v>
      </c>
      <c r="G119" s="24" t="s">
        <v>144</v>
      </c>
      <c r="H119" s="24" t="s">
        <v>145</v>
      </c>
      <c r="I119" s="24" t="s">
        <v>146</v>
      </c>
      <c r="J119" s="24" t="s">
        <v>147</v>
      </c>
      <c r="K119" s="24" t="s">
        <v>148</v>
      </c>
      <c r="L119" s="24"/>
      <c r="M119" s="25" t="s">
        <v>149</v>
      </c>
      <c r="N119" s="9"/>
    </row>
    <row r="120" spans="1:14" ht="15" customHeight="1" x14ac:dyDescent="0.45">
      <c r="A120" s="26">
        <v>355</v>
      </c>
      <c r="B120" s="27">
        <v>1.1000000000000001</v>
      </c>
      <c r="C120" s="28">
        <v>2.9</v>
      </c>
      <c r="D120" s="28"/>
      <c r="E120" s="29">
        <v>85.6</v>
      </c>
      <c r="F120" s="30">
        <v>308.26545454545453</v>
      </c>
      <c r="G120" s="27">
        <v>0.7</v>
      </c>
      <c r="H120" s="27">
        <v>4.2140000000000004</v>
      </c>
      <c r="I120" s="27">
        <v>1</v>
      </c>
      <c r="J120" s="27">
        <v>1</v>
      </c>
      <c r="K120" s="27">
        <v>1</v>
      </c>
      <c r="L120" s="29"/>
      <c r="M120" s="31">
        <v>5.5720658924548943</v>
      </c>
      <c r="N120" s="37"/>
    </row>
    <row r="121" spans="1:14" ht="15" customHeight="1" x14ac:dyDescent="0.45">
      <c r="A121" s="32" t="s">
        <v>150</v>
      </c>
      <c r="B121" s="33"/>
      <c r="C121" s="22"/>
      <c r="D121" s="22"/>
      <c r="E121" s="24"/>
      <c r="F121" s="34"/>
      <c r="G121" s="35"/>
      <c r="H121" s="36" t="s">
        <v>151</v>
      </c>
      <c r="I121" s="33"/>
      <c r="J121" s="35"/>
      <c r="K121" s="37"/>
      <c r="L121" s="9"/>
      <c r="M121" s="38"/>
      <c r="N121" s="9"/>
    </row>
    <row r="122" spans="1:14" ht="15" customHeight="1" x14ac:dyDescent="0.45">
      <c r="A122" s="39" t="s">
        <v>152</v>
      </c>
      <c r="B122" s="22"/>
      <c r="C122" s="22"/>
      <c r="D122" s="22"/>
      <c r="E122" s="22" t="s">
        <v>153</v>
      </c>
      <c r="F122" s="22" t="s">
        <v>154</v>
      </c>
      <c r="G122" s="40" t="s">
        <v>155</v>
      </c>
      <c r="H122" s="41" t="s">
        <v>153</v>
      </c>
      <c r="I122" s="22" t="s">
        <v>154</v>
      </c>
      <c r="J122" s="42" t="s">
        <v>156</v>
      </c>
      <c r="K122" s="24" t="s">
        <v>157</v>
      </c>
      <c r="L122" s="24"/>
      <c r="M122" s="25" t="s">
        <v>158</v>
      </c>
      <c r="N122" s="9"/>
    </row>
    <row r="123" spans="1:14" ht="15" customHeight="1" x14ac:dyDescent="0.45">
      <c r="A123" s="43" t="s">
        <v>163</v>
      </c>
      <c r="B123" s="28"/>
      <c r="C123" s="28"/>
      <c r="D123" s="28"/>
      <c r="E123" s="44">
        <v>13.9767975</v>
      </c>
      <c r="F123" s="45">
        <v>86.836910943515008</v>
      </c>
      <c r="G123" s="46">
        <v>100.81370844351501</v>
      </c>
      <c r="H123" s="47">
        <v>101.41989999999998</v>
      </c>
      <c r="I123" s="29">
        <v>0</v>
      </c>
      <c r="J123" s="48">
        <v>101.41989999999998</v>
      </c>
      <c r="K123" s="30">
        <v>101.41989999999998</v>
      </c>
      <c r="L123" s="27"/>
      <c r="M123" s="31">
        <v>7.3438701735973515</v>
      </c>
      <c r="N123" s="37"/>
    </row>
    <row r="124" spans="1:14" ht="15" customHeight="1" x14ac:dyDescent="0.45">
      <c r="A124" s="16">
        <v>4</v>
      </c>
      <c r="B124" s="17" t="s">
        <v>164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9"/>
      <c r="N124" s="9"/>
    </row>
    <row r="125" spans="1:14" ht="15" customHeight="1" x14ac:dyDescent="0.45">
      <c r="A125" s="20" t="s">
        <v>139</v>
      </c>
      <c r="B125" s="21" t="s">
        <v>140</v>
      </c>
      <c r="C125" s="22" t="s">
        <v>141</v>
      </c>
      <c r="D125" s="22"/>
      <c r="E125" s="23" t="s">
        <v>142</v>
      </c>
      <c r="F125" s="21" t="s">
        <v>143</v>
      </c>
      <c r="G125" s="24" t="s">
        <v>144</v>
      </c>
      <c r="H125" s="24" t="s">
        <v>145</v>
      </c>
      <c r="I125" s="24" t="s">
        <v>146</v>
      </c>
      <c r="J125" s="24" t="s">
        <v>147</v>
      </c>
      <c r="K125" s="24" t="s">
        <v>148</v>
      </c>
      <c r="L125" s="24"/>
      <c r="M125" s="25" t="s">
        <v>149</v>
      </c>
      <c r="N125" s="9"/>
    </row>
    <row r="126" spans="1:14" ht="15" customHeight="1" x14ac:dyDescent="0.45">
      <c r="A126" s="26">
        <v>355</v>
      </c>
      <c r="B126" s="27">
        <v>1.1000000000000001</v>
      </c>
      <c r="C126" s="28">
        <v>5.8</v>
      </c>
      <c r="D126" s="28"/>
      <c r="E126" s="29">
        <v>191</v>
      </c>
      <c r="F126" s="30">
        <v>171.24545454545449</v>
      </c>
      <c r="G126" s="27">
        <v>0.7</v>
      </c>
      <c r="H126" s="27">
        <v>4.2140000000000004</v>
      </c>
      <c r="I126" s="27">
        <v>1</v>
      </c>
      <c r="J126" s="27">
        <v>1</v>
      </c>
      <c r="K126" s="27">
        <v>1</v>
      </c>
      <c r="L126" s="29"/>
      <c r="M126" s="31">
        <v>5.5720658924548943</v>
      </c>
      <c r="N126" s="37"/>
    </row>
    <row r="127" spans="1:14" ht="15" customHeight="1" x14ac:dyDescent="0.45">
      <c r="A127" s="32" t="s">
        <v>150</v>
      </c>
      <c r="B127" s="33"/>
      <c r="C127" s="22"/>
      <c r="D127" s="22"/>
      <c r="E127" s="24"/>
      <c r="F127" s="34"/>
      <c r="G127" s="35"/>
      <c r="H127" s="36" t="s">
        <v>151</v>
      </c>
      <c r="I127" s="33"/>
      <c r="J127" s="35"/>
      <c r="K127" s="37"/>
      <c r="L127" s="9"/>
      <c r="M127" s="38"/>
      <c r="N127" s="9"/>
    </row>
    <row r="128" spans="1:14" ht="15" customHeight="1" x14ac:dyDescent="0.45">
      <c r="A128" s="39" t="s">
        <v>152</v>
      </c>
      <c r="B128" s="22"/>
      <c r="C128" s="22"/>
      <c r="D128" s="22"/>
      <c r="E128" s="22" t="s">
        <v>153</v>
      </c>
      <c r="F128" s="22" t="s">
        <v>154</v>
      </c>
      <c r="G128" s="40" t="s">
        <v>155</v>
      </c>
      <c r="H128" s="41" t="s">
        <v>153</v>
      </c>
      <c r="I128" s="22" t="s">
        <v>154</v>
      </c>
      <c r="J128" s="42" t="s">
        <v>156</v>
      </c>
      <c r="K128" s="24" t="s">
        <v>157</v>
      </c>
      <c r="L128" s="24"/>
      <c r="M128" s="25" t="s">
        <v>158</v>
      </c>
      <c r="N128" s="9"/>
    </row>
    <row r="129" spans="1:14" ht="15" customHeight="1" x14ac:dyDescent="0.45">
      <c r="A129" s="43" t="s">
        <v>165</v>
      </c>
      <c r="B129" s="28"/>
      <c r="C129" s="28"/>
      <c r="D129" s="28"/>
      <c r="E129" s="44">
        <v>0</v>
      </c>
      <c r="F129" s="45">
        <v>81.583270874999982</v>
      </c>
      <c r="G129" s="46">
        <v>81.583270874999982</v>
      </c>
      <c r="H129" s="47">
        <v>72.259674999999987</v>
      </c>
      <c r="I129" s="29">
        <v>0</v>
      </c>
      <c r="J129" s="48">
        <v>72.259674999999987</v>
      </c>
      <c r="K129" s="30">
        <v>81.583270874999982</v>
      </c>
      <c r="L129" s="27"/>
      <c r="M129" s="31">
        <v>8.6338945626591972</v>
      </c>
      <c r="N129" s="37"/>
    </row>
    <row r="130" spans="1:14" ht="15" customHeight="1" x14ac:dyDescent="0.45">
      <c r="A130" s="16">
        <v>5</v>
      </c>
      <c r="B130" s="17" t="s">
        <v>166</v>
      </c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9"/>
      <c r="N130" s="9"/>
    </row>
    <row r="131" spans="1:14" ht="15" customHeight="1" x14ac:dyDescent="0.45">
      <c r="A131" s="20" t="s">
        <v>139</v>
      </c>
      <c r="B131" s="21" t="s">
        <v>140</v>
      </c>
      <c r="C131" s="22" t="s">
        <v>141</v>
      </c>
      <c r="D131" s="22"/>
      <c r="E131" s="23" t="s">
        <v>142</v>
      </c>
      <c r="F131" s="21" t="s">
        <v>143</v>
      </c>
      <c r="G131" s="24" t="s">
        <v>144</v>
      </c>
      <c r="H131" s="24" t="s">
        <v>145</v>
      </c>
      <c r="I131" s="24" t="s">
        <v>146</v>
      </c>
      <c r="J131" s="24" t="s">
        <v>147</v>
      </c>
      <c r="K131" s="24" t="s">
        <v>148</v>
      </c>
      <c r="L131" s="24"/>
      <c r="M131" s="25" t="s">
        <v>149</v>
      </c>
      <c r="N131" s="9"/>
    </row>
    <row r="132" spans="1:14" ht="15" customHeight="1" x14ac:dyDescent="0.45">
      <c r="A132" s="26">
        <v>355</v>
      </c>
      <c r="B132" s="27">
        <v>1.1000000000000001</v>
      </c>
      <c r="C132" s="28">
        <v>10.5</v>
      </c>
      <c r="D132" s="28"/>
      <c r="E132" s="29">
        <v>191</v>
      </c>
      <c r="F132" s="30">
        <v>171.24545454545449</v>
      </c>
      <c r="G132" s="27">
        <v>0.75</v>
      </c>
      <c r="H132" s="27">
        <v>4.2140000000000004</v>
      </c>
      <c r="I132" s="27">
        <v>1</v>
      </c>
      <c r="J132" s="27">
        <v>1</v>
      </c>
      <c r="K132" s="27">
        <v>1</v>
      </c>
      <c r="L132" s="29"/>
      <c r="M132" s="31">
        <v>5.5720658924548943</v>
      </c>
      <c r="N132" s="37"/>
    </row>
    <row r="133" spans="1:14" ht="15" customHeight="1" x14ac:dyDescent="0.45">
      <c r="A133" s="32" t="s">
        <v>150</v>
      </c>
      <c r="B133" s="33"/>
      <c r="C133" s="22"/>
      <c r="D133" s="22"/>
      <c r="E133" s="24"/>
      <c r="F133" s="34"/>
      <c r="G133" s="35"/>
      <c r="H133" s="36" t="s">
        <v>151</v>
      </c>
      <c r="I133" s="33"/>
      <c r="J133" s="35"/>
      <c r="K133" s="37"/>
      <c r="L133" s="9"/>
      <c r="M133" s="38"/>
      <c r="N133" s="9"/>
    </row>
    <row r="134" spans="1:14" ht="15" customHeight="1" x14ac:dyDescent="0.45">
      <c r="A134" s="39" t="s">
        <v>152</v>
      </c>
      <c r="B134" s="22"/>
      <c r="C134" s="22"/>
      <c r="D134" s="22"/>
      <c r="E134" s="22" t="s">
        <v>153</v>
      </c>
      <c r="F134" s="22" t="s">
        <v>154</v>
      </c>
      <c r="G134" s="40" t="s">
        <v>155</v>
      </c>
      <c r="H134" s="41" t="s">
        <v>153</v>
      </c>
      <c r="I134" s="22" t="s">
        <v>154</v>
      </c>
      <c r="J134" s="42" t="s">
        <v>156</v>
      </c>
      <c r="K134" s="24" t="s">
        <v>157</v>
      </c>
      <c r="L134" s="24"/>
      <c r="M134" s="25" t="s">
        <v>158</v>
      </c>
      <c r="N134" s="9"/>
    </row>
    <row r="135" spans="1:14" ht="15" customHeight="1" x14ac:dyDescent="0.45">
      <c r="A135" s="43" t="s">
        <v>167</v>
      </c>
      <c r="B135" s="28"/>
      <c r="C135" s="28"/>
      <c r="D135" s="28"/>
      <c r="E135" s="44">
        <v>0</v>
      </c>
      <c r="F135" s="45">
        <v>17.782709624999981</v>
      </c>
      <c r="G135" s="46">
        <v>17.782709624999981</v>
      </c>
      <c r="H135" s="47">
        <v>25</v>
      </c>
      <c r="I135" s="29">
        <v>0</v>
      </c>
      <c r="J135" s="48">
        <v>25</v>
      </c>
      <c r="K135" s="30">
        <v>25</v>
      </c>
      <c r="L135" s="27"/>
      <c r="M135" s="31">
        <v>6.5720658924548943</v>
      </c>
      <c r="N135" s="37"/>
    </row>
    <row r="136" spans="1:14" ht="15" customHeight="1" x14ac:dyDescent="0.45">
      <c r="A136" s="16">
        <v>6</v>
      </c>
      <c r="B136" s="17" t="s">
        <v>168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139</v>
      </c>
      <c r="B137" s="21" t="s">
        <v>140</v>
      </c>
      <c r="C137" s="22" t="s">
        <v>141</v>
      </c>
      <c r="D137" s="22"/>
      <c r="E137" s="23" t="s">
        <v>142</v>
      </c>
      <c r="F137" s="21" t="s">
        <v>143</v>
      </c>
      <c r="G137" s="24" t="s">
        <v>144</v>
      </c>
      <c r="H137" s="24" t="s">
        <v>145</v>
      </c>
      <c r="I137" s="24" t="s">
        <v>146</v>
      </c>
      <c r="J137" s="24" t="s">
        <v>147</v>
      </c>
      <c r="K137" s="24" t="s">
        <v>148</v>
      </c>
      <c r="L137" s="24"/>
      <c r="M137" s="25" t="s">
        <v>149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7</v>
      </c>
      <c r="D138" s="28"/>
      <c r="E138" s="29">
        <v>127</v>
      </c>
      <c r="F138" s="30">
        <v>254.44545454545451</v>
      </c>
      <c r="G138" s="27">
        <v>0.75</v>
      </c>
      <c r="H138" s="27">
        <v>4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150</v>
      </c>
      <c r="B139" s="33"/>
      <c r="C139" s="22"/>
      <c r="D139" s="22"/>
      <c r="E139" s="24"/>
      <c r="F139" s="34"/>
      <c r="G139" s="35"/>
      <c r="H139" s="36" t="s">
        <v>151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152</v>
      </c>
      <c r="B140" s="22"/>
      <c r="C140" s="22"/>
      <c r="D140" s="22"/>
      <c r="E140" s="22" t="s">
        <v>153</v>
      </c>
      <c r="F140" s="22" t="s">
        <v>154</v>
      </c>
      <c r="G140" s="40" t="s">
        <v>155</v>
      </c>
      <c r="H140" s="41" t="s">
        <v>153</v>
      </c>
      <c r="I140" s="22" t="s">
        <v>154</v>
      </c>
      <c r="J140" s="42" t="s">
        <v>156</v>
      </c>
      <c r="K140" s="24" t="s">
        <v>157</v>
      </c>
      <c r="L140" s="24"/>
      <c r="M140" s="25" t="s">
        <v>158</v>
      </c>
      <c r="N140" s="9"/>
    </row>
    <row r="141" spans="1:14" ht="15" customHeight="1" x14ac:dyDescent="0.45">
      <c r="A141" s="43" t="s">
        <v>169</v>
      </c>
      <c r="B141" s="28"/>
      <c r="C141" s="28"/>
      <c r="D141" s="28"/>
      <c r="E141" s="44">
        <v>0</v>
      </c>
      <c r="F141" s="45">
        <v>65.293765874999991</v>
      </c>
      <c r="G141" s="46">
        <v>65.293765874999991</v>
      </c>
      <c r="H141" s="47">
        <v>60.193374999999996</v>
      </c>
      <c r="I141" s="29">
        <v>0</v>
      </c>
      <c r="J141" s="48">
        <v>60.193374999999996</v>
      </c>
      <c r="K141" s="30">
        <v>65.293765874999991</v>
      </c>
      <c r="L141" s="27"/>
      <c r="M141" s="31">
        <v>7.0028412837538214</v>
      </c>
      <c r="N141" s="37"/>
    </row>
    <row r="142" spans="1:14" ht="15" customHeight="1" x14ac:dyDescent="0.45">
      <c r="A142" s="16">
        <v>7</v>
      </c>
      <c r="B142" s="17" t="s">
        <v>170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139</v>
      </c>
      <c r="B143" s="21" t="s">
        <v>140</v>
      </c>
      <c r="C143" s="22" t="s">
        <v>141</v>
      </c>
      <c r="D143" s="22"/>
      <c r="E143" s="23" t="s">
        <v>142</v>
      </c>
      <c r="F143" s="21" t="s">
        <v>143</v>
      </c>
      <c r="G143" s="24" t="s">
        <v>144</v>
      </c>
      <c r="H143" s="24" t="s">
        <v>145</v>
      </c>
      <c r="I143" s="24" t="s">
        <v>146</v>
      </c>
      <c r="J143" s="24" t="s">
        <v>147</v>
      </c>
      <c r="K143" s="24" t="s">
        <v>148</v>
      </c>
      <c r="L143" s="24"/>
      <c r="M143" s="25" t="s">
        <v>149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0.75</v>
      </c>
      <c r="H144" s="27">
        <v>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150</v>
      </c>
      <c r="B145" s="33"/>
      <c r="C145" s="22"/>
      <c r="D145" s="22"/>
      <c r="E145" s="24"/>
      <c r="F145" s="34"/>
      <c r="G145" s="35"/>
      <c r="H145" s="36" t="s">
        <v>151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152</v>
      </c>
      <c r="B146" s="22"/>
      <c r="C146" s="22"/>
      <c r="D146" s="22"/>
      <c r="E146" s="22" t="s">
        <v>153</v>
      </c>
      <c r="F146" s="22" t="s">
        <v>154</v>
      </c>
      <c r="G146" s="40" t="s">
        <v>155</v>
      </c>
      <c r="H146" s="41" t="s">
        <v>153</v>
      </c>
      <c r="I146" s="22" t="s">
        <v>154</v>
      </c>
      <c r="J146" s="42" t="s">
        <v>156</v>
      </c>
      <c r="K146" s="24" t="s">
        <v>157</v>
      </c>
      <c r="L146" s="24"/>
      <c r="M146" s="25" t="s">
        <v>158</v>
      </c>
      <c r="N146" s="9"/>
    </row>
    <row r="147" spans="1:14" ht="15" customHeight="1" x14ac:dyDescent="0.45">
      <c r="A147" s="43" t="s">
        <v>161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0</v>
      </c>
      <c r="I147" s="29">
        <v>0</v>
      </c>
      <c r="J147" s="48">
        <v>0</v>
      </c>
      <c r="K147" s="30">
        <v>105.10398936181602</v>
      </c>
      <c r="L147" s="27"/>
      <c r="M147" s="31">
        <v>10.283642848058932</v>
      </c>
      <c r="N147" s="37"/>
    </row>
    <row r="148" spans="1:14" ht="15" customHeight="1" x14ac:dyDescent="0.45">
      <c r="A148" s="16">
        <v>8</v>
      </c>
      <c r="B148" s="17" t="s">
        <v>171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139</v>
      </c>
      <c r="B149" s="21" t="s">
        <v>140</v>
      </c>
      <c r="C149" s="22" t="s">
        <v>141</v>
      </c>
      <c r="D149" s="22"/>
      <c r="E149" s="23" t="s">
        <v>142</v>
      </c>
      <c r="F149" s="21" t="s">
        <v>143</v>
      </c>
      <c r="G149" s="24" t="s">
        <v>144</v>
      </c>
      <c r="H149" s="24" t="s">
        <v>145</v>
      </c>
      <c r="I149" s="24" t="s">
        <v>146</v>
      </c>
      <c r="J149" s="24" t="s">
        <v>147</v>
      </c>
      <c r="K149" s="24" t="s">
        <v>148</v>
      </c>
      <c r="L149" s="24"/>
      <c r="M149" s="25" t="s">
        <v>149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</v>
      </c>
      <c r="H150" s="27">
        <v>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150</v>
      </c>
      <c r="B151" s="33"/>
      <c r="C151" s="22"/>
      <c r="D151" s="22"/>
      <c r="E151" s="24"/>
      <c r="F151" s="34"/>
      <c r="G151" s="35"/>
      <c r="H151" s="36" t="s">
        <v>151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152</v>
      </c>
      <c r="B152" s="22"/>
      <c r="C152" s="22"/>
      <c r="D152" s="22"/>
      <c r="E152" s="22" t="s">
        <v>153</v>
      </c>
      <c r="F152" s="22" t="s">
        <v>154</v>
      </c>
      <c r="G152" s="40" t="s">
        <v>155</v>
      </c>
      <c r="H152" s="41" t="s">
        <v>153</v>
      </c>
      <c r="I152" s="22" t="s">
        <v>154</v>
      </c>
      <c r="J152" s="42" t="s">
        <v>156</v>
      </c>
      <c r="K152" s="24" t="s">
        <v>157</v>
      </c>
      <c r="L152" s="24"/>
      <c r="M152" s="25" t="s">
        <v>158</v>
      </c>
      <c r="N152" s="9"/>
    </row>
    <row r="153" spans="1:14" ht="15" customHeight="1" x14ac:dyDescent="0.45">
      <c r="A153" s="43" t="s">
        <v>161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0</v>
      </c>
      <c r="I153" s="29">
        <v>0</v>
      </c>
      <c r="J153" s="48">
        <v>0</v>
      </c>
      <c r="K153" s="30">
        <v>105.10398936181602</v>
      </c>
      <c r="L153" s="27"/>
      <c r="M153" s="31">
        <v>9.6647333248550016</v>
      </c>
      <c r="N153" s="37"/>
    </row>
    <row r="154" spans="1:14" ht="15" customHeight="1" x14ac:dyDescent="0.45">
      <c r="A154" s="16">
        <v>9</v>
      </c>
      <c r="B154" s="17" t="s">
        <v>172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139</v>
      </c>
      <c r="B155" s="21" t="s">
        <v>140</v>
      </c>
      <c r="C155" s="22" t="s">
        <v>141</v>
      </c>
      <c r="D155" s="22"/>
      <c r="E155" s="23" t="s">
        <v>142</v>
      </c>
      <c r="F155" s="21" t="s">
        <v>143</v>
      </c>
      <c r="G155" s="24" t="s">
        <v>144</v>
      </c>
      <c r="H155" s="24" t="s">
        <v>145</v>
      </c>
      <c r="I155" s="24" t="s">
        <v>146</v>
      </c>
      <c r="J155" s="24" t="s">
        <v>147</v>
      </c>
      <c r="K155" s="24" t="s">
        <v>148</v>
      </c>
      <c r="L155" s="24"/>
      <c r="M155" s="25" t="s">
        <v>149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2.9</v>
      </c>
      <c r="D156" s="28"/>
      <c r="E156" s="29">
        <v>85.6</v>
      </c>
      <c r="F156" s="30">
        <v>308.26545454545453</v>
      </c>
      <c r="G156" s="27">
        <v>0.7</v>
      </c>
      <c r="H156" s="27">
        <v>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150</v>
      </c>
      <c r="B157" s="33"/>
      <c r="C157" s="22"/>
      <c r="D157" s="22"/>
      <c r="E157" s="24"/>
      <c r="F157" s="34"/>
      <c r="G157" s="35"/>
      <c r="H157" s="36" t="s">
        <v>151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152</v>
      </c>
      <c r="B158" s="22"/>
      <c r="C158" s="22"/>
      <c r="D158" s="22"/>
      <c r="E158" s="22" t="s">
        <v>153</v>
      </c>
      <c r="F158" s="22" t="s">
        <v>154</v>
      </c>
      <c r="G158" s="40" t="s">
        <v>155</v>
      </c>
      <c r="H158" s="41" t="s">
        <v>153</v>
      </c>
      <c r="I158" s="22" t="s">
        <v>154</v>
      </c>
      <c r="J158" s="42" t="s">
        <v>156</v>
      </c>
      <c r="K158" s="24" t="s">
        <v>157</v>
      </c>
      <c r="L158" s="24"/>
      <c r="M158" s="25" t="s">
        <v>158</v>
      </c>
      <c r="N158" s="9"/>
    </row>
    <row r="159" spans="1:14" ht="15" customHeight="1" x14ac:dyDescent="0.45">
      <c r="A159" s="43" t="s">
        <v>163</v>
      </c>
      <c r="B159" s="28"/>
      <c r="C159" s="28"/>
      <c r="D159" s="28"/>
      <c r="E159" s="44">
        <v>13.9767975</v>
      </c>
      <c r="F159" s="45">
        <v>86.836910943515008</v>
      </c>
      <c r="G159" s="46">
        <v>100.81370844351501</v>
      </c>
      <c r="H159" s="47">
        <v>0</v>
      </c>
      <c r="I159" s="29">
        <v>0</v>
      </c>
      <c r="J159" s="48">
        <v>0</v>
      </c>
      <c r="K159" s="30">
        <v>100.81370844351501</v>
      </c>
      <c r="L159" s="27"/>
      <c r="M159" s="31">
        <v>7.3248829526161403</v>
      </c>
      <c r="N159" s="37"/>
    </row>
    <row r="160" spans="1:14" ht="15" customHeight="1" x14ac:dyDescent="0.45">
      <c r="A160" s="16">
        <v>10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139</v>
      </c>
      <c r="B161" s="21" t="s">
        <v>140</v>
      </c>
      <c r="C161" s="22" t="s">
        <v>141</v>
      </c>
      <c r="D161" s="22"/>
      <c r="E161" s="23" t="s">
        <v>142</v>
      </c>
      <c r="F161" s="21" t="s">
        <v>143</v>
      </c>
      <c r="G161" s="24" t="s">
        <v>144</v>
      </c>
      <c r="H161" s="24" t="s">
        <v>145</v>
      </c>
      <c r="I161" s="24" t="s">
        <v>146</v>
      </c>
      <c r="J161" s="24" t="s">
        <v>147</v>
      </c>
      <c r="K161" s="24" t="s">
        <v>148</v>
      </c>
      <c r="L161" s="24"/>
      <c r="M161" s="25" t="s">
        <v>149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5.8</v>
      </c>
      <c r="D162" s="28"/>
      <c r="E162" s="29">
        <v>127</v>
      </c>
      <c r="F162" s="30">
        <v>254.44545454545451</v>
      </c>
      <c r="G162" s="27">
        <v>0.7</v>
      </c>
      <c r="H162" s="27">
        <v>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150</v>
      </c>
      <c r="B163" s="33"/>
      <c r="C163" s="22"/>
      <c r="D163" s="22"/>
      <c r="E163" s="24"/>
      <c r="F163" s="34"/>
      <c r="G163" s="35"/>
      <c r="H163" s="36" t="s">
        <v>151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152</v>
      </c>
      <c r="B164" s="22"/>
      <c r="C164" s="22"/>
      <c r="D164" s="22"/>
      <c r="E164" s="22" t="s">
        <v>153</v>
      </c>
      <c r="F164" s="22" t="s">
        <v>154</v>
      </c>
      <c r="G164" s="40" t="s">
        <v>155</v>
      </c>
      <c r="H164" s="41" t="s">
        <v>153</v>
      </c>
      <c r="I164" s="22" t="s">
        <v>154</v>
      </c>
      <c r="J164" s="42" t="s">
        <v>156</v>
      </c>
      <c r="K164" s="24" t="s">
        <v>157</v>
      </c>
      <c r="L164" s="24"/>
      <c r="M164" s="25" t="s">
        <v>158</v>
      </c>
      <c r="N164" s="9"/>
    </row>
    <row r="165" spans="1:14" ht="15" customHeight="1" x14ac:dyDescent="0.45">
      <c r="A165" s="43" t="s">
        <v>165</v>
      </c>
      <c r="B165" s="28"/>
      <c r="C165" s="28"/>
      <c r="D165" s="28"/>
      <c r="E165" s="44">
        <v>0</v>
      </c>
      <c r="F165" s="45">
        <v>81.583270874999982</v>
      </c>
      <c r="G165" s="46">
        <v>81.583270874999982</v>
      </c>
      <c r="H165" s="47">
        <v>0</v>
      </c>
      <c r="I165" s="29">
        <v>0</v>
      </c>
      <c r="J165" s="48">
        <v>0</v>
      </c>
      <c r="K165" s="30">
        <v>81.583270874999982</v>
      </c>
      <c r="L165" s="27"/>
      <c r="M165" s="31">
        <v>7.2626527990297367</v>
      </c>
      <c r="N165" s="37"/>
    </row>
    <row r="166" spans="1:14" ht="15" customHeight="1" x14ac:dyDescent="0.45">
      <c r="A166" s="16">
        <v>11</v>
      </c>
      <c r="B166" s="17" t="s">
        <v>174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139</v>
      </c>
      <c r="B167" s="21" t="s">
        <v>140</v>
      </c>
      <c r="C167" s="22" t="s">
        <v>141</v>
      </c>
      <c r="D167" s="22"/>
      <c r="E167" s="23" t="s">
        <v>142</v>
      </c>
      <c r="F167" s="21" t="s">
        <v>143</v>
      </c>
      <c r="G167" s="24" t="s">
        <v>144</v>
      </c>
      <c r="H167" s="24" t="s">
        <v>145</v>
      </c>
      <c r="I167" s="24" t="s">
        <v>146</v>
      </c>
      <c r="J167" s="24" t="s">
        <v>147</v>
      </c>
      <c r="K167" s="24" t="s">
        <v>148</v>
      </c>
      <c r="L167" s="24"/>
      <c r="M167" s="25" t="s">
        <v>149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150</v>
      </c>
      <c r="B169" s="33"/>
      <c r="C169" s="22"/>
      <c r="D169" s="22"/>
      <c r="E169" s="24"/>
      <c r="F169" s="34"/>
      <c r="G169" s="35"/>
      <c r="H169" s="36" t="s">
        <v>151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152</v>
      </c>
      <c r="B170" s="22"/>
      <c r="C170" s="22"/>
      <c r="D170" s="22"/>
      <c r="E170" s="22" t="s">
        <v>153</v>
      </c>
      <c r="F170" s="22" t="s">
        <v>154</v>
      </c>
      <c r="G170" s="40" t="s">
        <v>155</v>
      </c>
      <c r="H170" s="41" t="s">
        <v>153</v>
      </c>
      <c r="I170" s="22" t="s">
        <v>154</v>
      </c>
      <c r="J170" s="42" t="s">
        <v>156</v>
      </c>
      <c r="K170" s="24" t="s">
        <v>157</v>
      </c>
      <c r="L170" s="24"/>
      <c r="M170" s="25" t="s">
        <v>158</v>
      </c>
      <c r="N170" s="9"/>
    </row>
    <row r="171" spans="1:14" ht="15" customHeight="1" x14ac:dyDescent="0.45">
      <c r="A171" s="43" t="s">
        <v>169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0</v>
      </c>
      <c r="I171" s="29">
        <v>0</v>
      </c>
      <c r="J171" s="48">
        <v>0</v>
      </c>
      <c r="K171" s="30">
        <v>65.293765874999991</v>
      </c>
      <c r="L171" s="27"/>
      <c r="M171" s="31">
        <v>6.6026518648368988</v>
      </c>
      <c r="N171" s="37"/>
    </row>
    <row r="172" spans="1:14" ht="15" customHeight="1" x14ac:dyDescent="0.45"/>
    <row r="173" spans="1:14" ht="15" customHeight="1" x14ac:dyDescent="0.45"/>
    <row r="174" spans="1:14" ht="15" customHeight="1" x14ac:dyDescent="0.45"/>
    <row r="175" spans="1:14" ht="15" customHeight="1" x14ac:dyDescent="0.45"/>
    <row r="176" spans="1:14" ht="15" customHeight="1" x14ac:dyDescent="0.45"/>
    <row r="177" ht="15" customHeight="1" x14ac:dyDescent="0.45"/>
    <row r="178" ht="15" customHeight="1" x14ac:dyDescent="0.45"/>
    <row r="179" ht="15" customHeight="1" x14ac:dyDescent="0.45"/>
    <row r="180" ht="15" customHeight="1" x14ac:dyDescent="0.45"/>
    <row r="181" ht="15" customHeight="1" x14ac:dyDescent="0.45"/>
    <row r="182" ht="15" customHeight="1" x14ac:dyDescent="0.45"/>
    <row r="183" ht="15" customHeight="1" x14ac:dyDescent="0.45"/>
    <row r="184" ht="15" customHeight="1" x14ac:dyDescent="0.45"/>
    <row r="185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AA31:AC31 Z23:Z74">
    <cfRule type="cellIs" dxfId="12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92"/>
  <sheetViews>
    <sheetView showGridLines="0" topLeftCell="A36" zoomScale="130" zoomScaleNormal="130" workbookViewId="0">
      <selection activeCell="A49" sqref="A49:A7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201"/>
      <c r="G1" s="201"/>
      <c r="H1" s="201"/>
      <c r="I1" s="201"/>
      <c r="J1" s="201"/>
      <c r="K1" s="201"/>
      <c r="L1" s="201"/>
      <c r="M1" s="201"/>
      <c r="N1" s="202"/>
    </row>
    <row r="2" spans="1:14" ht="12" customHeight="1" x14ac:dyDescent="0.45">
      <c r="A2" s="69"/>
      <c r="F2" s="203"/>
      <c r="G2" s="203"/>
      <c r="H2" s="203"/>
      <c r="I2" s="203"/>
      <c r="J2" s="203"/>
      <c r="K2" s="203"/>
      <c r="L2" s="203"/>
      <c r="M2" s="203"/>
      <c r="N2" s="204"/>
    </row>
    <row r="3" spans="1:14" ht="12" customHeight="1" x14ac:dyDescent="0.45">
      <c r="A3" s="69"/>
      <c r="F3" s="203"/>
      <c r="G3" s="203"/>
      <c r="H3" s="203"/>
      <c r="I3" s="203"/>
      <c r="J3" s="203"/>
      <c r="K3" s="203"/>
      <c r="L3" s="203"/>
      <c r="M3" s="203"/>
      <c r="N3" s="204"/>
    </row>
    <row r="4" spans="1:14" ht="12" customHeight="1" x14ac:dyDescent="0.45">
      <c r="A4" s="69"/>
      <c r="F4" s="203" t="s">
        <v>64</v>
      </c>
      <c r="G4" s="203"/>
      <c r="H4" s="203"/>
      <c r="I4" s="203"/>
      <c r="J4" s="203"/>
      <c r="K4" s="203"/>
      <c r="L4" s="203"/>
      <c r="M4" s="203"/>
      <c r="N4" s="204"/>
    </row>
    <row r="5" spans="1:14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f>'Global Strength'!D10</f>
        <v>855120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f>'Global Strength'!D6</f>
        <v>29.331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4">
        <f>'Global Strength'!D5</f>
        <v>6.0910000000000002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f>'Global Strength'!D27</f>
        <v>27825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07" t="s">
        <v>101</v>
      </c>
      <c r="B21" s="207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8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 t="s">
        <v>125</v>
      </c>
      <c r="AE21" s="4">
        <v>1.0249999999999999</v>
      </c>
    </row>
    <row r="22" spans="1:34" ht="12" customHeight="1" x14ac:dyDescent="0.45">
      <c r="A22" s="207"/>
      <c r="B22" s="207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8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  <c r="AD22" s="4" t="s">
        <v>131</v>
      </c>
      <c r="AE22" s="4">
        <v>9.81</v>
      </c>
    </row>
    <row r="23" spans="1:34" ht="12" customHeight="1" x14ac:dyDescent="0.45">
      <c r="A23" s="58">
        <v>1</v>
      </c>
      <c r="B23" s="58" t="s">
        <v>132</v>
      </c>
      <c r="C23" s="199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177.57785005625448</v>
      </c>
      <c r="R23" s="65">
        <v>0</v>
      </c>
      <c r="S23" s="65">
        <v>-13.5</v>
      </c>
      <c r="T23" s="60">
        <f t="shared" ref="T23:T24" si="1">SQRT(Q23^2+R23^2-Q23*R23+3*S23^2)</f>
        <v>179.11069993331387</v>
      </c>
      <c r="U23" s="59">
        <f>MIN(K23/$F$7,1.3*(K23/$F$7-T23))</f>
        <v>186.70154463214647</v>
      </c>
      <c r="V23" s="60">
        <f>14.3*$F$8/SQRT(K23/$F$7)</f>
        <v>3.98004706603921</v>
      </c>
      <c r="W23" s="60">
        <f>15.8*N23*L23*SQRT(J23)/SQRT(U23*P23)</f>
        <v>11.369060257856148</v>
      </c>
      <c r="X23" s="60">
        <f>MAX(V23,W23)+O23</f>
        <v>12.869060257856148</v>
      </c>
      <c r="Y23" s="146">
        <v>16</v>
      </c>
      <c r="Z23" s="60" t="str">
        <f>IF(MROUND(X23,0.5)&lt;=Y23,"OK","N.G")</f>
        <v>OK</v>
      </c>
    </row>
    <row r="24" spans="1:34" ht="12" customHeight="1" x14ac:dyDescent="0.45">
      <c r="A24" s="58">
        <v>2</v>
      </c>
      <c r="B24" s="58" t="s">
        <v>132</v>
      </c>
      <c r="C24" s="199">
        <v>1.5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177.57785005625448</v>
      </c>
      <c r="R24" s="65">
        <v>0</v>
      </c>
      <c r="S24" s="65">
        <v>-6.4</v>
      </c>
      <c r="T24" s="60">
        <f t="shared" si="1"/>
        <v>177.92350274936024</v>
      </c>
      <c r="U24" s="59">
        <f>MIN(K24/$F$7,1.3*(K24/$F$7-T24))</f>
        <v>188.2449009712862</v>
      </c>
      <c r="V24" s="60">
        <f>14.3*$F$8/SQRT(K24/$F$7)</f>
        <v>3.98004706603921</v>
      </c>
      <c r="W24" s="60">
        <f>15.8*N24*L24*SQRT(J24)/SQRT(U24*P24)</f>
        <v>11.322358796627578</v>
      </c>
      <c r="X24" s="60">
        <f>MAX(V24,W24)+O24</f>
        <v>12.822358796627578</v>
      </c>
      <c r="Y24" s="146">
        <v>16</v>
      </c>
      <c r="Z24" s="60" t="str">
        <f t="shared" ref="Z24:Z74" si="5">IF(MROUND(X24,0.5)&lt;=Y24,"OK","N.G")</f>
        <v>OK</v>
      </c>
    </row>
    <row r="25" spans="1:34" ht="12" customHeight="1" x14ac:dyDescent="0.45">
      <c r="A25" s="58">
        <v>3</v>
      </c>
      <c r="B25" s="58" t="s">
        <v>132</v>
      </c>
      <c r="C25" s="199">
        <v>2.25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177.57785005625448</v>
      </c>
      <c r="R25" s="65">
        <v>0</v>
      </c>
      <c r="S25" s="65">
        <v>0.60000000000000797</v>
      </c>
      <c r="T25" s="60">
        <f>SQRT(Q25^2+R25^2-Q25*R25+3*S25^2)</f>
        <v>177.58089095001637</v>
      </c>
      <c r="U25" s="59">
        <f>MIN(K25/$F$7,1.3*(K25/$F$7-T25))</f>
        <v>188.69029631043324</v>
      </c>
      <c r="V25" s="60">
        <f t="shared" ref="V25:V74" si="6">14.3*$F$8/SQRT(K25/$F$7)</f>
        <v>3.98004706603921</v>
      </c>
      <c r="W25" s="60">
        <f t="shared" ref="W25:W30" si="7">15.8*N25*L25*SQRT(J25)/SQRT(U25*P25)</f>
        <v>11.308987930836588</v>
      </c>
      <c r="X25" s="60">
        <f t="shared" ref="X25:X74" si="8">MAX(V25,W25)+O25</f>
        <v>12.808987930836588</v>
      </c>
      <c r="Y25" s="146">
        <v>16</v>
      </c>
      <c r="Z25" s="60" t="str">
        <f t="shared" si="5"/>
        <v>OK</v>
      </c>
    </row>
    <row r="26" spans="1:34" ht="12" customHeight="1" x14ac:dyDescent="0.45">
      <c r="A26" s="58">
        <v>4</v>
      </c>
      <c r="B26" s="58" t="s">
        <v>132</v>
      </c>
      <c r="C26" s="199">
        <v>3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177.57785005625448</v>
      </c>
      <c r="R26" s="65">
        <v>0</v>
      </c>
      <c r="S26" s="65">
        <v>7.6</v>
      </c>
      <c r="T26" s="60">
        <f t="shared" ref="T26:T74" si="9">SQRT(Q26^2+R26^2-Q26*R26+3*S26^2)</f>
        <v>178.06508032346375</v>
      </c>
      <c r="U26" s="59">
        <f>MIN(K26/$F$7,1.3*(K26/$F$7-T26))</f>
        <v>188.06085012495163</v>
      </c>
      <c r="V26" s="60">
        <f t="shared" si="6"/>
        <v>3.98004706603921</v>
      </c>
      <c r="W26" s="60">
        <f t="shared" si="7"/>
        <v>11.327897908311902</v>
      </c>
      <c r="X26" s="60">
        <f>MAX(V26,W26)+O26</f>
        <v>12.827897908311902</v>
      </c>
      <c r="Y26" s="146">
        <v>16</v>
      </c>
      <c r="Z26" s="60" t="str">
        <f t="shared" si="5"/>
        <v>OK</v>
      </c>
    </row>
    <row r="27" spans="1:34" ht="12" customHeight="1" x14ac:dyDescent="0.45">
      <c r="A27" s="58">
        <v>5</v>
      </c>
      <c r="B27" s="58" t="s">
        <v>132</v>
      </c>
      <c r="C27" s="199">
        <v>3.75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177.57785005625448</v>
      </c>
      <c r="R27" s="65">
        <v>0</v>
      </c>
      <c r="S27" s="65">
        <v>14.7</v>
      </c>
      <c r="T27" s="60">
        <f t="shared" si="9"/>
        <v>179.3938762349529</v>
      </c>
      <c r="U27" s="59">
        <f>MIN(K27/$F$7,1.3*(K27/$F$7-T27))</f>
        <v>186.33341544001573</v>
      </c>
      <c r="V27" s="60">
        <f t="shared" si="6"/>
        <v>3.98004706603921</v>
      </c>
      <c r="W27" s="60">
        <f t="shared" si="7"/>
        <v>11.380285345520619</v>
      </c>
      <c r="X27" s="60">
        <f t="shared" si="8"/>
        <v>12.880285345520619</v>
      </c>
      <c r="Y27" s="146">
        <v>16</v>
      </c>
      <c r="Z27" s="60" t="str">
        <f t="shared" si="5"/>
        <v>OK</v>
      </c>
    </row>
    <row r="28" spans="1:34" ht="12" customHeight="1" x14ac:dyDescent="0.45">
      <c r="A28" s="58">
        <v>6</v>
      </c>
      <c r="B28" s="58" t="s">
        <v>132</v>
      </c>
      <c r="C28" s="199">
        <v>4.5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177.57785005625448</v>
      </c>
      <c r="R28" s="65">
        <v>0</v>
      </c>
      <c r="S28" s="65">
        <v>21.7</v>
      </c>
      <c r="T28" s="60">
        <f t="shared" si="9"/>
        <v>181.51188068719247</v>
      </c>
      <c r="U28" s="59">
        <f t="shared" ref="U28:U30" si="10">MIN(K28/$F$7,1.3*(K28/$F$7-T28))</f>
        <v>183.58000965210428</v>
      </c>
      <c r="V28" s="60">
        <f t="shared" si="6"/>
        <v>3.98004706603921</v>
      </c>
      <c r="W28" s="60">
        <f t="shared" si="7"/>
        <v>11.465310737288442</v>
      </c>
      <c r="X28" s="60">
        <f t="shared" si="8"/>
        <v>12.965310737288442</v>
      </c>
      <c r="Y28" s="146">
        <v>16</v>
      </c>
      <c r="Z28" s="60" t="str">
        <f t="shared" si="5"/>
        <v>OK</v>
      </c>
    </row>
    <row r="29" spans="1:34" ht="12" customHeight="1" x14ac:dyDescent="0.45">
      <c r="A29" s="58">
        <v>7</v>
      </c>
      <c r="B29" s="58" t="s">
        <v>132</v>
      </c>
      <c r="C29" s="199">
        <v>5.25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177.57785005625448</v>
      </c>
      <c r="R29" s="65">
        <v>0</v>
      </c>
      <c r="S29" s="65">
        <v>28.8</v>
      </c>
      <c r="T29" s="60">
        <f t="shared" si="9"/>
        <v>184.45111230513521</v>
      </c>
      <c r="U29" s="59">
        <f t="shared" si="10"/>
        <v>179.75900854877872</v>
      </c>
      <c r="V29" s="60">
        <f t="shared" si="6"/>
        <v>3.98004706603921</v>
      </c>
      <c r="W29" s="60">
        <f t="shared" si="7"/>
        <v>11.586524699542256</v>
      </c>
      <c r="X29" s="60">
        <f t="shared" si="8"/>
        <v>13.086524699542256</v>
      </c>
      <c r="Y29" s="146">
        <v>16</v>
      </c>
      <c r="Z29" s="60" t="str">
        <f>IF(MROUND(X29,0.5)&lt;=Y29,"OK","N.G")</f>
        <v>OK</v>
      </c>
    </row>
    <row r="30" spans="1:34" ht="12" customHeight="1" x14ac:dyDescent="0.45">
      <c r="A30" s="58">
        <v>8</v>
      </c>
      <c r="B30" s="58" t="s">
        <v>132</v>
      </c>
      <c r="C30" s="199">
        <v>6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177.57785005625448</v>
      </c>
      <c r="R30" s="65">
        <v>0</v>
      </c>
      <c r="S30" s="65">
        <v>33.299999999999997</v>
      </c>
      <c r="T30" s="60">
        <f t="shared" si="9"/>
        <v>186.70983592355708</v>
      </c>
      <c r="U30" s="59">
        <f t="shared" si="10"/>
        <v>176.82266784483031</v>
      </c>
      <c r="V30" s="60">
        <f t="shared" si="6"/>
        <v>3.98004706603921</v>
      </c>
      <c r="W30" s="60">
        <f t="shared" si="7"/>
        <v>11.682332272831067</v>
      </c>
      <c r="X30" s="60">
        <f t="shared" si="8"/>
        <v>13.182332272831067</v>
      </c>
      <c r="Y30" s="146">
        <v>16</v>
      </c>
      <c r="Z30" s="60" t="str">
        <f t="shared" si="5"/>
        <v>OK</v>
      </c>
    </row>
    <row r="31" spans="1:34" ht="12" customHeight="1" x14ac:dyDescent="0.3">
      <c r="A31" s="82">
        <v>9</v>
      </c>
      <c r="B31" s="82" t="s">
        <v>133</v>
      </c>
      <c r="C31" s="198">
        <v>6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177.57785005625448</v>
      </c>
      <c r="R31" s="85">
        <v>0</v>
      </c>
      <c r="S31" s="85">
        <v>33.299999999999997</v>
      </c>
      <c r="T31" s="86">
        <f>SQRT(Q31^2+R31^2-Q31*R31+3*S31^2)</f>
        <v>186.70983592355708</v>
      </c>
      <c r="U31" s="83">
        <f>MIN(K31/$F$7,1.3*(K31/$F$7-T31))</f>
        <v>176.82266784483031</v>
      </c>
      <c r="V31" s="86">
        <f>14.3*$F$8/SQRT(K31/$F$7)</f>
        <v>3.98004706603921</v>
      </c>
      <c r="W31" s="86">
        <f>15.8*N31*L31*SQRT(J31)/SQRT(U31*P31)</f>
        <v>10.903510121308994</v>
      </c>
      <c r="X31" s="86">
        <f t="shared" si="8"/>
        <v>12.403510121308994</v>
      </c>
      <c r="Y31" s="196" ph="1">
        <v>16</v>
      </c>
      <c r="Z31" s="86" t="str">
        <f>IF(MROUND(X31,0.5)&lt;=Y31,"OK","N.G")</f>
        <v>OK</v>
      </c>
    </row>
    <row r="32" spans="1:34" ht="12" customHeight="1" x14ac:dyDescent="0.3">
      <c r="A32" s="82">
        <v>10</v>
      </c>
      <c r="B32" s="82" t="s">
        <v>133</v>
      </c>
      <c r="C32" s="198">
        <v>6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157.16995397361151</v>
      </c>
      <c r="R32" s="85">
        <v>0</v>
      </c>
      <c r="S32" s="85">
        <v>39.1</v>
      </c>
      <c r="T32" s="86">
        <f t="shared" si="9"/>
        <v>171.13978039037903</v>
      </c>
      <c r="U32" s="83">
        <f t="shared" ref="U32:U74" si="11">MIN(K32/$F$7,1.3*(K32/$F$7-T32))</f>
        <v>197.06374003796176</v>
      </c>
      <c r="V32" s="86">
        <f t="shared" si="6"/>
        <v>3.98004706603921</v>
      </c>
      <c r="W32" s="86">
        <f t="shared" ref="W32:W56" si="12">15.8*N32*L32*SQRT(J32)/SQRT(U32*P32)</f>
        <v>10.038773994597417</v>
      </c>
      <c r="X32" s="86">
        <f t="shared" si="8"/>
        <v>11.538773994597417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11</v>
      </c>
      <c r="B33" s="82" t="s">
        <v>133</v>
      </c>
      <c r="C33" s="198">
        <v>6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136.76205789096863</v>
      </c>
      <c r="R33" s="85">
        <v>0</v>
      </c>
      <c r="S33" s="85">
        <v>44.2</v>
      </c>
      <c r="T33" s="86">
        <f t="shared" si="9"/>
        <v>156.7315554653008</v>
      </c>
      <c r="U33" s="83">
        <f t="shared" si="11"/>
        <v>215.79443244056347</v>
      </c>
      <c r="V33" s="86">
        <f t="shared" si="6"/>
        <v>3.98004706603921</v>
      </c>
      <c r="W33" s="86">
        <f t="shared" si="12"/>
        <v>9.3082389849127392</v>
      </c>
      <c r="X33" s="86">
        <f t="shared" si="8"/>
        <v>10.808238984912739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12</v>
      </c>
      <c r="B34" s="82" t="s">
        <v>133</v>
      </c>
      <c r="C34" s="198">
        <v>6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116.35416180832569</v>
      </c>
      <c r="R34" s="85">
        <v>0</v>
      </c>
      <c r="S34" s="85">
        <v>48.6</v>
      </c>
      <c r="T34" s="86">
        <f t="shared" si="9"/>
        <v>143.61117982287465</v>
      </c>
      <c r="U34" s="83">
        <f t="shared" si="11"/>
        <v>232.85092077571747</v>
      </c>
      <c r="V34" s="86">
        <f t="shared" si="6"/>
        <v>3.98004706603921</v>
      </c>
      <c r="W34" s="86">
        <f t="shared" si="12"/>
        <v>8.6778357727415827</v>
      </c>
      <c r="X34" s="86">
        <f t="shared" si="8"/>
        <v>10.177835772741583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13</v>
      </c>
      <c r="B35" s="82" t="s">
        <v>133</v>
      </c>
      <c r="C35" s="198">
        <v>6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95.946265725682721</v>
      </c>
      <c r="R35" s="85">
        <v>0</v>
      </c>
      <c r="S35" s="85">
        <v>52</v>
      </c>
      <c r="T35" s="86">
        <f t="shared" si="9"/>
        <v>131.59667893493102</v>
      </c>
      <c r="U35" s="83">
        <f t="shared" si="11"/>
        <v>248.46977193004417</v>
      </c>
      <c r="V35" s="86">
        <f t="shared" si="6"/>
        <v>3.98004706603921</v>
      </c>
      <c r="W35" s="86">
        <f t="shared" si="12"/>
        <v>8.1174593859198456</v>
      </c>
      <c r="X35" s="86">
        <f t="shared" si="8"/>
        <v>9.6174593859198456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14</v>
      </c>
      <c r="B36" s="82" t="s">
        <v>133</v>
      </c>
      <c r="C36" s="198">
        <v>6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75.5383696430398</v>
      </c>
      <c r="R36" s="85">
        <v>0</v>
      </c>
      <c r="S36" s="85">
        <v>54.7</v>
      </c>
      <c r="T36" s="86">
        <f t="shared" si="9"/>
        <v>121.17060406026091</v>
      </c>
      <c r="U36" s="83">
        <f t="shared" si="11"/>
        <v>262.02366926711528</v>
      </c>
      <c r="V36" s="86">
        <f t="shared" si="6"/>
        <v>3.98004706603921</v>
      </c>
      <c r="W36" s="86">
        <f t="shared" si="12"/>
        <v>7.6189640159893139</v>
      </c>
      <c r="X36" s="86">
        <f t="shared" si="8"/>
        <v>9.1189640159893131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15</v>
      </c>
      <c r="B37" s="82" t="s">
        <v>133</v>
      </c>
      <c r="C37" s="198">
        <v>6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55.130473560396851</v>
      </c>
      <c r="R37" s="85">
        <v>0</v>
      </c>
      <c r="S37" s="85">
        <v>56.700000000000102</v>
      </c>
      <c r="T37" s="86">
        <f t="shared" si="9"/>
        <v>112.62343945641889</v>
      </c>
      <c r="U37" s="83">
        <f t="shared" si="11"/>
        <v>273.13498325210992</v>
      </c>
      <c r="V37" s="86">
        <f t="shared" si="6"/>
        <v>3.98004706603921</v>
      </c>
      <c r="W37" s="86">
        <f t="shared" si="12"/>
        <v>7.1715819412582533</v>
      </c>
      <c r="X37" s="86">
        <f t="shared" si="8"/>
        <v>8.6715819412582533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16</v>
      </c>
      <c r="B38" s="82" t="s">
        <v>133</v>
      </c>
      <c r="C38" s="198">
        <v>6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34.722577477753902</v>
      </c>
      <c r="R38" s="85">
        <v>0</v>
      </c>
      <c r="S38" s="85">
        <v>58.100000000000101</v>
      </c>
      <c r="T38" s="86">
        <f t="shared" si="9"/>
        <v>106.45415626784451</v>
      </c>
      <c r="U38" s="83">
        <f t="shared" si="11"/>
        <v>281.15505139725667</v>
      </c>
      <c r="V38" s="86">
        <f t="shared" si="6"/>
        <v>3.98004706603921</v>
      </c>
      <c r="W38" s="86">
        <f t="shared" si="12"/>
        <v>6.7698081736320503</v>
      </c>
      <c r="X38" s="86">
        <f t="shared" si="8"/>
        <v>8.2698081736320503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17</v>
      </c>
      <c r="B39" s="82" t="s">
        <v>133</v>
      </c>
      <c r="C39" s="198">
        <v>6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14.314681395110963</v>
      </c>
      <c r="R39" s="85">
        <v>0</v>
      </c>
      <c r="S39" s="85">
        <v>59.2</v>
      </c>
      <c r="T39" s="86">
        <f t="shared" si="9"/>
        <v>103.53178305932694</v>
      </c>
      <c r="U39" s="83">
        <f t="shared" si="11"/>
        <v>284.95413656832949</v>
      </c>
      <c r="V39" s="86">
        <f t="shared" si="6"/>
        <v>3.98004706603921</v>
      </c>
      <c r="W39" s="86">
        <f t="shared" si="12"/>
        <v>6.4140643865319076</v>
      </c>
      <c r="X39" s="86">
        <f t="shared" si="8"/>
        <v>7.9140643865319076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18</v>
      </c>
      <c r="B40" s="82" t="s">
        <v>133</v>
      </c>
      <c r="C40" s="198">
        <v>6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6.0932146875319786</v>
      </c>
      <c r="R40" s="85">
        <v>0</v>
      </c>
      <c r="S40" s="85">
        <v>59.2</v>
      </c>
      <c r="T40" s="86">
        <f t="shared" si="9"/>
        <v>102.71829080172799</v>
      </c>
      <c r="U40" s="83">
        <f t="shared" si="11"/>
        <v>286.01167650320815</v>
      </c>
      <c r="V40" s="86">
        <f t="shared" si="6"/>
        <v>3.98004706603921</v>
      </c>
      <c r="W40" s="86">
        <f t="shared" si="12"/>
        <v>6.0765226853796497</v>
      </c>
      <c r="X40" s="86">
        <f t="shared" si="8"/>
        <v>7.5765226853796497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19</v>
      </c>
      <c r="B41" s="82" t="s">
        <v>133</v>
      </c>
      <c r="C41" s="198">
        <v>6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26.501110770174925</v>
      </c>
      <c r="R41" s="85">
        <v>0</v>
      </c>
      <c r="S41" s="85">
        <v>58.700000000000102</v>
      </c>
      <c r="T41" s="86">
        <f t="shared" si="9"/>
        <v>105.06844850883218</v>
      </c>
      <c r="U41" s="83">
        <f t="shared" si="11"/>
        <v>282.95647148397268</v>
      </c>
      <c r="V41" s="86">
        <f t="shared" si="6"/>
        <v>3.98004706603921</v>
      </c>
      <c r="W41" s="86">
        <f t="shared" si="12"/>
        <v>5.76324188772388</v>
      </c>
      <c r="X41" s="86">
        <f t="shared" si="8"/>
        <v>7.26324188772388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20</v>
      </c>
      <c r="B42" s="82" t="s">
        <v>133</v>
      </c>
      <c r="C42" s="198">
        <v>6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46.909006852817861</v>
      </c>
      <c r="R42" s="85">
        <v>0</v>
      </c>
      <c r="S42" s="85">
        <v>57.4</v>
      </c>
      <c r="T42" s="86">
        <f t="shared" si="9"/>
        <v>109.93059139255875</v>
      </c>
      <c r="U42" s="83">
        <f t="shared" si="11"/>
        <v>276.63568573512811</v>
      </c>
      <c r="V42" s="86">
        <f t="shared" si="6"/>
        <v>3.98004706603921</v>
      </c>
      <c r="W42" s="86">
        <f t="shared" si="12"/>
        <v>5.4563872366435078</v>
      </c>
      <c r="X42" s="86">
        <f t="shared" si="8"/>
        <v>6.9563872366435078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21</v>
      </c>
      <c r="B43" s="82" t="s">
        <v>133</v>
      </c>
      <c r="C43" s="198">
        <v>6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67.316902935460774</v>
      </c>
      <c r="R43" s="85">
        <v>0</v>
      </c>
      <c r="S43" s="85">
        <v>55.6</v>
      </c>
      <c r="T43" s="86">
        <f t="shared" si="9"/>
        <v>117.49742729448269</v>
      </c>
      <c r="U43" s="83">
        <f t="shared" si="11"/>
        <v>266.79879906262698</v>
      </c>
      <c r="V43" s="86">
        <f t="shared" si="6"/>
        <v>3.98004706603921</v>
      </c>
      <c r="W43" s="86">
        <f t="shared" si="12"/>
        <v>5.1490998302761408</v>
      </c>
      <c r="X43" s="86">
        <f t="shared" si="8"/>
        <v>6.6490998302761408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22</v>
      </c>
      <c r="B44" s="82" t="s">
        <v>133</v>
      </c>
      <c r="C44" s="198">
        <v>6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87.724799018103695</v>
      </c>
      <c r="R44" s="85">
        <v>0</v>
      </c>
      <c r="S44" s="85">
        <v>52.999999999999901</v>
      </c>
      <c r="T44" s="86">
        <f t="shared" si="9"/>
        <v>126.97495958954528</v>
      </c>
      <c r="U44" s="83">
        <f t="shared" si="11"/>
        <v>254.47800707904565</v>
      </c>
      <c r="V44" s="86">
        <f t="shared" si="6"/>
        <v>3.98004706603921</v>
      </c>
      <c r="W44" s="86">
        <f t="shared" si="12"/>
        <v>4.8196812723281459</v>
      </c>
      <c r="X44" s="86">
        <f t="shared" si="8"/>
        <v>6.3196812723281459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23</v>
      </c>
      <c r="B45" s="82" t="s">
        <v>133</v>
      </c>
      <c r="C45" s="198">
        <v>6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108.13269510074662</v>
      </c>
      <c r="R45" s="85">
        <v>0</v>
      </c>
      <c r="S45" s="85">
        <v>49.9</v>
      </c>
      <c r="T45" s="86">
        <f t="shared" si="9"/>
        <v>138.42943960643282</v>
      </c>
      <c r="U45" s="83">
        <f t="shared" si="11"/>
        <v>239.58718305709183</v>
      </c>
      <c r="V45" s="86">
        <f t="shared" si="6"/>
        <v>3.98004706603921</v>
      </c>
      <c r="W45" s="86">
        <f t="shared" si="12"/>
        <v>4.4521488263586289</v>
      </c>
      <c r="X45" s="86">
        <f t="shared" si="8"/>
        <v>5.9521488263586289</v>
      </c>
      <c r="Y45" s="196" ph="1">
        <v>16</v>
      </c>
      <c r="Z45" s="86" t="str">
        <f t="shared" si="5"/>
        <v>OK</v>
      </c>
    </row>
    <row r="46" spans="1:26" ht="15" customHeight="1" x14ac:dyDescent="0.3">
      <c r="A46" s="82">
        <v>24</v>
      </c>
      <c r="B46" s="82" t="s">
        <v>133</v>
      </c>
      <c r="C46" s="198">
        <v>6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128.54059118338952</v>
      </c>
      <c r="R46" s="85">
        <v>0</v>
      </c>
      <c r="S46" s="85">
        <v>46.1</v>
      </c>
      <c r="T46" s="86">
        <f t="shared" si="9"/>
        <v>151.32188731897074</v>
      </c>
      <c r="U46" s="83">
        <f t="shared" si="11"/>
        <v>222.82700103079256</v>
      </c>
      <c r="V46" s="86">
        <f t="shared" si="6"/>
        <v>3.98004706603921</v>
      </c>
      <c r="W46" s="86">
        <f t="shared" si="12"/>
        <v>4.0120045376689246</v>
      </c>
      <c r="X46" s="86">
        <f t="shared" si="8"/>
        <v>5.5120045376689246</v>
      </c>
      <c r="Y46" s="196" ph="1">
        <v>16</v>
      </c>
      <c r="Z46" s="86" t="str">
        <f t="shared" si="5"/>
        <v>OK</v>
      </c>
    </row>
    <row r="47" spans="1:26" ht="15" customHeight="1" x14ac:dyDescent="0.3">
      <c r="A47" s="82">
        <v>25</v>
      </c>
      <c r="B47" s="82" t="s">
        <v>133</v>
      </c>
      <c r="C47" s="198">
        <v>6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148.94848726603243</v>
      </c>
      <c r="R47" s="85">
        <v>0</v>
      </c>
      <c r="S47" s="85">
        <v>32.299999999999997</v>
      </c>
      <c r="T47" s="86">
        <f t="shared" si="9"/>
        <v>159.10852226967424</v>
      </c>
      <c r="U47" s="83">
        <f t="shared" si="11"/>
        <v>212.704375594878</v>
      </c>
      <c r="V47" s="86">
        <f t="shared" si="6"/>
        <v>3.98004706603921</v>
      </c>
      <c r="W47" s="86">
        <f t="shared" si="12"/>
        <v>3.3760328476125516</v>
      </c>
      <c r="X47" s="86">
        <f t="shared" si="8"/>
        <v>5.4800470660392104</v>
      </c>
      <c r="Y47" s="196" ph="1">
        <v>16</v>
      </c>
      <c r="Z47" s="86" t="str">
        <f t="shared" si="5"/>
        <v>OK</v>
      </c>
    </row>
    <row r="48" spans="1:26" ht="15" customHeight="1" x14ac:dyDescent="0.3">
      <c r="A48" s="82">
        <v>26</v>
      </c>
      <c r="B48" s="82" t="s">
        <v>133</v>
      </c>
      <c r="C48" s="198">
        <v>6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169.35638334867537</v>
      </c>
      <c r="R48" s="85">
        <v>0</v>
      </c>
      <c r="S48" s="85">
        <v>28.6</v>
      </c>
      <c r="T48" s="86">
        <f t="shared" si="9"/>
        <v>176.45244283076244</v>
      </c>
      <c r="U48" s="83">
        <f t="shared" si="11"/>
        <v>190.15727886546333</v>
      </c>
      <c r="V48" s="86">
        <f t="shared" si="6"/>
        <v>3.98004706603921</v>
      </c>
      <c r="W48" s="86">
        <f t="shared" si="12"/>
        <v>2.5761358816347681</v>
      </c>
      <c r="X48" s="86">
        <f t="shared" si="8"/>
        <v>5.4800470660392104</v>
      </c>
      <c r="Y48" s="196" ph="1">
        <v>16</v>
      </c>
      <c r="Z48" s="86" t="str">
        <f t="shared" si="5"/>
        <v>OK</v>
      </c>
    </row>
    <row r="49" spans="1:26" ht="15" customHeight="1" x14ac:dyDescent="0.3">
      <c r="A49" s="87">
        <v>1</v>
      </c>
      <c r="B49" s="87" t="s">
        <v>134</v>
      </c>
      <c r="C49" s="105">
        <v>0.75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169.35638334867548</v>
      </c>
      <c r="R49" s="90">
        <v>0</v>
      </c>
      <c r="S49" s="90">
        <v>-12.6</v>
      </c>
      <c r="T49" s="91">
        <f t="shared" si="9"/>
        <v>170.75674095315688</v>
      </c>
      <c r="U49" s="88">
        <f t="shared" si="11"/>
        <v>197.56169130635055</v>
      </c>
      <c r="V49" s="91">
        <f t="shared" si="6"/>
        <v>3.98004706603921</v>
      </c>
      <c r="W49" s="91">
        <f t="shared" si="12"/>
        <v>2.70792791585035</v>
      </c>
      <c r="X49" s="91">
        <f t="shared" si="8"/>
        <v>5.4800470660392104</v>
      </c>
      <c r="Y49" s="197" ph="1">
        <v>20</v>
      </c>
      <c r="Z49" s="91" t="str">
        <f t="shared" si="5"/>
        <v>OK</v>
      </c>
    </row>
    <row r="50" spans="1:26" ht="15" customHeight="1" x14ac:dyDescent="0.3">
      <c r="A50" s="87">
        <v>2</v>
      </c>
      <c r="B50" s="87" t="s">
        <v>134</v>
      </c>
      <c r="C50" s="105">
        <v>1.5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4">$M$11/ABS(($M$12/(D50-$M$13)))/1000</f>
        <v>169.35638334867548</v>
      </c>
      <c r="R50" s="90">
        <v>0</v>
      </c>
      <c r="S50" s="90">
        <v>-6.7</v>
      </c>
      <c r="T50" s="91">
        <f t="shared" si="9"/>
        <v>169.7535112477604</v>
      </c>
      <c r="U50" s="88">
        <f t="shared" si="11"/>
        <v>198.86588992336598</v>
      </c>
      <c r="V50" s="91">
        <f t="shared" si="6"/>
        <v>3.98004706603921</v>
      </c>
      <c r="W50" s="91">
        <f t="shared" si="12"/>
        <v>2.699033768009548</v>
      </c>
      <c r="X50" s="91">
        <f t="shared" si="8"/>
        <v>5.4800470660392104</v>
      </c>
      <c r="Y50" s="197" ph="1">
        <v>20</v>
      </c>
      <c r="Z50" s="91" t="str">
        <f t="shared" si="5"/>
        <v>OK</v>
      </c>
    </row>
    <row r="51" spans="1:26" ht="15" customHeight="1" x14ac:dyDescent="0.3">
      <c r="A51" s="87">
        <v>3</v>
      </c>
      <c r="B51" s="87" t="s">
        <v>134</v>
      </c>
      <c r="C51" s="105">
        <v>2.25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169.35638334867548</v>
      </c>
      <c r="R51" s="90">
        <v>0</v>
      </c>
      <c r="S51" s="90">
        <v>-0.8</v>
      </c>
      <c r="T51" s="91">
        <f t="shared" si="9"/>
        <v>169.36205177354083</v>
      </c>
      <c r="U51" s="88">
        <f t="shared" si="11"/>
        <v>199.37478723985143</v>
      </c>
      <c r="V51" s="91">
        <f t="shared" si="6"/>
        <v>3.98004706603921</v>
      </c>
      <c r="W51" s="91">
        <f t="shared" si="12"/>
        <v>2.6955869715169265</v>
      </c>
      <c r="X51" s="91">
        <f t="shared" si="8"/>
        <v>5.4800470660392104</v>
      </c>
      <c r="Y51" s="197" ph="1">
        <v>20</v>
      </c>
      <c r="Z51" s="91" t="str">
        <f t="shared" si="5"/>
        <v>OK</v>
      </c>
    </row>
    <row r="52" spans="1:26" ht="15" customHeight="1" x14ac:dyDescent="0.3">
      <c r="A52" s="87">
        <v>4</v>
      </c>
      <c r="B52" s="87" t="s">
        <v>134</v>
      </c>
      <c r="C52" s="105">
        <v>3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169.35638334867548</v>
      </c>
      <c r="R52" s="90">
        <v>0</v>
      </c>
      <c r="S52" s="90">
        <v>5.0999999999999996</v>
      </c>
      <c r="T52" s="91">
        <f t="shared" si="9"/>
        <v>169.58659906060834</v>
      </c>
      <c r="U52" s="88">
        <f t="shared" si="11"/>
        <v>199.08287576666368</v>
      </c>
      <c r="V52" s="91">
        <f t="shared" si="6"/>
        <v>3.98004706603921</v>
      </c>
      <c r="W52" s="91">
        <f t="shared" si="12"/>
        <v>2.6975624918323433</v>
      </c>
      <c r="X52" s="91">
        <f t="shared" si="8"/>
        <v>5.4800470660392104</v>
      </c>
      <c r="Y52" s="197" ph="1">
        <v>20</v>
      </c>
      <c r="Z52" s="91" t="str">
        <f t="shared" si="5"/>
        <v>OK</v>
      </c>
    </row>
    <row r="53" spans="1:26" ht="15" customHeight="1" x14ac:dyDescent="0.3">
      <c r="A53" s="87">
        <v>5</v>
      </c>
      <c r="B53" s="87" t="s">
        <v>134</v>
      </c>
      <c r="C53" s="105">
        <v>3.75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169.35638334867548</v>
      </c>
      <c r="R53" s="90">
        <v>0</v>
      </c>
      <c r="S53" s="90">
        <v>10.9</v>
      </c>
      <c r="T53" s="91">
        <f t="shared" si="9"/>
        <v>170.40544175859972</v>
      </c>
      <c r="U53" s="88">
        <f t="shared" si="11"/>
        <v>198.01838025927486</v>
      </c>
      <c r="V53" s="91">
        <f t="shared" si="6"/>
        <v>3.98004706603921</v>
      </c>
      <c r="W53" s="91">
        <f t="shared" si="12"/>
        <v>2.7048034719876299</v>
      </c>
      <c r="X53" s="91">
        <f t="shared" si="8"/>
        <v>5.4800470660392104</v>
      </c>
      <c r="Y53" s="197" ph="1">
        <v>20</v>
      </c>
      <c r="Z53" s="91" t="str">
        <f t="shared" si="5"/>
        <v>OK</v>
      </c>
    </row>
    <row r="54" spans="1:26" ht="15" customHeight="1" x14ac:dyDescent="0.3">
      <c r="A54" s="87">
        <v>6</v>
      </c>
      <c r="B54" s="87" t="s">
        <v>134</v>
      </c>
      <c r="C54" s="105">
        <v>4.5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169.35638334867548</v>
      </c>
      <c r="R54" s="90">
        <v>0</v>
      </c>
      <c r="S54" s="90">
        <v>16.8</v>
      </c>
      <c r="T54" s="91">
        <f t="shared" si="9"/>
        <v>171.83801843871316</v>
      </c>
      <c r="U54" s="88">
        <f t="shared" si="11"/>
        <v>196.1560305751274</v>
      </c>
      <c r="V54" s="91">
        <f t="shared" si="6"/>
        <v>3.98004706603921</v>
      </c>
      <c r="W54" s="91">
        <f t="shared" si="12"/>
        <v>2.717613147041066</v>
      </c>
      <c r="X54" s="91">
        <f t="shared" si="8"/>
        <v>5.4800470660392104</v>
      </c>
      <c r="Y54" s="197" ph="1">
        <v>20</v>
      </c>
      <c r="Z54" s="91" t="str">
        <f t="shared" si="5"/>
        <v>OK</v>
      </c>
    </row>
    <row r="55" spans="1:26" ht="15" customHeight="1" x14ac:dyDescent="0.3">
      <c r="A55" s="87">
        <v>7</v>
      </c>
      <c r="B55" s="87" t="s">
        <v>134</v>
      </c>
      <c r="C55" s="105">
        <v>5.25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169.35638334867548</v>
      </c>
      <c r="R55" s="90">
        <v>0</v>
      </c>
      <c r="S55" s="90">
        <v>22.7</v>
      </c>
      <c r="T55" s="91">
        <f t="shared" si="9"/>
        <v>173.8604457055817</v>
      </c>
      <c r="U55" s="88">
        <f t="shared" si="11"/>
        <v>193.5268751281983</v>
      </c>
      <c r="V55" s="91">
        <f t="shared" si="6"/>
        <v>3.98004706603921</v>
      </c>
      <c r="W55" s="91">
        <f t="shared" si="12"/>
        <v>2.7360109114372362</v>
      </c>
      <c r="X55" s="91">
        <f t="shared" si="8"/>
        <v>5.4800470660392104</v>
      </c>
      <c r="Y55" s="197" ph="1">
        <v>20</v>
      </c>
      <c r="Z55" s="91" t="str">
        <f t="shared" si="5"/>
        <v>OK</v>
      </c>
    </row>
    <row r="56" spans="1:26" ht="15" customHeight="1" x14ac:dyDescent="0.3">
      <c r="A56" s="87">
        <v>8</v>
      </c>
      <c r="B56" s="87" t="s">
        <v>134</v>
      </c>
      <c r="C56" s="105">
        <v>6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169.35638334867548</v>
      </c>
      <c r="R56" s="90">
        <v>0</v>
      </c>
      <c r="S56" s="90">
        <v>28.6</v>
      </c>
      <c r="T56" s="91">
        <f t="shared" si="9"/>
        <v>176.45244283076255</v>
      </c>
      <c r="U56" s="88">
        <f t="shared" si="11"/>
        <v>190.15727886546318</v>
      </c>
      <c r="V56" s="91">
        <f t="shared" si="6"/>
        <v>3.98004706603921</v>
      </c>
      <c r="W56" s="91">
        <f t="shared" si="12"/>
        <v>2.7601455874658174</v>
      </c>
      <c r="X56" s="91">
        <f t="shared" si="8"/>
        <v>5.4800470660392104</v>
      </c>
      <c r="Y56" s="197" ph="1">
        <v>20</v>
      </c>
      <c r="Z56" s="91" t="str">
        <f t="shared" si="5"/>
        <v>OK</v>
      </c>
    </row>
    <row r="57" spans="1:26" ht="15" customHeight="1" x14ac:dyDescent="0.3">
      <c r="A57" s="92">
        <v>1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-40.99537308</v>
      </c>
      <c r="T57" s="96">
        <f t="shared" si="9"/>
        <v>71.006069049801411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8.0708163754055988</v>
      </c>
      <c r="X57" s="96">
        <f t="shared" si="8"/>
        <v>9.5708163754055988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2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-44.9709996922522</v>
      </c>
      <c r="T58" s="96">
        <f t="shared" si="9"/>
        <v>77.892056334145153</v>
      </c>
      <c r="U58" s="93">
        <f t="shared" si="11"/>
        <v>318.28578131106582</v>
      </c>
      <c r="V58" s="96">
        <f t="shared" si="6"/>
        <v>3.98004706603921</v>
      </c>
      <c r="W58" s="96">
        <f>15.8*N58*L58*SQRT(J58)/SQRT(U58*P58)</f>
        <v>7.8990601052603688</v>
      </c>
      <c r="X58" s="96">
        <f t="shared" si="8"/>
        <v>9.3990601052603679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3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-50.325999431170104</v>
      </c>
      <c r="T59" s="96">
        <f t="shared" si="9"/>
        <v>87.167187956469036</v>
      </c>
      <c r="U59" s="93">
        <f t="shared" si="11"/>
        <v>306.22811020204477</v>
      </c>
      <c r="V59" s="96">
        <f t="shared" si="6"/>
        <v>3.98004706603921</v>
      </c>
      <c r="W59" s="96">
        <f t="shared" ref="W59:W74" si="15">15.8*N59*L59*SQRT(J59)/SQRT(U59*P59)</f>
        <v>7.8138508237212809</v>
      </c>
      <c r="X59" s="96">
        <f t="shared" si="8"/>
        <v>9.3138508237212818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4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-54.572244909442198</v>
      </c>
      <c r="T60" s="96">
        <f t="shared" si="9"/>
        <v>94.521900866245915</v>
      </c>
      <c r="U60" s="93">
        <f t="shared" si="11"/>
        <v>296.66698341933483</v>
      </c>
      <c r="V60" s="96">
        <f t="shared" si="6"/>
        <v>3.98004706603921</v>
      </c>
      <c r="W60" s="96">
        <f t="shared" si="15"/>
        <v>7.6880429144795084</v>
      </c>
      <c r="X60" s="96">
        <f t="shared" si="8"/>
        <v>9.1880429144795084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5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-56.247812153950598</v>
      </c>
      <c r="T61" s="96">
        <f t="shared" si="9"/>
        <v>97.424068465232637</v>
      </c>
      <c r="U61" s="93">
        <f t="shared" si="11"/>
        <v>292.89416554065207</v>
      </c>
      <c r="V61" s="96">
        <f t="shared" si="6"/>
        <v>3.98004706603921</v>
      </c>
      <c r="W61" s="96">
        <f t="shared" si="15"/>
        <v>7.4765552116559864</v>
      </c>
      <c r="X61" s="96">
        <f t="shared" si="8"/>
        <v>8.9765552116559864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6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-58.062572283693299</v>
      </c>
      <c r="T62" s="96">
        <f t="shared" si="9"/>
        <v>100.56732521349728</v>
      </c>
      <c r="U62" s="93">
        <f t="shared" si="11"/>
        <v>288.80793176790803</v>
      </c>
      <c r="V62" s="96">
        <f t="shared" si="6"/>
        <v>3.98004706603921</v>
      </c>
      <c r="W62" s="96">
        <f t="shared" si="15"/>
        <v>7.2570752470930247</v>
      </c>
      <c r="X62" s="96">
        <f t="shared" si="8"/>
        <v>8.7570752470930238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-59.831287085059103</v>
      </c>
      <c r="T63" s="96">
        <f t="shared" si="9"/>
        <v>103.63082911356196</v>
      </c>
      <c r="U63" s="93">
        <f t="shared" si="11"/>
        <v>284.82537669782397</v>
      </c>
      <c r="V63" s="96">
        <f t="shared" si="6"/>
        <v>3.98004706603921</v>
      </c>
      <c r="W63" s="96">
        <f t="shared" si="15"/>
        <v>7.0228644957829252</v>
      </c>
      <c r="X63" s="96">
        <f t="shared" si="8"/>
        <v>8.522864495782926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8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-61.368718344436601</v>
      </c>
      <c r="T64" s="96">
        <f t="shared" si="9"/>
        <v>106.29373816794839</v>
      </c>
      <c r="U64" s="93">
        <f t="shared" si="11"/>
        <v>281.3635949271216</v>
      </c>
      <c r="V64" s="96">
        <f t="shared" si="6"/>
        <v>3.98004706603921</v>
      </c>
      <c r="W64" s="96">
        <f t="shared" si="15"/>
        <v>6.7672988557636398</v>
      </c>
      <c r="X64" s="96">
        <f t="shared" si="8"/>
        <v>8.2672988557636398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9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-62.489627848214496</v>
      </c>
      <c r="T65" s="96">
        <f t="shared" si="9"/>
        <v>108.23521037917853</v>
      </c>
      <c r="U65" s="93">
        <f t="shared" si="11"/>
        <v>278.83968105252245</v>
      </c>
      <c r="V65" s="96">
        <f t="shared" si="6"/>
        <v>3.98004706603921</v>
      </c>
      <c r="W65" s="96">
        <f t="shared" si="15"/>
        <v>6.4840075142600613</v>
      </c>
      <c r="X65" s="96">
        <f t="shared" si="8"/>
        <v>7.9840075142600613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10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-63.013316577077603</v>
      </c>
      <c r="T66" s="96">
        <f t="shared" si="9"/>
        <v>109.14226586492059</v>
      </c>
      <c r="U66" s="93">
        <f t="shared" si="11"/>
        <v>277.66050892105773</v>
      </c>
      <c r="V66" s="96">
        <f t="shared" si="6"/>
        <v>3.98004706603921</v>
      </c>
      <c r="W66" s="96">
        <f t="shared" si="15"/>
        <v>6.16722719536022</v>
      </c>
      <c r="X66" s="96">
        <f t="shared" si="8"/>
        <v>7.66722719536022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11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-62.863486980527497</v>
      </c>
      <c r="T67" s="96">
        <f t="shared" si="9"/>
        <v>108.88275339121826</v>
      </c>
      <c r="U67" s="93">
        <f t="shared" si="11"/>
        <v>277.99787513687073</v>
      </c>
      <c r="V67" s="96">
        <f t="shared" si="6"/>
        <v>3.98004706603921</v>
      </c>
      <c r="W67" s="96">
        <f t="shared" si="15"/>
        <v>5.8144136473231933</v>
      </c>
      <c r="X67" s="96">
        <f t="shared" si="8"/>
        <v>7.3144136473231933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12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-62.068242976881997</v>
      </c>
      <c r="T68" s="96">
        <f t="shared" si="9"/>
        <v>107.50535037248976</v>
      </c>
      <c r="U68" s="93">
        <f t="shared" si="11"/>
        <v>279.78849906121781</v>
      </c>
      <c r="V68" s="96">
        <f t="shared" si="6"/>
        <v>3.98004706603921</v>
      </c>
      <c r="W68" s="96">
        <f t="shared" si="15"/>
        <v>5.4255573265206003</v>
      </c>
      <c r="X68" s="96">
        <f t="shared" si="8"/>
        <v>6.9255573265206003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13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-60.660227678755199</v>
      </c>
      <c r="T69" s="96">
        <f t="shared" si="9"/>
        <v>105.0665963382999</v>
      </c>
      <c r="U69" s="93">
        <f t="shared" si="11"/>
        <v>282.9588793056646</v>
      </c>
      <c r="V69" s="96">
        <f t="shared" si="6"/>
        <v>3.98004706603921</v>
      </c>
      <c r="W69" s="96">
        <f t="shared" si="15"/>
        <v>4.9999030557911146</v>
      </c>
      <c r="X69" s="96">
        <f t="shared" si="8"/>
        <v>6.4999030557911146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14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-58.672084198761397</v>
      </c>
      <c r="T70" s="96">
        <f t="shared" si="9"/>
        <v>101.62303081821383</v>
      </c>
      <c r="U70" s="93">
        <f t="shared" si="11"/>
        <v>287.43551448177652</v>
      </c>
      <c r="V70" s="96">
        <f t="shared" si="6"/>
        <v>3.98004706603921</v>
      </c>
      <c r="W70" s="96">
        <f t="shared" si="15"/>
        <v>4.5349576226905501</v>
      </c>
      <c r="X70" s="96">
        <f t="shared" si="8"/>
        <v>6.0349576226905501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15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-56.136455649514801</v>
      </c>
      <c r="T71" s="96">
        <f t="shared" si="9"/>
        <v>97.231193341796569</v>
      </c>
      <c r="U71" s="93">
        <f t="shared" si="11"/>
        <v>293.14490320111895</v>
      </c>
      <c r="V71" s="96">
        <f t="shared" si="6"/>
        <v>3.98004706603921</v>
      </c>
      <c r="W71" s="96">
        <f t="shared" si="15"/>
        <v>4.0249481522062105</v>
      </c>
      <c r="X71" s="96">
        <f t="shared" si="8"/>
        <v>5.5249481522062105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16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-53.263999522432997</v>
      </c>
      <c r="T72" s="96">
        <f t="shared" si="9"/>
        <v>92.255953387178366</v>
      </c>
      <c r="U72" s="93">
        <f t="shared" si="11"/>
        <v>299.61271514212262</v>
      </c>
      <c r="V72" s="96">
        <f t="shared" si="6"/>
        <v>3.98004706603921</v>
      </c>
      <c r="W72" s="96">
        <f t="shared" si="15"/>
        <v>3.4599131952705777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17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-48.4539997917351</v>
      </c>
      <c r="T73" s="96">
        <f t="shared" si="9"/>
        <v>83.924789469216989</v>
      </c>
      <c r="U73" s="93">
        <f t="shared" si="11"/>
        <v>310.44322823547242</v>
      </c>
      <c r="V73" s="96">
        <f t="shared" si="6"/>
        <v>3.98004706603921</v>
      </c>
      <c r="W73" s="96">
        <f t="shared" si="15"/>
        <v>2.7944978513606689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18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-42.918999999999997</v>
      </c>
      <c r="T74" s="96">
        <f t="shared" si="9"/>
        <v>74.337888610048637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1.977458645087812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4">
    <mergeCell ref="F4:N5"/>
    <mergeCell ref="N21:N22"/>
    <mergeCell ref="A21:B22"/>
    <mergeCell ref="F1:N3"/>
  </mergeCells>
  <phoneticPr fontId="5" type="noConversion"/>
  <conditionalFormatting sqref="Z23:Z74">
    <cfRule type="cellIs" dxfId="11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Z84"/>
  <sheetViews>
    <sheetView showGridLines="0" topLeftCell="A7" zoomScale="130" zoomScaleNormal="130" workbookViewId="0">
      <selection activeCell="A23" sqref="A23:A4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201"/>
      <c r="G1" s="201"/>
      <c r="H1" s="201"/>
      <c r="I1" s="201"/>
      <c r="J1" s="201"/>
      <c r="K1" s="201"/>
      <c r="L1" s="201"/>
      <c r="M1" s="201"/>
      <c r="N1" s="202"/>
    </row>
    <row r="2" spans="1:15" ht="12" customHeight="1" x14ac:dyDescent="0.45">
      <c r="A2" s="69"/>
      <c r="F2" s="203"/>
      <c r="G2" s="203"/>
      <c r="H2" s="203"/>
      <c r="I2" s="203"/>
      <c r="J2" s="203"/>
      <c r="K2" s="203"/>
      <c r="L2" s="203"/>
      <c r="M2" s="203"/>
      <c r="N2" s="204"/>
    </row>
    <row r="3" spans="1:15" ht="12" customHeight="1" x14ac:dyDescent="0.45">
      <c r="A3" s="69"/>
      <c r="F3" s="203"/>
      <c r="G3" s="203"/>
      <c r="H3" s="203"/>
      <c r="I3" s="203"/>
      <c r="J3" s="203"/>
      <c r="K3" s="203"/>
      <c r="L3" s="203"/>
      <c r="M3" s="203"/>
      <c r="N3" s="204"/>
    </row>
    <row r="4" spans="1:15" ht="12" customHeight="1" x14ac:dyDescent="0.45">
      <c r="A4" s="69"/>
      <c r="F4" s="203" t="s">
        <v>64</v>
      </c>
      <c r="G4" s="203"/>
      <c r="H4" s="203"/>
      <c r="I4" s="203"/>
      <c r="J4" s="203"/>
      <c r="K4" s="203"/>
      <c r="L4" s="203"/>
      <c r="M4" s="203"/>
      <c r="N4" s="204"/>
    </row>
    <row r="5" spans="1:15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5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5" t="s">
        <v>77</v>
      </c>
      <c r="I11" s="4" t="s">
        <v>78</v>
      </c>
      <c r="M11" s="211">
        <f>'Global Strength'!E10</f>
        <v>731745</v>
      </c>
      <c r="N11" s="211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I12" s="4" t="s">
        <v>82</v>
      </c>
      <c r="M12" s="212">
        <f>'Global Strength'!E6</f>
        <v>24.526599999999998</v>
      </c>
      <c r="N12" s="212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5" t="s">
        <v>37</v>
      </c>
      <c r="I13" s="4" t="s">
        <v>86</v>
      </c>
      <c r="M13" s="212">
        <f>'Global Strength'!E5</f>
        <v>5.5289999999999999</v>
      </c>
      <c r="N13" s="212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5"/>
      <c r="M14" s="211"/>
      <c r="N14" s="211"/>
    </row>
    <row r="15" spans="1:15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5" t="s">
        <v>37</v>
      </c>
      <c r="I15" s="4" t="s">
        <v>92</v>
      </c>
      <c r="M15" s="211">
        <f>'Global Strength'!E27</f>
        <v>35311.5</v>
      </c>
      <c r="N15" s="211"/>
      <c r="O15" s="5" t="s">
        <v>93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7" t="s">
        <v>101</v>
      </c>
      <c r="B21" s="207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8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7"/>
      <c r="B22" s="207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8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199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>$M$11/ABS(($M$12/(D23-$M$13)))/1000</f>
        <v>164.95633740510303</v>
      </c>
      <c r="R23" s="65">
        <v>0</v>
      </c>
      <c r="S23" s="65">
        <v>-17.121608151257099</v>
      </c>
      <c r="T23" s="60">
        <f t="shared" ref="T23:T24" si="0">SQRT(Q23^2+R23^2-Q23*R23+3*S23^2)</f>
        <v>167.60084023405662</v>
      </c>
      <c r="U23" s="59">
        <f>MIN(K23/$F$7,1.3*(K23/$F$7-T23))</f>
        <v>201.6643622411809</v>
      </c>
      <c r="V23" s="60">
        <f>14.3*$F$8/SQRT(K23/$F$7)</f>
        <v>3.98004706603921</v>
      </c>
      <c r="W23" s="60">
        <f>15.8*N23*L23*SQRT(J23)/SQRT(U23*P23)</f>
        <v>10.939159261112881</v>
      </c>
      <c r="X23" s="60">
        <f>MAX(V23,W23)+O23</f>
        <v>12.439159261112881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199">
        <v>1.5</v>
      </c>
      <c r="D24" s="58">
        <v>0</v>
      </c>
      <c r="E24" s="59">
        <v>0</v>
      </c>
      <c r="F24" s="59">
        <v>0</v>
      </c>
      <c r="G24" s="59">
        <f t="shared" ref="G24:G70" si="1">E24*$F$18+F24*$F$17</f>
        <v>0</v>
      </c>
      <c r="H24" s="60">
        <f t="shared" ref="H24:H70" si="2">1.025*9.81*(($F$10+0.76)-D24)</f>
        <v>127.29946499999998</v>
      </c>
      <c r="I24" s="59">
        <v>0</v>
      </c>
      <c r="J24" s="59">
        <f t="shared" ref="J24:J70" si="3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ref="Q24:Q46" si="4">$M$11/ABS(($M$12/(D24-$M$13)))/1000</f>
        <v>164.95633740510303</v>
      </c>
      <c r="R24" s="65">
        <v>0</v>
      </c>
      <c r="S24" s="65">
        <v>-7.9474113407633702</v>
      </c>
      <c r="T24" s="60">
        <f t="shared" si="0"/>
        <v>165.52968703880302</v>
      </c>
      <c r="U24" s="59">
        <f>MIN(K24/$F$7,1.3*(K24/$F$7-T24))</f>
        <v>204.35686139501058</v>
      </c>
      <c r="V24" s="60">
        <f>14.3*$F$8/SQRT(K24/$F$7)</f>
        <v>3.98004706603921</v>
      </c>
      <c r="W24" s="60">
        <f>15.8*N24*L24*SQRT(J24)/SQRT(U24*P24)</f>
        <v>10.866855992589738</v>
      </c>
      <c r="X24" s="60">
        <f>MAX(V24,W24)+O24</f>
        <v>12.366855992589738</v>
      </c>
      <c r="Y24" s="146">
        <v>16</v>
      </c>
      <c r="Z24" s="60" t="str">
        <f t="shared" ref="Z24:Z70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199">
        <v>2.25</v>
      </c>
      <c r="D25" s="58">
        <v>0</v>
      </c>
      <c r="E25" s="59">
        <v>0</v>
      </c>
      <c r="F25" s="59">
        <v>0</v>
      </c>
      <c r="G25" s="59">
        <f t="shared" si="1"/>
        <v>0</v>
      </c>
      <c r="H25" s="60">
        <f t="shared" si="2"/>
        <v>127.29946499999998</v>
      </c>
      <c r="I25" s="59">
        <v>0</v>
      </c>
      <c r="J25" s="59">
        <f t="shared" si="3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4"/>
        <v>164.95633740510303</v>
      </c>
      <c r="R25" s="65">
        <v>0</v>
      </c>
      <c r="S25" s="65">
        <v>1.2267851051009699</v>
      </c>
      <c r="T25" s="60">
        <f>SQRT(Q25^2+R25^2-Q25*R25+3*S25^2)</f>
        <v>164.97002229250162</v>
      </c>
      <c r="U25" s="59">
        <f>MIN(K25/$F$7,1.3*(K25/$F$7-T25))</f>
        <v>205.08442556520239</v>
      </c>
      <c r="V25" s="60">
        <f t="shared" ref="V25:V70" si="6">14.3*$F$8/SQRT(K25/$F$7)</f>
        <v>3.98004706603921</v>
      </c>
      <c r="W25" s="60">
        <f t="shared" ref="W25:W30" si="7">15.8*N25*L25*SQRT(J25)/SQRT(U25*P25)</f>
        <v>10.847563060667195</v>
      </c>
      <c r="X25" s="60">
        <f t="shared" ref="X25:X70" si="8">MAX(V25,W25)+O25</f>
        <v>12.347563060667195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199">
        <v>3</v>
      </c>
      <c r="D26" s="58">
        <v>0</v>
      </c>
      <c r="E26" s="59">
        <v>0</v>
      </c>
      <c r="F26" s="59">
        <v>0</v>
      </c>
      <c r="G26" s="59">
        <f t="shared" si="1"/>
        <v>0</v>
      </c>
      <c r="H26" s="60">
        <f t="shared" si="2"/>
        <v>127.29946499999998</v>
      </c>
      <c r="I26" s="59">
        <v>0</v>
      </c>
      <c r="J26" s="59">
        <f t="shared" si="3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4"/>
        <v>164.95633740510303</v>
      </c>
      <c r="R26" s="65">
        <v>0</v>
      </c>
      <c r="S26" s="65">
        <v>10.4009788974736</v>
      </c>
      <c r="T26" s="60">
        <f t="shared" ref="T26:T70" si="9">SQRT(Q26^2+R26^2-Q26*R26+3*S26^2)</f>
        <v>165.93713971315543</v>
      </c>
      <c r="U26" s="59">
        <f>MIN(K26/$F$7,1.3*(K26/$F$7-T26))</f>
        <v>203.82717291835243</v>
      </c>
      <c r="V26" s="60">
        <f t="shared" si="6"/>
        <v>3.98004706603921</v>
      </c>
      <c r="W26" s="60">
        <f t="shared" si="7"/>
        <v>10.880966755117283</v>
      </c>
      <c r="X26" s="60">
        <f>MAX(V26,W26)+O26</f>
        <v>12.380966755117283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199">
        <v>3.75</v>
      </c>
      <c r="D27" s="58">
        <v>0</v>
      </c>
      <c r="E27" s="59">
        <v>0</v>
      </c>
      <c r="F27" s="59">
        <v>0</v>
      </c>
      <c r="G27" s="59">
        <f t="shared" si="1"/>
        <v>0</v>
      </c>
      <c r="H27" s="60">
        <f t="shared" si="2"/>
        <v>127.29946499999998</v>
      </c>
      <c r="I27" s="59">
        <v>0</v>
      </c>
      <c r="J27" s="59">
        <f t="shared" si="3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4"/>
        <v>164.95633740510303</v>
      </c>
      <c r="R27" s="65">
        <v>0</v>
      </c>
      <c r="S27" s="65">
        <v>19.575178859712601</v>
      </c>
      <c r="T27" s="60">
        <f t="shared" si="9"/>
        <v>168.40473904339927</v>
      </c>
      <c r="U27" s="59">
        <f>MIN(K27/$F$7,1.3*(K27/$F$7-T27))</f>
        <v>200.61929378903545</v>
      </c>
      <c r="V27" s="60">
        <f t="shared" si="6"/>
        <v>3.98004706603921</v>
      </c>
      <c r="W27" s="60">
        <f t="shared" si="7"/>
        <v>10.967614452344112</v>
      </c>
      <c r="X27" s="60">
        <f t="shared" si="8"/>
        <v>12.467614452344112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199">
        <v>4.5</v>
      </c>
      <c r="D28" s="58">
        <v>0</v>
      </c>
      <c r="E28" s="59">
        <v>0</v>
      </c>
      <c r="F28" s="59">
        <v>0</v>
      </c>
      <c r="G28" s="59">
        <f t="shared" si="1"/>
        <v>0</v>
      </c>
      <c r="H28" s="60">
        <f t="shared" si="2"/>
        <v>127.29946499999998</v>
      </c>
      <c r="I28" s="59">
        <v>0</v>
      </c>
      <c r="J28" s="59">
        <f t="shared" si="3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4"/>
        <v>164.95633740510303</v>
      </c>
      <c r="R28" s="65">
        <v>0</v>
      </c>
      <c r="S28" s="65">
        <v>28.749375926681399</v>
      </c>
      <c r="T28" s="60">
        <f t="shared" si="9"/>
        <v>172.30836630479419</v>
      </c>
      <c r="U28" s="59">
        <f t="shared" ref="U28:U30" si="10">MIN(K28/$F$7,1.3*(K28/$F$7-T28))</f>
        <v>195.54457834922206</v>
      </c>
      <c r="V28" s="60">
        <f t="shared" si="6"/>
        <v>3.98004706603921</v>
      </c>
      <c r="W28" s="60">
        <f t="shared" si="7"/>
        <v>11.109017072425198</v>
      </c>
      <c r="X28" s="60">
        <f t="shared" si="8"/>
        <v>12.609017072425198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199">
        <v>5.25</v>
      </c>
      <c r="D29" s="58">
        <v>0</v>
      </c>
      <c r="E29" s="59">
        <v>0</v>
      </c>
      <c r="F29" s="59">
        <v>0</v>
      </c>
      <c r="G29" s="59">
        <f t="shared" si="1"/>
        <v>0</v>
      </c>
      <c r="H29" s="60">
        <f t="shared" si="2"/>
        <v>127.29946499999998</v>
      </c>
      <c r="I29" s="59">
        <v>0</v>
      </c>
      <c r="J29" s="59">
        <f t="shared" si="3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4"/>
        <v>164.95633740510303</v>
      </c>
      <c r="R29" s="65">
        <v>0</v>
      </c>
      <c r="S29" s="65">
        <v>37.923572057102497</v>
      </c>
      <c r="T29" s="60">
        <f t="shared" si="9"/>
        <v>177.55333058778967</v>
      </c>
      <c r="U29" s="59">
        <f t="shared" si="10"/>
        <v>188.72612478132794</v>
      </c>
      <c r="V29" s="60">
        <f t="shared" si="6"/>
        <v>3.98004706603921</v>
      </c>
      <c r="W29" s="60">
        <f t="shared" si="7"/>
        <v>11.307914409675643</v>
      </c>
      <c r="X29" s="60">
        <f t="shared" si="8"/>
        <v>12.807914409675643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199">
        <v>6</v>
      </c>
      <c r="D30" s="58">
        <v>0</v>
      </c>
      <c r="E30" s="59">
        <v>0</v>
      </c>
      <c r="F30" s="59">
        <v>0</v>
      </c>
      <c r="G30" s="59">
        <f t="shared" si="1"/>
        <v>0</v>
      </c>
      <c r="H30" s="60">
        <f t="shared" si="2"/>
        <v>127.29946499999998</v>
      </c>
      <c r="I30" s="59">
        <v>0</v>
      </c>
      <c r="J30" s="59">
        <f t="shared" si="3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4"/>
        <v>164.95633740510303</v>
      </c>
      <c r="R30" s="65">
        <v>0</v>
      </c>
      <c r="S30" s="65">
        <v>43.790053960000002</v>
      </c>
      <c r="T30" s="60">
        <f t="shared" si="9"/>
        <v>181.55797896970907</v>
      </c>
      <c r="U30" s="59">
        <f t="shared" si="10"/>
        <v>183.52008188483271</v>
      </c>
      <c r="V30" s="60">
        <f t="shared" si="6"/>
        <v>3.98004706603921</v>
      </c>
      <c r="W30" s="60">
        <f t="shared" si="7"/>
        <v>11.467182560753159</v>
      </c>
      <c r="X30" s="60">
        <f t="shared" si="8"/>
        <v>12.967182560753159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9</v>
      </c>
      <c r="B31" s="82" t="s">
        <v>133</v>
      </c>
      <c r="C31" s="198">
        <v>6</v>
      </c>
      <c r="D31" s="86">
        <v>0</v>
      </c>
      <c r="E31" s="83">
        <v>0</v>
      </c>
      <c r="F31" s="83">
        <v>0</v>
      </c>
      <c r="G31" s="83">
        <f t="shared" si="1"/>
        <v>0</v>
      </c>
      <c r="H31" s="86">
        <f>1.025*9.81*(($F$10+0.76)-D31)</f>
        <v>127.29946499999998</v>
      </c>
      <c r="I31" s="83">
        <v>0</v>
      </c>
      <c r="J31" s="83">
        <f t="shared" si="3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4"/>
        <v>164.95633740510303</v>
      </c>
      <c r="R31" s="85">
        <v>0</v>
      </c>
      <c r="S31" s="85">
        <v>43.790053960000002</v>
      </c>
      <c r="T31" s="86">
        <f>SQRT(Q31^2+R31^2-Q31*R31+3*S31^2)</f>
        <v>181.55797896970907</v>
      </c>
      <c r="U31" s="83">
        <f>MIN(K31/$F$7,1.3*(K31/$F$7-T31))</f>
        <v>183.52008188483271</v>
      </c>
      <c r="V31" s="86">
        <f>14.3*$F$8/SQRT(K31/$F$7)</f>
        <v>3.98004706603921</v>
      </c>
      <c r="W31" s="86">
        <f>15.8*N31*L31*SQRT(J31)/SQRT(U31*P31)</f>
        <v>10.702703723369613</v>
      </c>
      <c r="X31" s="86">
        <f t="shared" si="8"/>
        <v>12.202703723369613</v>
      </c>
      <c r="Y31" s="19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10</v>
      </c>
      <c r="B32" s="82" t="s">
        <v>133</v>
      </c>
      <c r="C32" s="198">
        <v>6</v>
      </c>
      <c r="D32" s="86">
        <v>0.7</v>
      </c>
      <c r="E32" s="83">
        <v>0</v>
      </c>
      <c r="F32" s="83">
        <v>0</v>
      </c>
      <c r="G32" s="83">
        <f t="shared" si="1"/>
        <v>0</v>
      </c>
      <c r="H32" s="86">
        <f t="shared" si="2"/>
        <v>120.26079</v>
      </c>
      <c r="I32" s="83">
        <v>0</v>
      </c>
      <c r="J32" s="83">
        <f t="shared" si="3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4"/>
        <v>144.07201181574291</v>
      </c>
      <c r="R32" s="85">
        <v>0</v>
      </c>
      <c r="S32" s="85">
        <v>51.353614075395399</v>
      </c>
      <c r="T32" s="86">
        <f t="shared" si="9"/>
        <v>169.31723369004558</v>
      </c>
      <c r="U32" s="83">
        <f t="shared" ref="U32:U70" si="11">MIN(K32/$F$7,1.3*(K32/$F$7-T32))</f>
        <v>199.43305074839526</v>
      </c>
      <c r="V32" s="86">
        <f t="shared" si="6"/>
        <v>3.98004706603921</v>
      </c>
      <c r="W32" s="86">
        <f t="shared" ref="W32:W54" si="12">15.8*N32*L32*SQRT(J32)/SQRT(U32*P32)</f>
        <v>9.9789643487738129</v>
      </c>
      <c r="X32" s="86">
        <f t="shared" si="8"/>
        <v>11.478964348773813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11</v>
      </c>
      <c r="B33" s="82" t="s">
        <v>133</v>
      </c>
      <c r="C33" s="198">
        <v>6</v>
      </c>
      <c r="D33" s="86">
        <v>1.4</v>
      </c>
      <c r="E33" s="83">
        <v>0</v>
      </c>
      <c r="F33" s="83">
        <v>0</v>
      </c>
      <c r="G33" s="83">
        <f t="shared" si="1"/>
        <v>0</v>
      </c>
      <c r="H33" s="86">
        <f t="shared" si="2"/>
        <v>113.22211499999999</v>
      </c>
      <c r="I33" s="83">
        <v>0</v>
      </c>
      <c r="J33" s="83">
        <f t="shared" si="3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4"/>
        <v>123.18768622638278</v>
      </c>
      <c r="R33" s="85">
        <v>0</v>
      </c>
      <c r="S33" s="85">
        <v>57.875467858741402</v>
      </c>
      <c r="T33" s="86">
        <f t="shared" si="9"/>
        <v>158.82038715925094</v>
      </c>
      <c r="U33" s="83">
        <f t="shared" si="11"/>
        <v>213.07895123842829</v>
      </c>
      <c r="V33" s="86">
        <f t="shared" si="6"/>
        <v>3.98004706603921</v>
      </c>
      <c r="W33" s="86">
        <f t="shared" si="12"/>
        <v>9.3673633761233379</v>
      </c>
      <c r="X33" s="86">
        <f t="shared" si="8"/>
        <v>10.867363376123338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12</v>
      </c>
      <c r="B34" s="82" t="s">
        <v>133</v>
      </c>
      <c r="C34" s="198">
        <v>6</v>
      </c>
      <c r="D34" s="86">
        <f>D33+0.7</f>
        <v>2.0999999999999996</v>
      </c>
      <c r="E34" s="83">
        <v>0</v>
      </c>
      <c r="F34" s="83">
        <v>0</v>
      </c>
      <c r="G34" s="83">
        <f t="shared" si="1"/>
        <v>0</v>
      </c>
      <c r="H34" s="86">
        <f t="shared" si="2"/>
        <v>106.18343999999999</v>
      </c>
      <c r="I34" s="83">
        <v>0</v>
      </c>
      <c r="J34" s="83">
        <f t="shared" si="3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4"/>
        <v>102.30336063702268</v>
      </c>
      <c r="R34" s="85">
        <v>0</v>
      </c>
      <c r="S34" s="85">
        <v>63.355615458824097</v>
      </c>
      <c r="T34" s="86">
        <f t="shared" si="9"/>
        <v>150.02592985256879</v>
      </c>
      <c r="U34" s="83">
        <f t="shared" si="11"/>
        <v>224.51174573711506</v>
      </c>
      <c r="V34" s="86">
        <f t="shared" si="6"/>
        <v>3.98004706603921</v>
      </c>
      <c r="W34" s="86">
        <f t="shared" si="12"/>
        <v>8.8375294345963109</v>
      </c>
      <c r="X34" s="86">
        <f t="shared" si="8"/>
        <v>10.337529434596311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13</v>
      </c>
      <c r="B35" s="82" t="s">
        <v>133</v>
      </c>
      <c r="C35" s="198">
        <v>6</v>
      </c>
      <c r="D35" s="86">
        <f t="shared" ref="D35:D46" si="13">D34+0.7</f>
        <v>2.8</v>
      </c>
      <c r="E35" s="83">
        <v>0</v>
      </c>
      <c r="F35" s="83">
        <v>0</v>
      </c>
      <c r="G35" s="83">
        <f t="shared" si="1"/>
        <v>0</v>
      </c>
      <c r="H35" s="86">
        <f t="shared" si="2"/>
        <v>99.144764999999992</v>
      </c>
      <c r="I35" s="83">
        <v>0</v>
      </c>
      <c r="J35" s="83">
        <f t="shared" si="3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4"/>
        <v>81.419035047662547</v>
      </c>
      <c r="R35" s="85">
        <v>0</v>
      </c>
      <c r="S35" s="85">
        <v>67.443267762770702</v>
      </c>
      <c r="T35" s="86">
        <f t="shared" si="9"/>
        <v>142.38975513587647</v>
      </c>
      <c r="U35" s="83">
        <f t="shared" si="11"/>
        <v>234.43877286881511</v>
      </c>
      <c r="V35" s="86">
        <f t="shared" si="6"/>
        <v>3.98004706603921</v>
      </c>
      <c r="W35" s="86">
        <f t="shared" si="12"/>
        <v>8.3568418874562518</v>
      </c>
      <c r="X35" s="86">
        <f t="shared" si="8"/>
        <v>9.8568418874562518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14</v>
      </c>
      <c r="B36" s="82" t="s">
        <v>133</v>
      </c>
      <c r="C36" s="198">
        <v>6</v>
      </c>
      <c r="D36" s="86">
        <f t="shared" si="13"/>
        <v>3.5</v>
      </c>
      <c r="E36" s="83">
        <v>0</v>
      </c>
      <c r="F36" s="83">
        <v>0</v>
      </c>
      <c r="G36" s="83">
        <f t="shared" si="1"/>
        <v>0</v>
      </c>
      <c r="H36" s="86">
        <f t="shared" si="2"/>
        <v>92.106089999999995</v>
      </c>
      <c r="I36" s="83">
        <v>0</v>
      </c>
      <c r="J36" s="83">
        <f t="shared" si="3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4"/>
        <v>60.534709458302423</v>
      </c>
      <c r="R36" s="85">
        <v>0</v>
      </c>
      <c r="S36" s="85">
        <v>70.578490561200297</v>
      </c>
      <c r="T36" s="86">
        <f t="shared" si="9"/>
        <v>136.4126865027348</v>
      </c>
      <c r="U36" s="83">
        <f t="shared" si="11"/>
        <v>242.20896209189925</v>
      </c>
      <c r="V36" s="86">
        <f t="shared" si="6"/>
        <v>3.98004706603921</v>
      </c>
      <c r="W36" s="86">
        <f t="shared" si="12"/>
        <v>7.9244855917687484</v>
      </c>
      <c r="X36" s="86">
        <f t="shared" si="8"/>
        <v>9.4244855917687484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15</v>
      </c>
      <c r="B37" s="82" t="s">
        <v>133</v>
      </c>
      <c r="C37" s="198">
        <v>6</v>
      </c>
      <c r="D37" s="86">
        <f t="shared" si="13"/>
        <v>4.2</v>
      </c>
      <c r="E37" s="83">
        <v>0</v>
      </c>
      <c r="F37" s="83">
        <v>0</v>
      </c>
      <c r="G37" s="83">
        <f t="shared" si="1"/>
        <v>0</v>
      </c>
      <c r="H37" s="86">
        <f t="shared" si="2"/>
        <v>85.067414999999997</v>
      </c>
      <c r="I37" s="83">
        <v>0</v>
      </c>
      <c r="J37" s="83">
        <f t="shared" si="3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4"/>
        <v>39.650383868942285</v>
      </c>
      <c r="R37" s="85">
        <v>0</v>
      </c>
      <c r="S37" s="85">
        <v>72.761281433754903</v>
      </c>
      <c r="T37" s="86">
        <f t="shared" si="9"/>
        <v>132.11648333421815</v>
      </c>
      <c r="U37" s="83">
        <f t="shared" si="11"/>
        <v>247.79402621097091</v>
      </c>
      <c r="V37" s="86">
        <f t="shared" si="6"/>
        <v>3.98004706603921</v>
      </c>
      <c r="W37" s="86">
        <f t="shared" si="12"/>
        <v>7.5293626094539761</v>
      </c>
      <c r="X37" s="86">
        <f t="shared" si="8"/>
        <v>9.0293626094539761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16</v>
      </c>
      <c r="B38" s="82" t="s">
        <v>133</v>
      </c>
      <c r="C38" s="198">
        <v>6</v>
      </c>
      <c r="D38" s="86">
        <f t="shared" si="13"/>
        <v>4.9000000000000004</v>
      </c>
      <c r="E38" s="83">
        <v>0</v>
      </c>
      <c r="F38" s="83">
        <v>0</v>
      </c>
      <c r="G38" s="83">
        <f t="shared" si="1"/>
        <v>0</v>
      </c>
      <c r="H38" s="86">
        <f t="shared" si="2"/>
        <v>78.028739999999985</v>
      </c>
      <c r="I38" s="83">
        <v>0</v>
      </c>
      <c r="J38" s="83">
        <f t="shared" si="3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4"/>
        <v>18.766058279582154</v>
      </c>
      <c r="R38" s="85">
        <v>0</v>
      </c>
      <c r="S38" s="85">
        <v>73.991641105059202</v>
      </c>
      <c r="T38" s="86">
        <f t="shared" si="9"/>
        <v>129.52395069489015</v>
      </c>
      <c r="U38" s="83">
        <f t="shared" si="11"/>
        <v>251.16431864209733</v>
      </c>
      <c r="V38" s="86">
        <f t="shared" si="6"/>
        <v>3.98004706603921</v>
      </c>
      <c r="W38" s="86">
        <f t="shared" si="12"/>
        <v>7.1625940443752691</v>
      </c>
      <c r="X38" s="86">
        <f t="shared" si="8"/>
        <v>8.6625940443752683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17</v>
      </c>
      <c r="B39" s="82" t="s">
        <v>133</v>
      </c>
      <c r="C39" s="198">
        <v>6</v>
      </c>
      <c r="D39" s="86">
        <f t="shared" si="13"/>
        <v>5.6000000000000005</v>
      </c>
      <c r="E39" s="83">
        <v>0</v>
      </c>
      <c r="F39" s="83">
        <v>0</v>
      </c>
      <c r="G39" s="83">
        <f t="shared" si="1"/>
        <v>0</v>
      </c>
      <c r="H39" s="86">
        <f t="shared" si="2"/>
        <v>70.990064999999987</v>
      </c>
      <c r="I39" s="83">
        <v>0</v>
      </c>
      <c r="J39" s="83">
        <f t="shared" si="3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4"/>
        <v>2.1182673097779738</v>
      </c>
      <c r="R39" s="85">
        <v>0</v>
      </c>
      <c r="S39" s="85">
        <v>74.20439777</v>
      </c>
      <c r="T39" s="86">
        <f t="shared" si="9"/>
        <v>128.54324175786456</v>
      </c>
      <c r="U39" s="83">
        <f t="shared" si="11"/>
        <v>252.43924026023058</v>
      </c>
      <c r="V39" s="86">
        <f t="shared" si="6"/>
        <v>3.98004706603921</v>
      </c>
      <c r="W39" s="86">
        <f t="shared" si="12"/>
        <v>6.8146313351296932</v>
      </c>
      <c r="X39" s="86">
        <f t="shared" si="8"/>
        <v>8.3146313351296932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18</v>
      </c>
      <c r="B40" s="82" t="s">
        <v>133</v>
      </c>
      <c r="C40" s="198">
        <v>6</v>
      </c>
      <c r="D40" s="86">
        <f t="shared" si="13"/>
        <v>6.3000000000000007</v>
      </c>
      <c r="E40" s="83">
        <v>0</v>
      </c>
      <c r="F40" s="83">
        <v>0</v>
      </c>
      <c r="G40" s="83">
        <f t="shared" si="1"/>
        <v>0</v>
      </c>
      <c r="H40" s="86">
        <f t="shared" si="2"/>
        <v>63.951389999999989</v>
      </c>
      <c r="I40" s="83">
        <v>0</v>
      </c>
      <c r="J40" s="83">
        <f t="shared" si="3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4"/>
        <v>23.002592899138104</v>
      </c>
      <c r="R40" s="85">
        <v>0</v>
      </c>
      <c r="S40" s="85">
        <v>73.566070147728794</v>
      </c>
      <c r="T40" s="86">
        <f t="shared" si="9"/>
        <v>129.47980271465175</v>
      </c>
      <c r="U40" s="83">
        <f t="shared" si="11"/>
        <v>251.22171101640723</v>
      </c>
      <c r="V40" s="86">
        <f t="shared" si="6"/>
        <v>3.98004706603921</v>
      </c>
      <c r="W40" s="86">
        <f t="shared" si="12"/>
        <v>6.4836329522737834</v>
      </c>
      <c r="X40" s="86">
        <f t="shared" si="8"/>
        <v>7.9836329522737834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19</v>
      </c>
      <c r="B41" s="82" t="s">
        <v>133</v>
      </c>
      <c r="C41" s="198">
        <v>6</v>
      </c>
      <c r="D41" s="86">
        <v>7.4</v>
      </c>
      <c r="E41" s="83">
        <v>0</v>
      </c>
      <c r="F41" s="83">
        <v>0</v>
      </c>
      <c r="G41" s="83">
        <f t="shared" si="1"/>
        <v>0</v>
      </c>
      <c r="H41" s="86">
        <f t="shared" si="2"/>
        <v>52.890614999999997</v>
      </c>
      <c r="I41" s="83">
        <v>0</v>
      </c>
      <c r="J41" s="83">
        <f t="shared" si="3"/>
        <v>71.402330250000006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4"/>
        <v>55.820818825275424</v>
      </c>
      <c r="R41" s="85">
        <v>0</v>
      </c>
      <c r="S41" s="85">
        <v>70.948937552243095</v>
      </c>
      <c r="T41" s="86">
        <f t="shared" si="9"/>
        <v>134.9711785297161</v>
      </c>
      <c r="U41" s="83">
        <f t="shared" si="11"/>
        <v>244.08292245682358</v>
      </c>
      <c r="V41" s="86">
        <f t="shared" si="6"/>
        <v>3.98004706603921</v>
      </c>
      <c r="W41" s="86">
        <f t="shared" si="12"/>
        <v>5.9819478474983869</v>
      </c>
      <c r="X41" s="86">
        <f t="shared" si="8"/>
        <v>7.4819478474983869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20</v>
      </c>
      <c r="B42" s="82" t="s">
        <v>133</v>
      </c>
      <c r="C42" s="198">
        <v>6</v>
      </c>
      <c r="D42" s="86">
        <f t="shared" si="13"/>
        <v>8.1</v>
      </c>
      <c r="E42" s="83">
        <v>0</v>
      </c>
      <c r="F42" s="83">
        <v>0</v>
      </c>
      <c r="G42" s="83">
        <f t="shared" si="1"/>
        <v>0</v>
      </c>
      <c r="H42" s="86">
        <f t="shared" si="2"/>
        <v>45.851939999999999</v>
      </c>
      <c r="I42" s="83">
        <v>0</v>
      </c>
      <c r="J42" s="83">
        <f t="shared" si="3"/>
        <v>61.900119000000004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4"/>
        <v>76.705144414635541</v>
      </c>
      <c r="R42" s="85">
        <v>0</v>
      </c>
      <c r="S42" s="85">
        <v>67.948380485348295</v>
      </c>
      <c r="T42" s="86">
        <f t="shared" si="9"/>
        <v>140.47998580372607</v>
      </c>
      <c r="U42" s="83">
        <f t="shared" si="11"/>
        <v>236.92147300061063</v>
      </c>
      <c r="V42" s="86">
        <f t="shared" si="6"/>
        <v>3.98004706603921</v>
      </c>
      <c r="W42" s="86">
        <f t="shared" si="12"/>
        <v>5.6532560591853436</v>
      </c>
      <c r="X42" s="86">
        <f t="shared" si="8"/>
        <v>7.1532560591853436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21</v>
      </c>
      <c r="B43" s="82" t="s">
        <v>133</v>
      </c>
      <c r="C43" s="198">
        <v>6</v>
      </c>
      <c r="D43" s="86">
        <f t="shared" si="13"/>
        <v>8.7999999999999989</v>
      </c>
      <c r="E43" s="83">
        <v>0</v>
      </c>
      <c r="F43" s="83">
        <v>0</v>
      </c>
      <c r="G43" s="83">
        <f t="shared" si="1"/>
        <v>0</v>
      </c>
      <c r="H43" s="86">
        <f t="shared" si="2"/>
        <v>38.813265000000008</v>
      </c>
      <c r="I43" s="83">
        <v>0</v>
      </c>
      <c r="J43" s="83">
        <f t="shared" si="3"/>
        <v>52.397907750000016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4"/>
        <v>97.589470003995643</v>
      </c>
      <c r="R43" s="85">
        <v>0</v>
      </c>
      <c r="S43" s="85">
        <v>64.029178808473901</v>
      </c>
      <c r="T43" s="86">
        <f t="shared" si="9"/>
        <v>147.72579961646284</v>
      </c>
      <c r="U43" s="83">
        <f t="shared" si="11"/>
        <v>227.50191504405282</v>
      </c>
      <c r="V43" s="86">
        <f t="shared" si="6"/>
        <v>3.98004706603921</v>
      </c>
      <c r="W43" s="86">
        <f t="shared" si="12"/>
        <v>5.3078613706817643</v>
      </c>
      <c r="X43" s="86">
        <f t="shared" si="8"/>
        <v>6.8078613706817643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22</v>
      </c>
      <c r="B44" s="82" t="s">
        <v>133</v>
      </c>
      <c r="C44" s="198">
        <v>6</v>
      </c>
      <c r="D44" s="86">
        <f t="shared" si="13"/>
        <v>9.4999999999999982</v>
      </c>
      <c r="E44" s="83">
        <v>0</v>
      </c>
      <c r="F44" s="83">
        <v>0</v>
      </c>
      <c r="G44" s="83">
        <f t="shared" si="1"/>
        <v>0</v>
      </c>
      <c r="H44" s="86">
        <f t="shared" si="2"/>
        <v>31.774590000000018</v>
      </c>
      <c r="I44" s="83">
        <v>0</v>
      </c>
      <c r="J44" s="83">
        <f t="shared" si="3"/>
        <v>42.895696500000028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4"/>
        <v>118.47379559335573</v>
      </c>
      <c r="R44" s="85">
        <v>0</v>
      </c>
      <c r="S44" s="85">
        <v>58.497004363758798</v>
      </c>
      <c r="T44" s="86">
        <f t="shared" si="9"/>
        <v>155.89014978791022</v>
      </c>
      <c r="U44" s="83">
        <f t="shared" si="11"/>
        <v>216.88825982117123</v>
      </c>
      <c r="V44" s="86">
        <f t="shared" si="6"/>
        <v>3.98004706603921</v>
      </c>
      <c r="W44" s="86">
        <f t="shared" si="12"/>
        <v>4.9186278758892676</v>
      </c>
      <c r="X44" s="86">
        <f t="shared" si="8"/>
        <v>6.4186278758892676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23</v>
      </c>
      <c r="B45" s="82" t="s">
        <v>133</v>
      </c>
      <c r="C45" s="198">
        <v>6</v>
      </c>
      <c r="D45" s="86">
        <f t="shared" si="13"/>
        <v>10.199999999999998</v>
      </c>
      <c r="E45" s="83">
        <v>0</v>
      </c>
      <c r="F45" s="83">
        <v>0</v>
      </c>
      <c r="G45" s="83">
        <f t="shared" si="1"/>
        <v>0</v>
      </c>
      <c r="H45" s="86">
        <f t="shared" si="2"/>
        <v>24.735915000000023</v>
      </c>
      <c r="I45" s="83">
        <v>0</v>
      </c>
      <c r="J45" s="83">
        <f t="shared" si="3"/>
        <v>33.393485250000033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4"/>
        <v>139.35812118271585</v>
      </c>
      <c r="R45" s="85">
        <v>0</v>
      </c>
      <c r="S45" s="85">
        <v>51.923123655205998</v>
      </c>
      <c r="T45" s="86">
        <f t="shared" si="9"/>
        <v>165.85752394726612</v>
      </c>
      <c r="U45" s="83">
        <f t="shared" si="11"/>
        <v>203.93067341400857</v>
      </c>
      <c r="V45" s="86">
        <f t="shared" si="6"/>
        <v>3.98004706603921</v>
      </c>
      <c r="W45" s="86">
        <f t="shared" si="12"/>
        <v>4.4755325956594927</v>
      </c>
      <c r="X45" s="86">
        <f t="shared" si="8"/>
        <v>5.9755325956594927</v>
      </c>
      <c r="Y45" s="196" ph="1">
        <v>16</v>
      </c>
      <c r="Z45" s="86" t="str">
        <f t="shared" si="5"/>
        <v>OK</v>
      </c>
    </row>
    <row r="46" spans="1:26" ht="15" customHeight="1" x14ac:dyDescent="0.3">
      <c r="A46" s="82">
        <v>24</v>
      </c>
      <c r="B46" s="82" t="s">
        <v>133</v>
      </c>
      <c r="C46" s="198">
        <v>6</v>
      </c>
      <c r="D46" s="86">
        <f t="shared" si="13"/>
        <v>10.899999999999997</v>
      </c>
      <c r="E46" s="83">
        <v>0</v>
      </c>
      <c r="F46" s="83">
        <v>0</v>
      </c>
      <c r="G46" s="83">
        <f t="shared" si="1"/>
        <v>0</v>
      </c>
      <c r="H46" s="86">
        <f t="shared" si="2"/>
        <v>17.697240000000033</v>
      </c>
      <c r="I46" s="83">
        <v>0</v>
      </c>
      <c r="J46" s="83">
        <f t="shared" si="3"/>
        <v>23.891274000000045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4"/>
        <v>160.24244677207597</v>
      </c>
      <c r="R46" s="85">
        <v>0</v>
      </c>
      <c r="S46" s="85">
        <v>37.443682379999998</v>
      </c>
      <c r="T46" s="86">
        <f t="shared" si="9"/>
        <v>172.86911175228664</v>
      </c>
      <c r="U46" s="83">
        <f t="shared" si="11"/>
        <v>194.81560926748188</v>
      </c>
      <c r="V46" s="86">
        <f t="shared" si="6"/>
        <v>3.98004706603921</v>
      </c>
      <c r="W46" s="86">
        <f t="shared" si="12"/>
        <v>3.8731374185752592</v>
      </c>
      <c r="X46" s="86">
        <f t="shared" si="8"/>
        <v>5.4800470660392104</v>
      </c>
      <c r="Y46" s="196" ph="1">
        <v>16</v>
      </c>
      <c r="Z46" s="86" t="str">
        <f t="shared" si="5"/>
        <v>OK</v>
      </c>
    </row>
    <row r="47" spans="1:26" ht="15" customHeight="1" x14ac:dyDescent="0.3">
      <c r="A47" s="87">
        <v>1</v>
      </c>
      <c r="B47" s="87" t="s">
        <v>134</v>
      </c>
      <c r="C47" s="105">
        <v>0.75</v>
      </c>
      <c r="D47" s="87">
        <v>10.9</v>
      </c>
      <c r="E47" s="88">
        <v>0</v>
      </c>
      <c r="F47" s="88">
        <v>0</v>
      </c>
      <c r="G47" s="88">
        <f t="shared" si="1"/>
        <v>0</v>
      </c>
      <c r="H47" s="91">
        <f t="shared" si="2"/>
        <v>17.697239999999997</v>
      </c>
      <c r="I47" s="88">
        <v>0</v>
      </c>
      <c r="J47" s="88">
        <f t="shared" si="3"/>
        <v>23.891273999999999</v>
      </c>
      <c r="K47" s="88">
        <v>355</v>
      </c>
      <c r="L47" s="89">
        <v>0.75</v>
      </c>
      <c r="M47" s="89">
        <v>4</v>
      </c>
      <c r="N47" s="90">
        <v>1</v>
      </c>
      <c r="O47" s="90">
        <v>1.5</v>
      </c>
      <c r="P47" s="90">
        <v>1</v>
      </c>
      <c r="Q47" s="90">
        <f>$M$11/ABS(($M$12/(D47-$M$13)))/1000</f>
        <v>160.24244677207605</v>
      </c>
      <c r="R47" s="90">
        <v>0</v>
      </c>
      <c r="S47" s="90">
        <v>-17.163520051127001</v>
      </c>
      <c r="T47" s="91">
        <f t="shared" si="9"/>
        <v>162.976688545135</v>
      </c>
      <c r="U47" s="88">
        <f t="shared" si="11"/>
        <v>207.675759436779</v>
      </c>
      <c r="V47" s="91">
        <f t="shared" si="6"/>
        <v>3.98004706603921</v>
      </c>
      <c r="W47" s="91">
        <f t="shared" si="12"/>
        <v>4.0192507478575292</v>
      </c>
      <c r="X47" s="91">
        <f t="shared" si="8"/>
        <v>5.5192507478575292</v>
      </c>
      <c r="Y47" s="197" ph="1">
        <v>20</v>
      </c>
      <c r="Z47" s="91" t="str">
        <f t="shared" si="5"/>
        <v>OK</v>
      </c>
    </row>
    <row r="48" spans="1:26" ht="15" customHeight="1" x14ac:dyDescent="0.3">
      <c r="A48" s="87">
        <v>2</v>
      </c>
      <c r="B48" s="87" t="s">
        <v>134</v>
      </c>
      <c r="C48" s="105">
        <v>1.5</v>
      </c>
      <c r="D48" s="87">
        <v>10.9</v>
      </c>
      <c r="E48" s="88">
        <v>0</v>
      </c>
      <c r="F48" s="88">
        <v>0</v>
      </c>
      <c r="G48" s="88">
        <f t="shared" si="1"/>
        <v>0</v>
      </c>
      <c r="H48" s="91">
        <f t="shared" si="2"/>
        <v>17.697239999999997</v>
      </c>
      <c r="I48" s="88">
        <v>0</v>
      </c>
      <c r="J48" s="88">
        <f t="shared" si="3"/>
        <v>23.891273999999999</v>
      </c>
      <c r="K48" s="88">
        <v>355</v>
      </c>
      <c r="L48" s="89">
        <v>0.75</v>
      </c>
      <c r="M48" s="89">
        <v>4</v>
      </c>
      <c r="N48" s="90">
        <v>1</v>
      </c>
      <c r="O48" s="90">
        <v>1.5</v>
      </c>
      <c r="P48" s="90">
        <v>1</v>
      </c>
      <c r="Q48" s="90">
        <f t="shared" ref="Q48:Q54" si="14">$M$11/ABS(($M$12/(D48-$M$13)))/1000</f>
        <v>160.24244677207605</v>
      </c>
      <c r="R48" s="90">
        <v>0</v>
      </c>
      <c r="S48" s="90">
        <v>-9.3624913332029998</v>
      </c>
      <c r="T48" s="91">
        <f t="shared" si="9"/>
        <v>161.06089059543453</v>
      </c>
      <c r="U48" s="88">
        <f t="shared" si="11"/>
        <v>210.16629677138963</v>
      </c>
      <c r="V48" s="91">
        <f t="shared" si="6"/>
        <v>3.98004706603921</v>
      </c>
      <c r="W48" s="91">
        <f t="shared" si="12"/>
        <v>3.995365075121204</v>
      </c>
      <c r="X48" s="91">
        <f t="shared" si="8"/>
        <v>5.495365075121204</v>
      </c>
      <c r="Y48" s="197" ph="1">
        <v>20</v>
      </c>
      <c r="Z48" s="91" t="str">
        <f t="shared" si="5"/>
        <v>OK</v>
      </c>
    </row>
    <row r="49" spans="1:26" ht="15" customHeight="1" x14ac:dyDescent="0.3">
      <c r="A49" s="87">
        <v>3</v>
      </c>
      <c r="B49" s="87" t="s">
        <v>134</v>
      </c>
      <c r="C49" s="105">
        <v>2.25</v>
      </c>
      <c r="D49" s="87">
        <v>10.9</v>
      </c>
      <c r="E49" s="88">
        <v>0</v>
      </c>
      <c r="F49" s="88">
        <v>0</v>
      </c>
      <c r="G49" s="88">
        <f t="shared" si="1"/>
        <v>0</v>
      </c>
      <c r="H49" s="91">
        <f t="shared" si="2"/>
        <v>17.697239999999997</v>
      </c>
      <c r="I49" s="88">
        <v>0</v>
      </c>
      <c r="J49" s="88">
        <f t="shared" si="3"/>
        <v>23.891273999999999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 t="shared" si="14"/>
        <v>160.24244677207605</v>
      </c>
      <c r="R49" s="90">
        <v>0</v>
      </c>
      <c r="S49" s="90">
        <v>-1.5614624198307101</v>
      </c>
      <c r="T49" s="91">
        <f t="shared" si="9"/>
        <v>160.26526835895311</v>
      </c>
      <c r="U49" s="88">
        <f t="shared" si="11"/>
        <v>211.20060567881546</v>
      </c>
      <c r="V49" s="91">
        <f t="shared" si="6"/>
        <v>3.98004706603921</v>
      </c>
      <c r="W49" s="91">
        <f t="shared" si="12"/>
        <v>3.9855698533412065</v>
      </c>
      <c r="X49" s="91">
        <f t="shared" si="8"/>
        <v>5.4855698533412065</v>
      </c>
      <c r="Y49" s="197" ph="1">
        <v>20</v>
      </c>
      <c r="Z49" s="91" t="str">
        <f t="shared" si="5"/>
        <v>OK</v>
      </c>
    </row>
    <row r="50" spans="1:26" ht="15" customHeight="1" x14ac:dyDescent="0.3">
      <c r="A50" s="87">
        <v>4</v>
      </c>
      <c r="B50" s="87" t="s">
        <v>134</v>
      </c>
      <c r="C50" s="105">
        <v>3</v>
      </c>
      <c r="D50" s="87">
        <v>10.9</v>
      </c>
      <c r="E50" s="88">
        <v>0</v>
      </c>
      <c r="F50" s="88">
        <v>0</v>
      </c>
      <c r="G50" s="88">
        <f t="shared" si="1"/>
        <v>0</v>
      </c>
      <c r="H50" s="91">
        <f t="shared" si="2"/>
        <v>17.697239999999997</v>
      </c>
      <c r="I50" s="88">
        <v>0</v>
      </c>
      <c r="J50" s="88">
        <f t="shared" si="3"/>
        <v>23.891273999999999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si="14"/>
        <v>160.24244677207605</v>
      </c>
      <c r="R50" s="90">
        <v>0</v>
      </c>
      <c r="S50" s="90">
        <v>6.2395664239448498</v>
      </c>
      <c r="T50" s="91">
        <f t="shared" si="9"/>
        <v>160.60647033970358</v>
      </c>
      <c r="U50" s="88">
        <f t="shared" si="11"/>
        <v>210.75704310383986</v>
      </c>
      <c r="V50" s="91">
        <f t="shared" si="6"/>
        <v>3.98004706603921</v>
      </c>
      <c r="W50" s="91">
        <f t="shared" si="12"/>
        <v>3.9897616953252184</v>
      </c>
      <c r="X50" s="91">
        <f t="shared" si="8"/>
        <v>5.4897616953252184</v>
      </c>
      <c r="Y50" s="197" ph="1">
        <v>20</v>
      </c>
      <c r="Z50" s="91" t="str">
        <f t="shared" si="5"/>
        <v>OK</v>
      </c>
    </row>
    <row r="51" spans="1:26" ht="15" customHeight="1" x14ac:dyDescent="0.3">
      <c r="A51" s="87">
        <v>5</v>
      </c>
      <c r="B51" s="87" t="s">
        <v>134</v>
      </c>
      <c r="C51" s="105">
        <v>3.75</v>
      </c>
      <c r="D51" s="87">
        <v>10.9</v>
      </c>
      <c r="E51" s="88">
        <v>0</v>
      </c>
      <c r="F51" s="88">
        <v>0</v>
      </c>
      <c r="G51" s="88">
        <f t="shared" si="1"/>
        <v>0</v>
      </c>
      <c r="H51" s="91">
        <f t="shared" si="2"/>
        <v>17.697239999999997</v>
      </c>
      <c r="I51" s="88">
        <v>0</v>
      </c>
      <c r="J51" s="88">
        <f t="shared" si="3"/>
        <v>23.891273999999999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160.24244677207605</v>
      </c>
      <c r="R51" s="90">
        <v>0</v>
      </c>
      <c r="S51" s="90">
        <v>14.0405955046804</v>
      </c>
      <c r="T51" s="91">
        <f t="shared" si="9"/>
        <v>162.07731708625911</v>
      </c>
      <c r="U51" s="88">
        <f t="shared" si="11"/>
        <v>208.84494233331765</v>
      </c>
      <c r="V51" s="91">
        <f t="shared" si="6"/>
        <v>3.98004706603921</v>
      </c>
      <c r="W51" s="91">
        <f t="shared" si="12"/>
        <v>4.0079844116313339</v>
      </c>
      <c r="X51" s="91">
        <f t="shared" si="8"/>
        <v>5.5079844116313339</v>
      </c>
      <c r="Y51" s="197" ph="1">
        <v>20</v>
      </c>
      <c r="Z51" s="91" t="str">
        <f t="shared" si="5"/>
        <v>OK</v>
      </c>
    </row>
    <row r="52" spans="1:26" ht="15" customHeight="1" x14ac:dyDescent="0.3">
      <c r="A52" s="87">
        <v>6</v>
      </c>
      <c r="B52" s="87" t="s">
        <v>134</v>
      </c>
      <c r="C52" s="105">
        <v>4.5</v>
      </c>
      <c r="D52" s="87">
        <v>10.9</v>
      </c>
      <c r="E52" s="88">
        <v>0</v>
      </c>
      <c r="F52" s="88">
        <v>0</v>
      </c>
      <c r="G52" s="88">
        <f t="shared" si="1"/>
        <v>0</v>
      </c>
      <c r="H52" s="91">
        <f t="shared" si="2"/>
        <v>17.697239999999997</v>
      </c>
      <c r="I52" s="88">
        <v>0</v>
      </c>
      <c r="J52" s="88">
        <f t="shared" si="3"/>
        <v>23.891273999999999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160.24244677207605</v>
      </c>
      <c r="R52" s="90">
        <v>0</v>
      </c>
      <c r="S52" s="90">
        <v>21.8416244573007</v>
      </c>
      <c r="T52" s="91">
        <f t="shared" si="9"/>
        <v>164.64753695182597</v>
      </c>
      <c r="U52" s="88">
        <f t="shared" si="11"/>
        <v>205.50365650808075</v>
      </c>
      <c r="V52" s="91">
        <f t="shared" si="6"/>
        <v>3.98004706603921</v>
      </c>
      <c r="W52" s="91">
        <f t="shared" si="12"/>
        <v>4.0404359635177807</v>
      </c>
      <c r="X52" s="91">
        <f t="shared" si="8"/>
        <v>5.5404359635177807</v>
      </c>
      <c r="Y52" s="197" ph="1">
        <v>20</v>
      </c>
      <c r="Z52" s="91" t="str">
        <f t="shared" si="5"/>
        <v>OK</v>
      </c>
    </row>
    <row r="53" spans="1:26" ht="15" customHeight="1" x14ac:dyDescent="0.3">
      <c r="A53" s="87">
        <v>7</v>
      </c>
      <c r="B53" s="87" t="s">
        <v>134</v>
      </c>
      <c r="C53" s="105">
        <v>5.25</v>
      </c>
      <c r="D53" s="87">
        <v>10.9</v>
      </c>
      <c r="E53" s="88">
        <v>0</v>
      </c>
      <c r="F53" s="88">
        <v>0</v>
      </c>
      <c r="G53" s="88">
        <f t="shared" si="1"/>
        <v>0</v>
      </c>
      <c r="H53" s="91">
        <f t="shared" si="2"/>
        <v>17.697239999999997</v>
      </c>
      <c r="I53" s="88">
        <v>0</v>
      </c>
      <c r="J53" s="88">
        <f t="shared" si="3"/>
        <v>23.891273999999999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160.24244677207605</v>
      </c>
      <c r="R53" s="90">
        <v>0</v>
      </c>
      <c r="S53" s="90">
        <v>29.642653358557101</v>
      </c>
      <c r="T53" s="91">
        <f t="shared" si="9"/>
        <v>168.26675976528566</v>
      </c>
      <c r="U53" s="88">
        <f t="shared" si="11"/>
        <v>200.79866685058315</v>
      </c>
      <c r="V53" s="91">
        <f t="shared" si="6"/>
        <v>3.98004706603921</v>
      </c>
      <c r="W53" s="91">
        <f t="shared" si="12"/>
        <v>4.0874983686348632</v>
      </c>
      <c r="X53" s="91">
        <f t="shared" si="8"/>
        <v>5.5874983686348632</v>
      </c>
      <c r="Y53" s="197" ph="1">
        <v>20</v>
      </c>
      <c r="Z53" s="91" t="str">
        <f t="shared" si="5"/>
        <v>OK</v>
      </c>
    </row>
    <row r="54" spans="1:26" ht="15" customHeight="1" x14ac:dyDescent="0.3">
      <c r="A54" s="87">
        <v>8</v>
      </c>
      <c r="B54" s="87" t="s">
        <v>134</v>
      </c>
      <c r="C54" s="105">
        <v>6</v>
      </c>
      <c r="D54" s="87">
        <v>10.9</v>
      </c>
      <c r="E54" s="88">
        <v>0</v>
      </c>
      <c r="F54" s="88">
        <v>0</v>
      </c>
      <c r="G54" s="88">
        <f t="shared" si="1"/>
        <v>0</v>
      </c>
      <c r="H54" s="91">
        <f t="shared" si="2"/>
        <v>17.697239999999997</v>
      </c>
      <c r="I54" s="88">
        <v>0</v>
      </c>
      <c r="J54" s="88">
        <f t="shared" si="3"/>
        <v>23.891273999999999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160.24244677207605</v>
      </c>
      <c r="R54" s="90">
        <v>0</v>
      </c>
      <c r="S54" s="90">
        <v>37.443682379999998</v>
      </c>
      <c r="T54" s="91">
        <f t="shared" si="9"/>
        <v>172.86911175228673</v>
      </c>
      <c r="U54" s="88">
        <f t="shared" si="11"/>
        <v>194.81560926748176</v>
      </c>
      <c r="V54" s="91">
        <f t="shared" si="6"/>
        <v>3.98004706603921</v>
      </c>
      <c r="W54" s="91">
        <f t="shared" si="12"/>
        <v>4.1497900913306323</v>
      </c>
      <c r="X54" s="91">
        <f t="shared" si="8"/>
        <v>5.6497900913306323</v>
      </c>
      <c r="Y54" s="197" ph="1">
        <v>20</v>
      </c>
      <c r="Z54" s="91" t="str">
        <f t="shared" si="5"/>
        <v>OK</v>
      </c>
    </row>
    <row r="55" spans="1:26" ht="15" customHeight="1" x14ac:dyDescent="0.3">
      <c r="A55" s="92">
        <v>1</v>
      </c>
      <c r="B55" s="92" t="s">
        <v>135</v>
      </c>
      <c r="C55" s="92">
        <v>0</v>
      </c>
      <c r="D55" s="92">
        <v>0</v>
      </c>
      <c r="E55" s="93">
        <v>0</v>
      </c>
      <c r="F55" s="93">
        <v>0</v>
      </c>
      <c r="G55" s="93">
        <f t="shared" si="1"/>
        <v>0</v>
      </c>
      <c r="H55" s="96">
        <f t="shared" si="2"/>
        <v>127.29946499999998</v>
      </c>
      <c r="I55" s="93">
        <v>0</v>
      </c>
      <c r="J55" s="93">
        <f t="shared" si="3"/>
        <v>171.85427774999999</v>
      </c>
      <c r="K55" s="93">
        <v>355</v>
      </c>
      <c r="L55" s="94">
        <v>0.7</v>
      </c>
      <c r="M55" s="94">
        <v>4</v>
      </c>
      <c r="N55" s="95">
        <v>1</v>
      </c>
      <c r="O55" s="95">
        <v>1.5</v>
      </c>
      <c r="P55" s="95">
        <v>1</v>
      </c>
      <c r="Q55" s="95">
        <v>0</v>
      </c>
      <c r="R55" s="95">
        <v>0</v>
      </c>
      <c r="S55" s="95">
        <v>-52.591609990000002</v>
      </c>
      <c r="T55" s="96">
        <f t="shared" si="9"/>
        <v>91.091340554526937</v>
      </c>
      <c r="U55" s="93">
        <f t="shared" si="11"/>
        <v>301.1267118245695</v>
      </c>
      <c r="V55" s="96">
        <f t="shared" si="6"/>
        <v>3.98004706603921</v>
      </c>
      <c r="W55" s="96">
        <f>15.8*N55*L55*SQRT(J55)/SQRT(U55*P55)</f>
        <v>8.3552732870981856</v>
      </c>
      <c r="X55" s="96">
        <f t="shared" si="8"/>
        <v>9.8552732870981856</v>
      </c>
      <c r="Y55" s="155" ph="1">
        <v>16</v>
      </c>
      <c r="Z55" s="96" t="str">
        <f t="shared" si="5"/>
        <v>OK</v>
      </c>
    </row>
    <row r="56" spans="1:26" ht="15" customHeight="1" x14ac:dyDescent="0.3">
      <c r="A56" s="92">
        <v>2</v>
      </c>
      <c r="B56" s="92" t="s">
        <v>135</v>
      </c>
      <c r="C56" s="92">
        <v>0</v>
      </c>
      <c r="D56" s="92">
        <v>0.7</v>
      </c>
      <c r="E56" s="93">
        <v>0</v>
      </c>
      <c r="F56" s="93">
        <v>0</v>
      </c>
      <c r="G56" s="93">
        <f t="shared" si="1"/>
        <v>0</v>
      </c>
      <c r="H56" s="96">
        <f t="shared" si="2"/>
        <v>120.26079</v>
      </c>
      <c r="I56" s="93">
        <v>0</v>
      </c>
      <c r="J56" s="93">
        <f t="shared" si="3"/>
        <v>162.35206650000001</v>
      </c>
      <c r="K56" s="93">
        <v>355</v>
      </c>
      <c r="L56" s="94">
        <v>0.7</v>
      </c>
      <c r="M56" s="94">
        <v>4</v>
      </c>
      <c r="N56" s="95">
        <v>1</v>
      </c>
      <c r="O56" s="95">
        <v>1.5</v>
      </c>
      <c r="P56" s="95">
        <v>1</v>
      </c>
      <c r="Q56" s="95">
        <v>0</v>
      </c>
      <c r="R56" s="95">
        <v>0</v>
      </c>
      <c r="S56" s="95">
        <v>-57.721728718353603</v>
      </c>
      <c r="T56" s="96">
        <f t="shared" si="9"/>
        <v>99.976966840896011</v>
      </c>
      <c r="U56" s="93">
        <f t="shared" si="11"/>
        <v>289.57539765228967</v>
      </c>
      <c r="V56" s="96">
        <f t="shared" si="6"/>
        <v>3.98004706603921</v>
      </c>
      <c r="W56" s="96">
        <f>15.8*N56*L56*SQRT(J56)/SQRT(U56*P56)</f>
        <v>8.2813894115085063</v>
      </c>
      <c r="X56" s="96">
        <f t="shared" si="8"/>
        <v>9.7813894115085063</v>
      </c>
      <c r="Y56" s="155" ph="1">
        <v>16</v>
      </c>
      <c r="Z56" s="96" t="str">
        <f t="shared" si="5"/>
        <v>OK</v>
      </c>
    </row>
    <row r="57" spans="1:26" ht="15" customHeight="1" x14ac:dyDescent="0.3">
      <c r="A57" s="92">
        <v>3</v>
      </c>
      <c r="B57" s="92" t="s">
        <v>135</v>
      </c>
      <c r="C57" s="92">
        <v>0</v>
      </c>
      <c r="D57" s="92">
        <v>1.4</v>
      </c>
      <c r="E57" s="93">
        <v>0</v>
      </c>
      <c r="F57" s="93">
        <v>0</v>
      </c>
      <c r="G57" s="93">
        <f t="shared" si="1"/>
        <v>0</v>
      </c>
      <c r="H57" s="96">
        <f t="shared" si="2"/>
        <v>113.22211499999999</v>
      </c>
      <c r="I57" s="93">
        <v>0</v>
      </c>
      <c r="J57" s="93">
        <f t="shared" si="3"/>
        <v>152.84985524999999</v>
      </c>
      <c r="K57" s="93">
        <v>355</v>
      </c>
      <c r="L57" s="94">
        <v>0.7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-64.594763925921896</v>
      </c>
      <c r="T57" s="96">
        <f t="shared" si="9"/>
        <v>111.88141302261401</v>
      </c>
      <c r="U57" s="93">
        <f t="shared" si="11"/>
        <v>274.09961761605626</v>
      </c>
      <c r="V57" s="96">
        <f t="shared" si="6"/>
        <v>3.98004706603921</v>
      </c>
      <c r="W57" s="96">
        <f t="shared" ref="W57:W70" si="15">15.8*N57*L57*SQRT(J57)/SQRT(U57*P57)</f>
        <v>8.2591133787018389</v>
      </c>
      <c r="X57" s="96">
        <f t="shared" si="8"/>
        <v>9.7591133787018389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4</v>
      </c>
      <c r="B58" s="92" t="s">
        <v>135</v>
      </c>
      <c r="C58" s="92">
        <v>0</v>
      </c>
      <c r="D58" s="92">
        <v>2.0999999999999996</v>
      </c>
      <c r="E58" s="93">
        <v>0</v>
      </c>
      <c r="F58" s="93">
        <v>0</v>
      </c>
      <c r="G58" s="93">
        <f t="shared" si="1"/>
        <v>0</v>
      </c>
      <c r="H58" s="96">
        <f t="shared" si="2"/>
        <v>106.18343999999999</v>
      </c>
      <c r="I58" s="93">
        <v>0</v>
      </c>
      <c r="J58" s="93">
        <f t="shared" si="3"/>
        <v>143.347644</v>
      </c>
      <c r="K58" s="93">
        <v>355</v>
      </c>
      <c r="L58" s="94">
        <v>0.7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-70.426092946821498</v>
      </c>
      <c r="T58" s="96">
        <f t="shared" si="9"/>
        <v>121.981571162463</v>
      </c>
      <c r="U58" s="93">
        <f t="shared" si="11"/>
        <v>260.96941203425257</v>
      </c>
      <c r="V58" s="96">
        <f t="shared" si="6"/>
        <v>3.98004706603921</v>
      </c>
      <c r="W58" s="96">
        <f t="shared" si="15"/>
        <v>8.1970126092865918</v>
      </c>
      <c r="X58" s="96">
        <f t="shared" si="8"/>
        <v>9.6970126092865918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5</v>
      </c>
      <c r="B59" s="92" t="s">
        <v>135</v>
      </c>
      <c r="C59" s="92">
        <v>0</v>
      </c>
      <c r="D59" s="92">
        <v>2.8</v>
      </c>
      <c r="E59" s="93">
        <v>0</v>
      </c>
      <c r="F59" s="93">
        <v>0</v>
      </c>
      <c r="G59" s="93">
        <f t="shared" si="1"/>
        <v>0</v>
      </c>
      <c r="H59" s="96">
        <f t="shared" si="2"/>
        <v>99.144764999999992</v>
      </c>
      <c r="I59" s="93">
        <v>0</v>
      </c>
      <c r="J59" s="93">
        <f t="shared" si="3"/>
        <v>133.84543274999999</v>
      </c>
      <c r="K59" s="93">
        <v>355</v>
      </c>
      <c r="L59" s="94">
        <v>0.7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-75.215715930860199</v>
      </c>
      <c r="T59" s="96">
        <f t="shared" si="9"/>
        <v>130.27744151991769</v>
      </c>
      <c r="U59" s="93">
        <f t="shared" si="11"/>
        <v>250.18478056956152</v>
      </c>
      <c r="V59" s="96">
        <f t="shared" si="6"/>
        <v>3.98004706603921</v>
      </c>
      <c r="W59" s="96">
        <f t="shared" si="15"/>
        <v>8.0895890795172871</v>
      </c>
      <c r="X59" s="96">
        <f t="shared" si="8"/>
        <v>9.5895890795172871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</v>
      </c>
      <c r="B60" s="92" t="s">
        <v>135</v>
      </c>
      <c r="C60" s="92">
        <v>0</v>
      </c>
      <c r="D60" s="92">
        <v>3.5</v>
      </c>
      <c r="E60" s="93">
        <v>0</v>
      </c>
      <c r="F60" s="93">
        <v>0</v>
      </c>
      <c r="G60" s="93">
        <f t="shared" si="1"/>
        <v>0</v>
      </c>
      <c r="H60" s="96">
        <f t="shared" si="2"/>
        <v>92.106089999999995</v>
      </c>
      <c r="I60" s="93">
        <v>0</v>
      </c>
      <c r="J60" s="93">
        <f t="shared" si="3"/>
        <v>124.3432215</v>
      </c>
      <c r="K60" s="93">
        <v>355</v>
      </c>
      <c r="L60" s="94">
        <v>0.7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-78.480086958171597</v>
      </c>
      <c r="T60" s="96">
        <f t="shared" si="9"/>
        <v>135.93149799397682</v>
      </c>
      <c r="U60" s="93">
        <f t="shared" si="11"/>
        <v>242.83450715328465</v>
      </c>
      <c r="V60" s="96">
        <f t="shared" si="6"/>
        <v>3.98004706603921</v>
      </c>
      <c r="W60" s="96">
        <f t="shared" si="15"/>
        <v>7.9142722176340881</v>
      </c>
      <c r="X60" s="96">
        <f t="shared" si="8"/>
        <v>9.4142722176340889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7</v>
      </c>
      <c r="B61" s="92" t="s">
        <v>135</v>
      </c>
      <c r="C61" s="92">
        <v>0</v>
      </c>
      <c r="D61" s="92">
        <v>4.2</v>
      </c>
      <c r="E61" s="93">
        <v>0</v>
      </c>
      <c r="F61" s="93">
        <v>0</v>
      </c>
      <c r="G61" s="93">
        <f t="shared" si="1"/>
        <v>0</v>
      </c>
      <c r="H61" s="96">
        <f t="shared" si="2"/>
        <v>85.067414999999997</v>
      </c>
      <c r="I61" s="93">
        <v>0</v>
      </c>
      <c r="J61" s="93">
        <f t="shared" si="3"/>
        <v>114.84101025</v>
      </c>
      <c r="K61" s="93">
        <v>355</v>
      </c>
      <c r="L61" s="94">
        <v>0.7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-80.825813694463804</v>
      </c>
      <c r="T61" s="96">
        <f t="shared" si="9"/>
        <v>139.99441588190766</v>
      </c>
      <c r="U61" s="93">
        <f t="shared" si="11"/>
        <v>237.55271389897456</v>
      </c>
      <c r="V61" s="96">
        <f t="shared" si="6"/>
        <v>3.98004706603921</v>
      </c>
      <c r="W61" s="96">
        <f t="shared" si="15"/>
        <v>7.6899520348659136</v>
      </c>
      <c r="X61" s="96">
        <f t="shared" si="8"/>
        <v>9.1899520348659145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8</v>
      </c>
      <c r="B62" s="92" t="s">
        <v>135</v>
      </c>
      <c r="C62" s="92">
        <v>0</v>
      </c>
      <c r="D62" s="92">
        <v>4.9000000000000004</v>
      </c>
      <c r="E62" s="93">
        <v>0</v>
      </c>
      <c r="F62" s="93">
        <v>0</v>
      </c>
      <c r="G62" s="93">
        <f t="shared" si="1"/>
        <v>0</v>
      </c>
      <c r="H62" s="96">
        <f t="shared" si="2"/>
        <v>78.028739999999985</v>
      </c>
      <c r="I62" s="93">
        <v>0</v>
      </c>
      <c r="J62" s="93">
        <f t="shared" si="3"/>
        <v>105.33879899999998</v>
      </c>
      <c r="K62" s="93">
        <v>355</v>
      </c>
      <c r="L62" s="94">
        <v>0.7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-82.252895428864093</v>
      </c>
      <c r="T62" s="96">
        <f t="shared" si="9"/>
        <v>142.46619395244247</v>
      </c>
      <c r="U62" s="93">
        <f t="shared" si="11"/>
        <v>234.33940240727929</v>
      </c>
      <c r="V62" s="96">
        <f t="shared" si="6"/>
        <v>3.98004706603921</v>
      </c>
      <c r="W62" s="96">
        <f t="shared" si="15"/>
        <v>7.4152645411269189</v>
      </c>
      <c r="X62" s="96">
        <f t="shared" si="8"/>
        <v>8.9152645411269198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9</v>
      </c>
      <c r="B63" s="92" t="s">
        <v>135</v>
      </c>
      <c r="C63" s="92">
        <v>0</v>
      </c>
      <c r="D63" s="92">
        <v>5.6000000000000005</v>
      </c>
      <c r="E63" s="93">
        <v>0</v>
      </c>
      <c r="F63" s="93">
        <v>0</v>
      </c>
      <c r="G63" s="93">
        <f t="shared" si="1"/>
        <v>0</v>
      </c>
      <c r="H63" s="96">
        <f t="shared" si="2"/>
        <v>70.990064999999987</v>
      </c>
      <c r="I63" s="93">
        <v>0</v>
      </c>
      <c r="J63" s="93">
        <f t="shared" si="3"/>
        <v>95.836587749999993</v>
      </c>
      <c r="K63" s="93">
        <v>355</v>
      </c>
      <c r="L63" s="94">
        <v>0.7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-82.761332403397006</v>
      </c>
      <c r="T63" s="96">
        <f t="shared" si="9"/>
        <v>143.34683262478006</v>
      </c>
      <c r="U63" s="93">
        <f t="shared" si="11"/>
        <v>233.19457213324043</v>
      </c>
      <c r="V63" s="96">
        <f t="shared" si="6"/>
        <v>3.98004706603921</v>
      </c>
      <c r="W63" s="96">
        <f t="shared" si="15"/>
        <v>7.0902505033579777</v>
      </c>
      <c r="X63" s="96">
        <f t="shared" si="8"/>
        <v>8.5902505033579786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10</v>
      </c>
      <c r="B64" s="92" t="s">
        <v>135</v>
      </c>
      <c r="C64" s="92">
        <v>0</v>
      </c>
      <c r="D64" s="92">
        <v>6.3000000000000007</v>
      </c>
      <c r="E64" s="93">
        <v>0</v>
      </c>
      <c r="F64" s="93">
        <v>0</v>
      </c>
      <c r="G64" s="93">
        <f t="shared" si="1"/>
        <v>0</v>
      </c>
      <c r="H64" s="96">
        <f t="shared" si="2"/>
        <v>63.951389999999989</v>
      </c>
      <c r="I64" s="93">
        <v>0</v>
      </c>
      <c r="J64" s="93">
        <f t="shared" si="3"/>
        <v>86.334376499999991</v>
      </c>
      <c r="K64" s="93">
        <v>355</v>
      </c>
      <c r="L64" s="94">
        <v>0.7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-82.351124643860004</v>
      </c>
      <c r="T64" s="96">
        <f t="shared" si="9"/>
        <v>142.63633194360298</v>
      </c>
      <c r="U64" s="93">
        <f t="shared" si="11"/>
        <v>234.11822301877064</v>
      </c>
      <c r="V64" s="96">
        <f t="shared" si="6"/>
        <v>3.98004706603921</v>
      </c>
      <c r="W64" s="96">
        <f t="shared" si="15"/>
        <v>6.716289315991256</v>
      </c>
      <c r="X64" s="96">
        <f t="shared" si="8"/>
        <v>8.216289315991256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11</v>
      </c>
      <c r="B65" s="92" t="s">
        <v>135</v>
      </c>
      <c r="C65" s="92">
        <v>0</v>
      </c>
      <c r="D65" s="92">
        <v>7.4</v>
      </c>
      <c r="E65" s="93">
        <v>0</v>
      </c>
      <c r="F65" s="93">
        <v>0</v>
      </c>
      <c r="G65" s="93">
        <f t="shared" si="1"/>
        <v>0</v>
      </c>
      <c r="H65" s="96">
        <f t="shared" si="2"/>
        <v>52.890614999999997</v>
      </c>
      <c r="I65" s="93">
        <v>0</v>
      </c>
      <c r="J65" s="93">
        <f t="shared" si="3"/>
        <v>71.402330250000006</v>
      </c>
      <c r="K65" s="93">
        <v>355</v>
      </c>
      <c r="L65" s="94">
        <v>0.7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-80.092466037689306</v>
      </c>
      <c r="T65" s="96">
        <f t="shared" si="9"/>
        <v>138.72422048076263</v>
      </c>
      <c r="U65" s="93">
        <f t="shared" si="11"/>
        <v>239.2039679204631</v>
      </c>
      <c r="V65" s="96">
        <f t="shared" si="6"/>
        <v>3.98004706603921</v>
      </c>
      <c r="W65" s="96">
        <f t="shared" si="15"/>
        <v>6.0426456868235094</v>
      </c>
      <c r="X65" s="96">
        <f t="shared" si="8"/>
        <v>7.5426456868235094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12</v>
      </c>
      <c r="B66" s="92" t="s">
        <v>135</v>
      </c>
      <c r="C66" s="92">
        <v>0</v>
      </c>
      <c r="D66" s="92">
        <v>8.1</v>
      </c>
      <c r="E66" s="93">
        <v>0</v>
      </c>
      <c r="F66" s="93">
        <v>0</v>
      </c>
      <c r="G66" s="93">
        <f t="shared" si="1"/>
        <v>0</v>
      </c>
      <c r="H66" s="96">
        <f t="shared" si="2"/>
        <v>45.851939999999999</v>
      </c>
      <c r="I66" s="93">
        <v>0</v>
      </c>
      <c r="J66" s="93">
        <f t="shared" si="3"/>
        <v>61.900119000000004</v>
      </c>
      <c r="K66" s="93">
        <v>355</v>
      </c>
      <c r="L66" s="94">
        <v>0.7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-77.320028857115105</v>
      </c>
      <c r="T66" s="96">
        <f t="shared" si="9"/>
        <v>133.92221842321513</v>
      </c>
      <c r="U66" s="93">
        <f t="shared" si="11"/>
        <v>245.44657059527484</v>
      </c>
      <c r="V66" s="96">
        <f t="shared" si="6"/>
        <v>3.98004706603921</v>
      </c>
      <c r="W66" s="96">
        <f t="shared" si="15"/>
        <v>5.5542111339484057</v>
      </c>
      <c r="X66" s="96">
        <f t="shared" si="8"/>
        <v>7.0542111339484057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13</v>
      </c>
      <c r="B67" s="92" t="s">
        <v>135</v>
      </c>
      <c r="C67" s="92">
        <v>0</v>
      </c>
      <c r="D67" s="92">
        <v>8.7999999999999989</v>
      </c>
      <c r="E67" s="93">
        <v>0</v>
      </c>
      <c r="F67" s="93">
        <v>0</v>
      </c>
      <c r="G67" s="93">
        <f t="shared" si="1"/>
        <v>0</v>
      </c>
      <c r="H67" s="96">
        <f t="shared" si="2"/>
        <v>38.813265000000008</v>
      </c>
      <c r="I67" s="93">
        <v>0</v>
      </c>
      <c r="J67" s="93">
        <f t="shared" si="3"/>
        <v>52.397907750000016</v>
      </c>
      <c r="K67" s="93">
        <v>355</v>
      </c>
      <c r="L67" s="94">
        <v>0.7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-73.628946939413893</v>
      </c>
      <c r="T67" s="96">
        <f t="shared" si="9"/>
        <v>127.52907700685785</v>
      </c>
      <c r="U67" s="93">
        <f t="shared" si="11"/>
        <v>253.7576544365393</v>
      </c>
      <c r="V67" s="96">
        <f t="shared" si="6"/>
        <v>3.98004706603921</v>
      </c>
      <c r="W67" s="96">
        <f t="shared" si="15"/>
        <v>5.025769012539703</v>
      </c>
      <c r="X67" s="96">
        <f t="shared" si="8"/>
        <v>6.525769012539703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14</v>
      </c>
      <c r="B68" s="92" t="s">
        <v>135</v>
      </c>
      <c r="C68" s="92">
        <v>0</v>
      </c>
      <c r="D68" s="92">
        <v>9.4999999999999982</v>
      </c>
      <c r="E68" s="93">
        <v>0</v>
      </c>
      <c r="F68" s="93">
        <v>0</v>
      </c>
      <c r="G68" s="93">
        <f t="shared" si="1"/>
        <v>0</v>
      </c>
      <c r="H68" s="96">
        <f t="shared" si="2"/>
        <v>31.774590000000018</v>
      </c>
      <c r="I68" s="93">
        <v>0</v>
      </c>
      <c r="J68" s="93">
        <f t="shared" si="3"/>
        <v>42.895696500000028</v>
      </c>
      <c r="K68" s="93">
        <v>355</v>
      </c>
      <c r="L68" s="94">
        <v>0.7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-69.019220364061695</v>
      </c>
      <c r="T68" s="96">
        <f t="shared" si="9"/>
        <v>119.54479636934737</v>
      </c>
      <c r="U68" s="93">
        <f t="shared" si="11"/>
        <v>264.13721926530297</v>
      </c>
      <c r="V68" s="96">
        <f t="shared" si="6"/>
        <v>3.98004706603921</v>
      </c>
      <c r="W68" s="96">
        <f t="shared" si="15"/>
        <v>4.4570467372814706</v>
      </c>
      <c r="X68" s="96">
        <f t="shared" si="8"/>
        <v>5.9570467372814706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15</v>
      </c>
      <c r="B69" s="92" t="s">
        <v>135</v>
      </c>
      <c r="C69" s="92">
        <v>0</v>
      </c>
      <c r="D69" s="92">
        <v>10.199999999999998</v>
      </c>
      <c r="E69" s="93">
        <v>0</v>
      </c>
      <c r="F69" s="93">
        <v>0</v>
      </c>
      <c r="G69" s="93">
        <f t="shared" si="1"/>
        <v>0</v>
      </c>
      <c r="H69" s="96">
        <f t="shared" si="2"/>
        <v>24.735915000000023</v>
      </c>
      <c r="I69" s="93">
        <v>0</v>
      </c>
      <c r="J69" s="93">
        <f t="shared" si="3"/>
        <v>33.393485250000033</v>
      </c>
      <c r="K69" s="93">
        <v>355</v>
      </c>
      <c r="L69" s="94">
        <v>0.7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-63.490849084463299</v>
      </c>
      <c r="T69" s="96">
        <f t="shared" si="9"/>
        <v>109.96937642997837</v>
      </c>
      <c r="U69" s="93">
        <f t="shared" si="11"/>
        <v>276.58526518648267</v>
      </c>
      <c r="V69" s="96">
        <f t="shared" si="6"/>
        <v>3.98004706603921</v>
      </c>
      <c r="W69" s="96">
        <f t="shared" si="15"/>
        <v>3.8430097054550774</v>
      </c>
      <c r="X69" s="96">
        <f t="shared" si="8"/>
        <v>5.4800470660392104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16</v>
      </c>
      <c r="B70" s="92" t="s">
        <v>135</v>
      </c>
      <c r="C70" s="92">
        <v>0</v>
      </c>
      <c r="D70" s="92">
        <v>10.899999999999997</v>
      </c>
      <c r="E70" s="93">
        <v>0</v>
      </c>
      <c r="F70" s="93">
        <v>0</v>
      </c>
      <c r="G70" s="93">
        <f t="shared" si="1"/>
        <v>0</v>
      </c>
      <c r="H70" s="96">
        <f t="shared" si="2"/>
        <v>17.697240000000033</v>
      </c>
      <c r="I70" s="93">
        <v>0</v>
      </c>
      <c r="J70" s="93">
        <f t="shared" si="3"/>
        <v>23.891274000000045</v>
      </c>
      <c r="K70" s="93">
        <v>355</v>
      </c>
      <c r="L70" s="94">
        <v>0.7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-57.043832969999997</v>
      </c>
      <c r="T70" s="96">
        <f t="shared" si="9"/>
        <v>98.802816962512637</v>
      </c>
      <c r="U70" s="93">
        <f t="shared" si="11"/>
        <v>291.10179249418809</v>
      </c>
      <c r="V70" s="96">
        <f t="shared" si="6"/>
        <v>3.98004706603921</v>
      </c>
      <c r="W70" s="96">
        <f t="shared" si="15"/>
        <v>3.1684900064132844</v>
      </c>
      <c r="X70" s="96">
        <f t="shared" si="8"/>
        <v>5.4800470660392104</v>
      </c>
      <c r="Y70" s="155" ph="1">
        <v>16</v>
      </c>
      <c r="Z70" s="96" t="str">
        <f t="shared" si="5"/>
        <v>OK</v>
      </c>
    </row>
    <row r="71" spans="1:26" ht="15" customHeight="1" x14ac:dyDescent="0.45"/>
    <row r="72" spans="1:26" ht="15" customHeight="1" x14ac:dyDescent="0.45">
      <c r="A72" s="4" t="s">
        <v>136</v>
      </c>
    </row>
    <row r="73" spans="1:26" ht="15" customHeight="1" x14ac:dyDescent="0.45">
      <c r="A73" s="4" t="s">
        <v>137</v>
      </c>
    </row>
    <row r="74" spans="1:26" ht="15" customHeight="1" x14ac:dyDescent="0.45">
      <c r="A74" s="4" t="s">
        <v>311</v>
      </c>
    </row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70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Z84"/>
  <sheetViews>
    <sheetView showGridLines="0" topLeftCell="A3" zoomScale="130" zoomScaleNormal="130" workbookViewId="0">
      <selection activeCell="AC62" sqref="AC62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201"/>
      <c r="G1" s="201"/>
      <c r="H1" s="201"/>
      <c r="I1" s="201"/>
      <c r="J1" s="201"/>
      <c r="K1" s="201"/>
      <c r="L1" s="201"/>
      <c r="M1" s="201"/>
      <c r="N1" s="202"/>
    </row>
    <row r="2" spans="1:15" ht="12" customHeight="1" x14ac:dyDescent="0.45">
      <c r="A2" s="69"/>
      <c r="F2" s="203"/>
      <c r="G2" s="203"/>
      <c r="H2" s="203"/>
      <c r="I2" s="203"/>
      <c r="J2" s="203"/>
      <c r="K2" s="203"/>
      <c r="L2" s="203"/>
      <c r="M2" s="203"/>
      <c r="N2" s="204"/>
    </row>
    <row r="3" spans="1:15" ht="12" customHeight="1" x14ac:dyDescent="0.45">
      <c r="A3" s="69"/>
      <c r="F3" s="203"/>
      <c r="G3" s="203"/>
      <c r="H3" s="203"/>
      <c r="I3" s="203"/>
      <c r="J3" s="203"/>
      <c r="K3" s="203"/>
      <c r="L3" s="203"/>
      <c r="M3" s="203"/>
      <c r="N3" s="204"/>
    </row>
    <row r="4" spans="1:15" ht="12" customHeight="1" x14ac:dyDescent="0.45">
      <c r="A4" s="69"/>
      <c r="F4" s="203" t="s">
        <v>64</v>
      </c>
      <c r="G4" s="203"/>
      <c r="H4" s="203"/>
      <c r="I4" s="203"/>
      <c r="J4" s="203"/>
      <c r="K4" s="203"/>
      <c r="L4" s="203"/>
      <c r="M4" s="203"/>
      <c r="N4" s="204"/>
    </row>
    <row r="5" spans="1:15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211">
        <f>'Global Strength'!F10</f>
        <v>731745</v>
      </c>
      <c r="N11" s="211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212">
        <f>'Global Strength'!F6</f>
        <v>20.13</v>
      </c>
      <c r="N12" s="212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212">
        <f>'Global Strength'!F5</f>
        <v>5.141</v>
      </c>
      <c r="N13" s="212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  <c r="M14" s="211"/>
      <c r="N14" s="211"/>
    </row>
    <row r="15" spans="1:15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211">
        <f>'Global Strength'!F27</f>
        <v>42798</v>
      </c>
      <c r="N15" s="211"/>
      <c r="O15" s="5" t="s">
        <v>93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7" t="s">
        <v>101</v>
      </c>
      <c r="B21" s="207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8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7"/>
      <c r="B22" s="207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8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5" si="0">$M$11/ABS(($M$12/(D23-$M$13)))/1000</f>
        <v>186.8803301043219</v>
      </c>
      <c r="R23" s="65">
        <v>0</v>
      </c>
      <c r="S23" s="65">
        <v>-23</v>
      </c>
      <c r="T23" s="60">
        <f t="shared" ref="T23:T24" si="1">SQRT(Q23^2+R23^2-Q23*R23+3*S23^2)</f>
        <v>191.07919243052163</v>
      </c>
      <c r="U23" s="59">
        <f>MIN(K23/$F$7,1.3*(K23/$F$7-T23))</f>
        <v>171.14250438577639</v>
      </c>
      <c r="V23" s="60">
        <f>14.3*$F$8/SQRT(K23/$F$7)</f>
        <v>3.98004706603921</v>
      </c>
      <c r="W23" s="60">
        <f>15.8*N23*L23*SQRT(J23)/SQRT(U23*P23)</f>
        <v>11.874616219394074</v>
      </c>
      <c r="X23" s="60">
        <f>MAX(V23,W23)+O23</f>
        <v>13.374616219394074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1.5</v>
      </c>
      <c r="D24" s="58">
        <v>0</v>
      </c>
      <c r="E24" s="59">
        <v>0</v>
      </c>
      <c r="F24" s="59">
        <v>0</v>
      </c>
      <c r="G24" s="59">
        <f t="shared" ref="G24:G68" si="2">E24*$F$18+F24*$F$17</f>
        <v>0</v>
      </c>
      <c r="H24" s="60">
        <f t="shared" ref="H24:H68" si="3">1.025*9.81*(($F$10+0.76)-D24)</f>
        <v>127.29946499999998</v>
      </c>
      <c r="I24" s="59">
        <v>0</v>
      </c>
      <c r="J24" s="59">
        <f t="shared" ref="J24:J68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186.8803301043219</v>
      </c>
      <c r="R24" s="65">
        <v>0</v>
      </c>
      <c r="S24" s="65">
        <v>-10.4</v>
      </c>
      <c r="T24" s="60">
        <f t="shared" si="1"/>
        <v>187.74647208376598</v>
      </c>
      <c r="U24" s="59">
        <f>MIN(K24/$F$7,1.3*(K24/$F$7-T24))</f>
        <v>175.47504083655872</v>
      </c>
      <c r="V24" s="60">
        <f>14.3*$F$8/SQRT(K24/$F$7)</f>
        <v>3.98004706603921</v>
      </c>
      <c r="W24" s="60">
        <f>15.8*N24*L24*SQRT(J24)/SQRT(U24*P24)</f>
        <v>11.727105919926084</v>
      </c>
      <c r="X24" s="60">
        <f>MAX(V24,W24)+O24</f>
        <v>13.227105919926084</v>
      </c>
      <c r="Y24" s="146">
        <v>16</v>
      </c>
      <c r="Z24" s="60" t="str">
        <f t="shared" ref="Z24:Z68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2.25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186.8803301043219</v>
      </c>
      <c r="R25" s="65">
        <v>0</v>
      </c>
      <c r="S25" s="65">
        <v>2.2000000000000002</v>
      </c>
      <c r="T25" s="60">
        <f>SQRT(Q25^2+R25^2-Q25*R25+3*S25^2)</f>
        <v>186.91917445757221</v>
      </c>
      <c r="U25" s="59">
        <f>MIN(K25/$F$7,1.3*(K25/$F$7-T25))</f>
        <v>176.55052775061063</v>
      </c>
      <c r="V25" s="60">
        <f t="shared" ref="V25:V68" si="6">14.3*$F$8/SQRT(K25/$F$7)</f>
        <v>3.98004706603921</v>
      </c>
      <c r="W25" s="60">
        <f t="shared" ref="W25:W30" si="7">15.8*N25*L25*SQRT(J25)/SQRT(U25*P25)</f>
        <v>11.691332548416682</v>
      </c>
      <c r="X25" s="60">
        <f t="shared" ref="X25:X68" si="8">MAX(V25,W25)+O25</f>
        <v>13.191332548416682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186.8803301043219</v>
      </c>
      <c r="R26" s="65">
        <v>0</v>
      </c>
      <c r="S26" s="65">
        <v>14.7</v>
      </c>
      <c r="T26" s="60">
        <f t="shared" ref="T26:T68" si="9">SQRT(Q26^2+R26^2-Q26*R26+3*S26^2)</f>
        <v>188.60680735302296</v>
      </c>
      <c r="U26" s="59">
        <f>MIN(K26/$F$7,1.3*(K26/$F$7-T26))</f>
        <v>174.35660498652467</v>
      </c>
      <c r="V26" s="60">
        <f t="shared" si="6"/>
        <v>3.98004706603921</v>
      </c>
      <c r="W26" s="60">
        <f t="shared" si="7"/>
        <v>11.764658409615217</v>
      </c>
      <c r="X26" s="60">
        <f>MAX(V26,W26)+O26</f>
        <v>13.264658409615217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3.75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186.8803301043219</v>
      </c>
      <c r="R27" s="65">
        <v>0</v>
      </c>
      <c r="S27" s="65">
        <v>27.3</v>
      </c>
      <c r="T27" s="60">
        <f t="shared" si="9"/>
        <v>192.76962359225666</v>
      </c>
      <c r="U27" s="59">
        <f>MIN(K27/$F$7,1.3*(K27/$F$7-T27))</f>
        <v>168.94494387552083</v>
      </c>
      <c r="V27" s="60">
        <f t="shared" si="6"/>
        <v>3.98004706603921</v>
      </c>
      <c r="W27" s="60">
        <f t="shared" si="7"/>
        <v>11.951596553623025</v>
      </c>
      <c r="X27" s="60">
        <f t="shared" si="8"/>
        <v>13.451596553623025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4.5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186.8803301043219</v>
      </c>
      <c r="R28" s="65">
        <v>0</v>
      </c>
      <c r="S28" s="65">
        <v>39.799999999999997</v>
      </c>
      <c r="T28" s="60">
        <f t="shared" si="9"/>
        <v>199.18930136907534</v>
      </c>
      <c r="U28" s="59">
        <f t="shared" ref="U28:U30" si="10">MIN(K28/$F$7,1.3*(K28/$F$7-T28))</f>
        <v>160.59936276565656</v>
      </c>
      <c r="V28" s="60">
        <f t="shared" si="6"/>
        <v>3.98004706603921</v>
      </c>
      <c r="W28" s="60">
        <f t="shared" si="7"/>
        <v>12.258197519033722</v>
      </c>
      <c r="X28" s="60">
        <f t="shared" si="8"/>
        <v>13.758197519033722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5.25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186.8803301043219</v>
      </c>
      <c r="R29" s="65">
        <v>0</v>
      </c>
      <c r="S29" s="65">
        <v>52.4</v>
      </c>
      <c r="T29" s="60">
        <f t="shared" si="9"/>
        <v>207.75355058313761</v>
      </c>
      <c r="U29" s="59">
        <f t="shared" si="10"/>
        <v>149.46583878737562</v>
      </c>
      <c r="V29" s="60">
        <f t="shared" si="6"/>
        <v>3.98004706603921</v>
      </c>
      <c r="W29" s="60">
        <f t="shared" si="7"/>
        <v>12.706547139650224</v>
      </c>
      <c r="X29" s="60">
        <f t="shared" si="8"/>
        <v>14.206547139650224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6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186.8803301043219</v>
      </c>
      <c r="R30" s="65">
        <v>0</v>
      </c>
      <c r="S30" s="65">
        <v>60.4</v>
      </c>
      <c r="T30" s="60">
        <f t="shared" si="9"/>
        <v>214.16988065528801</v>
      </c>
      <c r="U30" s="59">
        <f t="shared" si="10"/>
        <v>141.12460969358008</v>
      </c>
      <c r="V30" s="60">
        <f t="shared" si="6"/>
        <v>3.98004706603921</v>
      </c>
      <c r="W30" s="60">
        <f t="shared" si="7"/>
        <v>13.076669482088878</v>
      </c>
      <c r="X30" s="60">
        <f t="shared" si="8"/>
        <v>14.576669482088878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9</v>
      </c>
      <c r="B31" s="82" t="s">
        <v>133</v>
      </c>
      <c r="C31" s="198">
        <v>6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186.8803301043219</v>
      </c>
      <c r="R31" s="85">
        <v>0</v>
      </c>
      <c r="S31" s="85">
        <v>60.4</v>
      </c>
      <c r="T31" s="86">
        <f>SQRT(Q31^2+R31^2-Q31*R31+3*S31^2)</f>
        <v>214.16988065528801</v>
      </c>
      <c r="U31" s="83">
        <f>MIN(K31/$F$7,1.3*(K31/$F$7-T31))</f>
        <v>141.12460969358008</v>
      </c>
      <c r="V31" s="86">
        <f>14.3*$F$8/SQRT(K31/$F$7)</f>
        <v>3.98004706603921</v>
      </c>
      <c r="W31" s="86">
        <f>15.8*N31*L31*SQRT(J31)/SQRT(U31*P31)</f>
        <v>12.204891516616286</v>
      </c>
      <c r="X31" s="86">
        <f t="shared" si="8"/>
        <v>13.704891516616286</v>
      </c>
      <c r="Y31" s="19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10</v>
      </c>
      <c r="B32" s="82" t="s">
        <v>133</v>
      </c>
      <c r="C32" s="198">
        <v>6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161.43465201192251</v>
      </c>
      <c r="R32" s="85">
        <v>0</v>
      </c>
      <c r="S32" s="85">
        <v>70.7</v>
      </c>
      <c r="T32" s="86">
        <f t="shared" si="9"/>
        <v>202.62432447811028</v>
      </c>
      <c r="U32" s="83">
        <f t="shared" ref="U32:U68" si="11">MIN(K32/$F$7,1.3*(K32/$F$7-T32))</f>
        <v>156.13383272391113</v>
      </c>
      <c r="V32" s="86">
        <f t="shared" si="6"/>
        <v>3.98004706603921</v>
      </c>
      <c r="W32" s="86">
        <f t="shared" ref="W32:W53" si="12">15.8*N32*L32*SQRT(J32)/SQRT(U32*P32)</f>
        <v>11.278089248922436</v>
      </c>
      <c r="X32" s="86">
        <f t="shared" si="8"/>
        <v>12.778089248922436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11</v>
      </c>
      <c r="B33" s="82" t="s">
        <v>133</v>
      </c>
      <c r="C33" s="198">
        <v>6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135.98897391952312</v>
      </c>
      <c r="R33" s="85">
        <v>0</v>
      </c>
      <c r="S33" s="85">
        <v>79.400000000000006</v>
      </c>
      <c r="T33" s="86">
        <f t="shared" si="9"/>
        <v>193.40651754189864</v>
      </c>
      <c r="U33" s="83">
        <f t="shared" si="11"/>
        <v>168.11698174098629</v>
      </c>
      <c r="V33" s="86">
        <f t="shared" si="6"/>
        <v>3.98004706603921</v>
      </c>
      <c r="W33" s="86">
        <f t="shared" si="12"/>
        <v>10.545856334557898</v>
      </c>
      <c r="X33" s="86">
        <f t="shared" si="8"/>
        <v>12.045856334557898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12</v>
      </c>
      <c r="B34" s="82" t="s">
        <v>133</v>
      </c>
      <c r="C34" s="198">
        <v>6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110.54329582712371</v>
      </c>
      <c r="R34" s="85">
        <v>0</v>
      </c>
      <c r="S34" s="85">
        <v>86.6</v>
      </c>
      <c r="T34" s="86">
        <f t="shared" si="9"/>
        <v>186.32901076408629</v>
      </c>
      <c r="U34" s="83">
        <f t="shared" si="11"/>
        <v>177.31774055214234</v>
      </c>
      <c r="V34" s="86">
        <f t="shared" si="6"/>
        <v>3.98004706603921</v>
      </c>
      <c r="W34" s="86">
        <f t="shared" si="12"/>
        <v>9.9443021683315465</v>
      </c>
      <c r="X34" s="86">
        <f t="shared" si="8"/>
        <v>11.444302168331546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13</v>
      </c>
      <c r="B35" s="82" t="s">
        <v>133</v>
      </c>
      <c r="C35" s="198">
        <v>6</v>
      </c>
      <c r="D35" s="86">
        <f t="shared" ref="D35:D41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85.097617734724295</v>
      </c>
      <c r="R35" s="85">
        <v>0</v>
      </c>
      <c r="S35" s="85">
        <v>91.6</v>
      </c>
      <c r="T35" s="86">
        <f t="shared" si="9"/>
        <v>180.03689772967448</v>
      </c>
      <c r="U35" s="83">
        <f t="shared" si="11"/>
        <v>185.49748749687768</v>
      </c>
      <c r="V35" s="86">
        <f t="shared" si="6"/>
        <v>3.98004706603921</v>
      </c>
      <c r="W35" s="86">
        <f t="shared" si="12"/>
        <v>9.3948075746399518</v>
      </c>
      <c r="X35" s="86">
        <f t="shared" si="8"/>
        <v>10.894807574639952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14</v>
      </c>
      <c r="B36" s="82" t="s">
        <v>133</v>
      </c>
      <c r="C36" s="198">
        <v>6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59.651939642324891</v>
      </c>
      <c r="R36" s="85">
        <v>0</v>
      </c>
      <c r="S36" s="85">
        <v>95.3</v>
      </c>
      <c r="T36" s="86">
        <f t="shared" si="9"/>
        <v>175.51246081999867</v>
      </c>
      <c r="U36" s="83">
        <f t="shared" si="11"/>
        <v>191.37925547945625</v>
      </c>
      <c r="V36" s="86">
        <f t="shared" si="6"/>
        <v>3.98004706603921</v>
      </c>
      <c r="W36" s="86">
        <f t="shared" si="12"/>
        <v>8.9149467633099526</v>
      </c>
      <c r="X36" s="86">
        <f t="shared" si="8"/>
        <v>10.414946763309953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15</v>
      </c>
      <c r="B37" s="82" t="s">
        <v>133</v>
      </c>
      <c r="C37" s="198">
        <v>6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34.206261549925472</v>
      </c>
      <c r="R37" s="85">
        <v>0</v>
      </c>
      <c r="S37" s="85">
        <v>97.700000000000202</v>
      </c>
      <c r="T37" s="86">
        <f t="shared" si="9"/>
        <v>172.64396406831614</v>
      </c>
      <c r="U37" s="83">
        <f t="shared" si="11"/>
        <v>195.10830125664353</v>
      </c>
      <c r="V37" s="86">
        <f t="shared" si="6"/>
        <v>3.98004706603921</v>
      </c>
      <c r="W37" s="86">
        <f t="shared" si="12"/>
        <v>8.4852717432694131</v>
      </c>
      <c r="X37" s="86">
        <f t="shared" si="8"/>
        <v>9.9852717432694131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16</v>
      </c>
      <c r="B38" s="82" t="s">
        <v>133</v>
      </c>
      <c r="C38" s="198">
        <v>6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8.760583457526069</v>
      </c>
      <c r="R38" s="85">
        <v>0</v>
      </c>
      <c r="S38" s="85">
        <v>98.7</v>
      </c>
      <c r="T38" s="86">
        <f t="shared" si="9"/>
        <v>171.17773752014682</v>
      </c>
      <c r="U38" s="83">
        <f t="shared" si="11"/>
        <v>197.01439576926364</v>
      </c>
      <c r="V38" s="86">
        <f t="shared" si="6"/>
        <v>3.98004706603921</v>
      </c>
      <c r="W38" s="86">
        <f t="shared" si="12"/>
        <v>8.0872399276038962</v>
      </c>
      <c r="X38" s="86">
        <f t="shared" si="8"/>
        <v>9.5872399276038962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17</v>
      </c>
      <c r="B39" s="82" t="s">
        <v>133</v>
      </c>
      <c r="C39" s="198">
        <v>6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16.685094634873341</v>
      </c>
      <c r="R39" s="85">
        <v>0</v>
      </c>
      <c r="S39" s="85">
        <v>97.6</v>
      </c>
      <c r="T39" s="86">
        <f t="shared" si="9"/>
        <v>169.86957462410587</v>
      </c>
      <c r="U39" s="83">
        <f t="shared" si="11"/>
        <v>198.71500753411689</v>
      </c>
      <c r="V39" s="86">
        <f t="shared" si="6"/>
        <v>3.98004706603921</v>
      </c>
      <c r="W39" s="86">
        <f t="shared" si="12"/>
        <v>7.6807824501478379</v>
      </c>
      <c r="X39" s="86">
        <f t="shared" si="8"/>
        <v>9.1807824501478379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18</v>
      </c>
      <c r="B40" s="82" t="s">
        <v>133</v>
      </c>
      <c r="C40" s="198">
        <v>6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42.130772727272756</v>
      </c>
      <c r="R40" s="85">
        <v>0</v>
      </c>
      <c r="S40" s="85">
        <v>95.9</v>
      </c>
      <c r="T40" s="86">
        <f t="shared" si="9"/>
        <v>171.36345004287557</v>
      </c>
      <c r="U40" s="83">
        <f t="shared" si="11"/>
        <v>196.77296948971627</v>
      </c>
      <c r="V40" s="86">
        <f t="shared" si="6"/>
        <v>3.98004706603921</v>
      </c>
      <c r="W40" s="86">
        <f t="shared" si="12"/>
        <v>7.3259556573736626</v>
      </c>
      <c r="X40" s="86">
        <f t="shared" si="8"/>
        <v>8.8259556573736617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19</v>
      </c>
      <c r="B41" s="82" t="s">
        <v>133</v>
      </c>
      <c r="C41" s="198">
        <v>6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67.576450819672175</v>
      </c>
      <c r="R41" s="85">
        <v>0</v>
      </c>
      <c r="S41" s="85">
        <v>93.065362534187003</v>
      </c>
      <c r="T41" s="86">
        <f t="shared" si="9"/>
        <v>174.78575976389652</v>
      </c>
      <c r="U41" s="83">
        <f t="shared" si="11"/>
        <v>192.32396685238902</v>
      </c>
      <c r="V41" s="86">
        <f t="shared" si="6"/>
        <v>3.98004706603921</v>
      </c>
      <c r="W41" s="86">
        <f t="shared" si="12"/>
        <v>6.9905276708427815</v>
      </c>
      <c r="X41" s="86">
        <f t="shared" si="8"/>
        <v>8.4905276708427806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20</v>
      </c>
      <c r="B42" s="82" t="s">
        <v>133</v>
      </c>
      <c r="C42" s="198">
        <v>6</v>
      </c>
      <c r="D42" s="86">
        <f>D43-0.7</f>
        <v>7.8</v>
      </c>
      <c r="E42" s="83">
        <v>0</v>
      </c>
      <c r="F42" s="83">
        <v>0</v>
      </c>
      <c r="G42" s="83">
        <f t="shared" si="2"/>
        <v>0</v>
      </c>
      <c r="H42" s="86">
        <f t="shared" si="3"/>
        <v>48.868515000000002</v>
      </c>
      <c r="I42" s="83">
        <v>0</v>
      </c>
      <c r="J42" s="83">
        <f t="shared" si="4"/>
        <v>65.972495250000009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96.657225782414301</v>
      </c>
      <c r="R42" s="85">
        <v>0</v>
      </c>
      <c r="S42" s="85">
        <v>87.7</v>
      </c>
      <c r="T42" s="86">
        <f t="shared" si="9"/>
        <v>180.04579777365709</v>
      </c>
      <c r="U42" s="83">
        <f t="shared" si="11"/>
        <v>185.4859174397003</v>
      </c>
      <c r="V42" s="86">
        <f t="shared" si="6"/>
        <v>3.98004706603921</v>
      </c>
      <c r="W42" s="86">
        <f t="shared" si="12"/>
        <v>6.5960070475840791</v>
      </c>
      <c r="X42" s="86">
        <f t="shared" si="8"/>
        <v>8.0960070475840791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21</v>
      </c>
      <c r="B43" s="82" t="s">
        <v>133</v>
      </c>
      <c r="C43" s="198">
        <v>6</v>
      </c>
      <c r="D43" s="86">
        <f>D44-0.7</f>
        <v>8.5</v>
      </c>
      <c r="E43" s="83">
        <v>0</v>
      </c>
      <c r="F43" s="83">
        <v>0</v>
      </c>
      <c r="G43" s="83">
        <f t="shared" si="2"/>
        <v>0</v>
      </c>
      <c r="H43" s="86">
        <f t="shared" si="3"/>
        <v>41.829839999999997</v>
      </c>
      <c r="I43" s="83">
        <v>0</v>
      </c>
      <c r="J43" s="83">
        <f t="shared" si="4"/>
        <v>56.470283999999999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122.10290387481372</v>
      </c>
      <c r="R43" s="85">
        <v>0</v>
      </c>
      <c r="S43" s="85">
        <v>64.8</v>
      </c>
      <c r="T43" s="86">
        <f t="shared" si="9"/>
        <v>165.85005014971205</v>
      </c>
      <c r="U43" s="83">
        <f t="shared" si="11"/>
        <v>203.94038935082884</v>
      </c>
      <c r="V43" s="86">
        <f t="shared" si="6"/>
        <v>3.98004706603921</v>
      </c>
      <c r="W43" s="86">
        <f t="shared" si="12"/>
        <v>5.819872774778001</v>
      </c>
      <c r="X43" s="86">
        <f t="shared" si="8"/>
        <v>7.319872774778001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22</v>
      </c>
      <c r="B44" s="82" t="s">
        <v>133</v>
      </c>
      <c r="C44" s="198">
        <v>6</v>
      </c>
      <c r="D44" s="86">
        <v>9.1999999999999993</v>
      </c>
      <c r="E44" s="83">
        <v>0</v>
      </c>
      <c r="F44" s="83">
        <v>0</v>
      </c>
      <c r="G44" s="83">
        <f t="shared" si="2"/>
        <v>0</v>
      </c>
      <c r="H44" s="86">
        <f t="shared" si="3"/>
        <v>34.791165000000007</v>
      </c>
      <c r="I44" s="83">
        <v>0</v>
      </c>
      <c r="J44" s="83">
        <f t="shared" si="4"/>
        <v>46.968072750000012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147.5485819672131</v>
      </c>
      <c r="R44" s="85">
        <v>0</v>
      </c>
      <c r="S44" s="85">
        <v>57.899999999999899</v>
      </c>
      <c r="T44" s="86">
        <f t="shared" si="9"/>
        <v>178.40351465297809</v>
      </c>
      <c r="U44" s="83">
        <f t="shared" si="11"/>
        <v>187.62088549658299</v>
      </c>
      <c r="V44" s="86">
        <f t="shared" si="6"/>
        <v>3.98004706603921</v>
      </c>
      <c r="W44" s="86">
        <f t="shared" si="12"/>
        <v>5.5337037641431337</v>
      </c>
      <c r="X44" s="86">
        <f t="shared" si="8"/>
        <v>7.0337037641431337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23</v>
      </c>
      <c r="B45" s="82" t="s">
        <v>133</v>
      </c>
      <c r="C45" s="198">
        <v>6</v>
      </c>
      <c r="D45" s="86">
        <v>9.9</v>
      </c>
      <c r="E45" s="83">
        <v>0</v>
      </c>
      <c r="F45" s="83">
        <v>0</v>
      </c>
      <c r="G45" s="83">
        <f t="shared" si="2"/>
        <v>0</v>
      </c>
      <c r="H45" s="86">
        <f t="shared" si="3"/>
        <v>27.752489999999995</v>
      </c>
      <c r="I45" s="83">
        <v>0</v>
      </c>
      <c r="J45" s="83">
        <f t="shared" si="4"/>
        <v>37.465861499999995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172.99426005961254</v>
      </c>
      <c r="R45" s="85">
        <v>0</v>
      </c>
      <c r="S45" s="85">
        <v>51.5</v>
      </c>
      <c r="T45" s="86">
        <f t="shared" si="9"/>
        <v>194.63751954228368</v>
      </c>
      <c r="U45" s="83">
        <f t="shared" si="11"/>
        <v>166.51667914048571</v>
      </c>
      <c r="V45" s="86">
        <f t="shared" si="6"/>
        <v>3.98004706603921</v>
      </c>
      <c r="W45" s="86">
        <f t="shared" si="12"/>
        <v>5.2461912417594156</v>
      </c>
      <c r="X45" s="86">
        <f t="shared" si="8"/>
        <v>6.7461912417594156</v>
      </c>
      <c r="Y45" s="196" ph="1">
        <v>16</v>
      </c>
      <c r="Z45" s="86" t="str">
        <f t="shared" si="5"/>
        <v>OK</v>
      </c>
    </row>
    <row r="46" spans="1:26" ht="15" customHeight="1" x14ac:dyDescent="0.3">
      <c r="A46" s="87">
        <v>1</v>
      </c>
      <c r="B46" s="87" t="s">
        <v>134</v>
      </c>
      <c r="C46" s="105">
        <v>0.75</v>
      </c>
      <c r="D46" s="87">
        <v>9.9</v>
      </c>
      <c r="E46" s="88">
        <v>0</v>
      </c>
      <c r="F46" s="88">
        <v>0</v>
      </c>
      <c r="G46" s="88">
        <f t="shared" si="2"/>
        <v>0</v>
      </c>
      <c r="H46" s="88">
        <f t="shared" si="3"/>
        <v>27.752489999999995</v>
      </c>
      <c r="I46" s="88">
        <v>0</v>
      </c>
      <c r="J46" s="88">
        <f t="shared" si="4"/>
        <v>37.465861499999995</v>
      </c>
      <c r="K46" s="88">
        <v>355</v>
      </c>
      <c r="L46" s="89">
        <v>0.75</v>
      </c>
      <c r="M46" s="89">
        <v>4</v>
      </c>
      <c r="N46" s="90">
        <v>1</v>
      </c>
      <c r="O46" s="90">
        <v>1.5</v>
      </c>
      <c r="P46" s="90">
        <v>1</v>
      </c>
      <c r="Q46" s="90">
        <f>$M$11/ABS(($M$12/(D46-$M$13)))/1000</f>
        <v>172.99426005961254</v>
      </c>
      <c r="R46" s="90">
        <v>0</v>
      </c>
      <c r="S46" s="90">
        <v>-24</v>
      </c>
      <c r="T46" s="91">
        <f t="shared" si="9"/>
        <v>177.91856005929469</v>
      </c>
      <c r="U46" s="88">
        <f t="shared" si="11"/>
        <v>188.25132646837142</v>
      </c>
      <c r="V46" s="91">
        <f t="shared" si="6"/>
        <v>3.98004706603921</v>
      </c>
      <c r="W46" s="91">
        <f>15.8*N46*L46*SQRT(J46)/SQRT(U46*P46)</f>
        <v>5.2864872546881703</v>
      </c>
      <c r="X46" s="91">
        <f t="shared" si="8"/>
        <v>6.7864872546881703</v>
      </c>
      <c r="Y46" s="197" ph="1">
        <v>20</v>
      </c>
      <c r="Z46" s="91" t="str">
        <f t="shared" si="5"/>
        <v>OK</v>
      </c>
    </row>
    <row r="47" spans="1:26" ht="15" customHeight="1" x14ac:dyDescent="0.3">
      <c r="A47" s="87">
        <v>2</v>
      </c>
      <c r="B47" s="87" t="s">
        <v>134</v>
      </c>
      <c r="C47" s="105">
        <v>1.5</v>
      </c>
      <c r="D47" s="87">
        <v>9.9</v>
      </c>
      <c r="E47" s="88">
        <v>0</v>
      </c>
      <c r="F47" s="88">
        <v>0</v>
      </c>
      <c r="G47" s="88">
        <f t="shared" si="2"/>
        <v>0</v>
      </c>
      <c r="H47" s="88">
        <f t="shared" si="3"/>
        <v>27.752489999999995</v>
      </c>
      <c r="I47" s="88">
        <v>0</v>
      </c>
      <c r="J47" s="88">
        <f t="shared" si="4"/>
        <v>37.465861499999995</v>
      </c>
      <c r="K47" s="88">
        <v>355</v>
      </c>
      <c r="L47" s="89">
        <v>0.75</v>
      </c>
      <c r="M47" s="89">
        <v>4</v>
      </c>
      <c r="N47" s="90">
        <v>1</v>
      </c>
      <c r="O47" s="90">
        <v>1.5</v>
      </c>
      <c r="P47" s="90">
        <v>1</v>
      </c>
      <c r="Q47" s="90">
        <f t="shared" ref="Q47:Q53" si="14">$M$11/ABS(($M$12/(D47-$M$13)))/1000</f>
        <v>172.99426005961254</v>
      </c>
      <c r="R47" s="90">
        <v>0</v>
      </c>
      <c r="S47" s="90">
        <v>-13.2</v>
      </c>
      <c r="T47" s="91">
        <f t="shared" si="9"/>
        <v>174.49852152259874</v>
      </c>
      <c r="U47" s="88">
        <f t="shared" si="11"/>
        <v>192.69737656607614</v>
      </c>
      <c r="V47" s="91">
        <f t="shared" si="6"/>
        <v>3.98004706603921</v>
      </c>
      <c r="W47" s="91">
        <f t="shared" si="12"/>
        <v>5.2251445687723708</v>
      </c>
      <c r="X47" s="91">
        <f t="shared" si="8"/>
        <v>6.7251445687723708</v>
      </c>
      <c r="Y47" s="197" ph="1">
        <v>20</v>
      </c>
      <c r="Z47" s="91" t="str">
        <f t="shared" si="5"/>
        <v>OK</v>
      </c>
    </row>
    <row r="48" spans="1:26" ht="15" customHeight="1" x14ac:dyDescent="0.3">
      <c r="A48" s="87">
        <v>3</v>
      </c>
      <c r="B48" s="87" t="s">
        <v>134</v>
      </c>
      <c r="C48" s="105">
        <v>2.25</v>
      </c>
      <c r="D48" s="87">
        <v>9.9</v>
      </c>
      <c r="E48" s="88">
        <v>0</v>
      </c>
      <c r="F48" s="88">
        <v>0</v>
      </c>
      <c r="G48" s="88">
        <f t="shared" si="2"/>
        <v>0</v>
      </c>
      <c r="H48" s="88">
        <f t="shared" si="3"/>
        <v>27.752489999999995</v>
      </c>
      <c r="I48" s="88">
        <v>0</v>
      </c>
      <c r="J48" s="88">
        <f t="shared" si="4"/>
        <v>37.465861499999995</v>
      </c>
      <c r="K48" s="88">
        <v>355</v>
      </c>
      <c r="L48" s="89">
        <v>0.75</v>
      </c>
      <c r="M48" s="89">
        <v>4</v>
      </c>
      <c r="N48" s="90">
        <v>1</v>
      </c>
      <c r="O48" s="90">
        <v>1.5</v>
      </c>
      <c r="P48" s="90">
        <v>1</v>
      </c>
      <c r="Q48" s="90">
        <f t="shared" si="14"/>
        <v>172.99426005961254</v>
      </c>
      <c r="R48" s="90">
        <v>0</v>
      </c>
      <c r="S48" s="90">
        <v>-2.4</v>
      </c>
      <c r="T48" s="91">
        <f t="shared" si="9"/>
        <v>173.04419670584983</v>
      </c>
      <c r="U48" s="88">
        <f t="shared" si="11"/>
        <v>194.58799882784973</v>
      </c>
      <c r="V48" s="91">
        <f t="shared" si="6"/>
        <v>3.98004706603921</v>
      </c>
      <c r="W48" s="91">
        <f t="shared" si="12"/>
        <v>5.1996987869242597</v>
      </c>
      <c r="X48" s="91">
        <f t="shared" si="8"/>
        <v>6.6996987869242597</v>
      </c>
      <c r="Y48" s="197" ph="1">
        <v>20</v>
      </c>
      <c r="Z48" s="91" t="str">
        <f t="shared" si="5"/>
        <v>OK</v>
      </c>
    </row>
    <row r="49" spans="1:26" ht="15" customHeight="1" x14ac:dyDescent="0.3">
      <c r="A49" s="87">
        <v>4</v>
      </c>
      <c r="B49" s="87" t="s">
        <v>134</v>
      </c>
      <c r="C49" s="105">
        <v>3</v>
      </c>
      <c r="D49" s="87">
        <v>9.9</v>
      </c>
      <c r="E49" s="88">
        <v>0</v>
      </c>
      <c r="F49" s="88">
        <v>0</v>
      </c>
      <c r="G49" s="88">
        <f t="shared" si="2"/>
        <v>0</v>
      </c>
      <c r="H49" s="88">
        <f t="shared" si="3"/>
        <v>27.752489999999995</v>
      </c>
      <c r="I49" s="88">
        <v>0</v>
      </c>
      <c r="J49" s="88">
        <f t="shared" si="4"/>
        <v>37.465861499999995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 t="shared" si="14"/>
        <v>172.99426005961254</v>
      </c>
      <c r="R49" s="90">
        <v>0</v>
      </c>
      <c r="S49" s="90">
        <v>8.4</v>
      </c>
      <c r="T49" s="91">
        <f t="shared" si="9"/>
        <v>173.60499420688581</v>
      </c>
      <c r="U49" s="88">
        <f t="shared" si="11"/>
        <v>193.85896207650296</v>
      </c>
      <c r="V49" s="91">
        <f t="shared" si="6"/>
        <v>3.98004706603921</v>
      </c>
      <c r="W49" s="91">
        <f t="shared" si="12"/>
        <v>5.209466749700856</v>
      </c>
      <c r="X49" s="91">
        <f t="shared" si="8"/>
        <v>6.709466749700856</v>
      </c>
      <c r="Y49" s="197" ph="1">
        <v>20</v>
      </c>
      <c r="Z49" s="91" t="str">
        <f t="shared" si="5"/>
        <v>OK</v>
      </c>
    </row>
    <row r="50" spans="1:26" ht="15" customHeight="1" x14ac:dyDescent="0.3">
      <c r="A50" s="87">
        <v>5</v>
      </c>
      <c r="B50" s="87" t="s">
        <v>134</v>
      </c>
      <c r="C50" s="105">
        <v>3.75</v>
      </c>
      <c r="D50" s="87">
        <v>9.9</v>
      </c>
      <c r="E50" s="88">
        <v>0</v>
      </c>
      <c r="F50" s="88">
        <v>0</v>
      </c>
      <c r="G50" s="88">
        <f t="shared" si="2"/>
        <v>0</v>
      </c>
      <c r="H50" s="88">
        <f t="shared" si="3"/>
        <v>27.752489999999995</v>
      </c>
      <c r="I50" s="88">
        <v>0</v>
      </c>
      <c r="J50" s="88">
        <f t="shared" si="4"/>
        <v>37.465861499999995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si="14"/>
        <v>172.99426005961254</v>
      </c>
      <c r="R50" s="90">
        <v>0</v>
      </c>
      <c r="S50" s="90">
        <v>19.100000000000001</v>
      </c>
      <c r="T50" s="91">
        <f t="shared" si="9"/>
        <v>176.12905499540062</v>
      </c>
      <c r="U50" s="88">
        <f t="shared" si="11"/>
        <v>190.5776830514337</v>
      </c>
      <c r="V50" s="91">
        <f t="shared" si="6"/>
        <v>3.98004706603921</v>
      </c>
      <c r="W50" s="91">
        <f t="shared" si="12"/>
        <v>5.2541224576941348</v>
      </c>
      <c r="X50" s="91">
        <f t="shared" si="8"/>
        <v>6.7541224576941348</v>
      </c>
      <c r="Y50" s="197" ph="1">
        <v>20</v>
      </c>
      <c r="Z50" s="91" t="str">
        <f t="shared" si="5"/>
        <v>OK</v>
      </c>
    </row>
    <row r="51" spans="1:26" ht="15" customHeight="1" x14ac:dyDescent="0.3">
      <c r="A51" s="87">
        <v>6</v>
      </c>
      <c r="B51" s="87" t="s">
        <v>134</v>
      </c>
      <c r="C51" s="105">
        <v>4.5</v>
      </c>
      <c r="D51" s="87">
        <v>9.9</v>
      </c>
      <c r="E51" s="88">
        <v>0</v>
      </c>
      <c r="F51" s="88">
        <v>0</v>
      </c>
      <c r="G51" s="88">
        <f t="shared" si="2"/>
        <v>0</v>
      </c>
      <c r="H51" s="88">
        <f t="shared" si="3"/>
        <v>27.752489999999995</v>
      </c>
      <c r="I51" s="88">
        <v>0</v>
      </c>
      <c r="J51" s="88">
        <f t="shared" si="4"/>
        <v>37.465861499999995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172.99426005961254</v>
      </c>
      <c r="R51" s="90">
        <v>0</v>
      </c>
      <c r="S51" s="90">
        <v>29.9</v>
      </c>
      <c r="T51" s="91">
        <f t="shared" si="9"/>
        <v>180.57974419511413</v>
      </c>
      <c r="U51" s="88">
        <f t="shared" si="11"/>
        <v>184.79178709180613</v>
      </c>
      <c r="V51" s="91">
        <f t="shared" si="6"/>
        <v>3.98004706603921</v>
      </c>
      <c r="W51" s="91">
        <f t="shared" si="12"/>
        <v>5.3357427048345762</v>
      </c>
      <c r="X51" s="91">
        <f t="shared" si="8"/>
        <v>6.8357427048345762</v>
      </c>
      <c r="Y51" s="197" ph="1">
        <v>20</v>
      </c>
      <c r="Z51" s="91" t="str">
        <f t="shared" si="5"/>
        <v>OK</v>
      </c>
    </row>
    <row r="52" spans="1:26" ht="15" customHeight="1" x14ac:dyDescent="0.3">
      <c r="A52" s="87">
        <v>7</v>
      </c>
      <c r="B52" s="87" t="s">
        <v>134</v>
      </c>
      <c r="C52" s="105">
        <v>5.25</v>
      </c>
      <c r="D52" s="87">
        <v>9.9</v>
      </c>
      <c r="E52" s="88">
        <v>0</v>
      </c>
      <c r="F52" s="88">
        <v>0</v>
      </c>
      <c r="G52" s="88">
        <f t="shared" si="2"/>
        <v>0</v>
      </c>
      <c r="H52" s="88">
        <f t="shared" si="3"/>
        <v>27.752489999999995</v>
      </c>
      <c r="I52" s="88">
        <v>0</v>
      </c>
      <c r="J52" s="88">
        <f t="shared" si="4"/>
        <v>37.465861499999995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172.99426005961254</v>
      </c>
      <c r="R52" s="90">
        <v>0</v>
      </c>
      <c r="S52" s="90">
        <v>40.700000000000003</v>
      </c>
      <c r="T52" s="91">
        <f t="shared" si="9"/>
        <v>186.80600636374854</v>
      </c>
      <c r="U52" s="88">
        <f t="shared" si="11"/>
        <v>176.69764627258141</v>
      </c>
      <c r="V52" s="91">
        <f t="shared" si="6"/>
        <v>3.98004706603921</v>
      </c>
      <c r="W52" s="91">
        <f t="shared" si="12"/>
        <v>5.4565838059425023</v>
      </c>
      <c r="X52" s="91">
        <f t="shared" si="8"/>
        <v>6.9565838059425023</v>
      </c>
      <c r="Y52" s="197" ph="1">
        <v>20</v>
      </c>
      <c r="Z52" s="91" t="str">
        <f t="shared" si="5"/>
        <v>OK</v>
      </c>
    </row>
    <row r="53" spans="1:26" ht="15" customHeight="1" x14ac:dyDescent="0.3">
      <c r="A53" s="87">
        <v>8</v>
      </c>
      <c r="B53" s="87" t="s">
        <v>134</v>
      </c>
      <c r="C53" s="105">
        <v>6</v>
      </c>
      <c r="D53" s="87">
        <v>9.9</v>
      </c>
      <c r="E53" s="88">
        <v>0</v>
      </c>
      <c r="F53" s="88">
        <v>0</v>
      </c>
      <c r="G53" s="88">
        <f t="shared" si="2"/>
        <v>0</v>
      </c>
      <c r="H53" s="88">
        <f t="shared" si="3"/>
        <v>27.752489999999995</v>
      </c>
      <c r="I53" s="88">
        <v>0</v>
      </c>
      <c r="J53" s="88">
        <f t="shared" si="4"/>
        <v>37.465861499999995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172.99426005961254</v>
      </c>
      <c r="R53" s="90">
        <v>0</v>
      </c>
      <c r="S53" s="90">
        <v>51.5</v>
      </c>
      <c r="T53" s="91">
        <f t="shared" si="9"/>
        <v>194.63751954228368</v>
      </c>
      <c r="U53" s="88">
        <f t="shared" si="11"/>
        <v>166.51667914048571</v>
      </c>
      <c r="V53" s="91">
        <f t="shared" si="6"/>
        <v>3.98004706603921</v>
      </c>
      <c r="W53" s="91">
        <f t="shared" si="12"/>
        <v>5.6209191875993749</v>
      </c>
      <c r="X53" s="91">
        <f t="shared" si="8"/>
        <v>7.1209191875993749</v>
      </c>
      <c r="Y53" s="197" ph="1">
        <v>20</v>
      </c>
      <c r="Z53" s="91" t="str">
        <f t="shared" si="5"/>
        <v>OK</v>
      </c>
    </row>
    <row r="54" spans="1:26" ht="15" customHeight="1" x14ac:dyDescent="0.3">
      <c r="A54" s="92">
        <v>1</v>
      </c>
      <c r="B54" s="92" t="s">
        <v>135</v>
      </c>
      <c r="C54" s="92">
        <v>0</v>
      </c>
      <c r="D54" s="92">
        <v>0</v>
      </c>
      <c r="E54" s="93">
        <v>0</v>
      </c>
      <c r="F54" s="93">
        <v>0</v>
      </c>
      <c r="G54" s="93">
        <f t="shared" si="2"/>
        <v>0</v>
      </c>
      <c r="H54" s="93">
        <f t="shared" si="3"/>
        <v>127.29946499999998</v>
      </c>
      <c r="I54" s="93">
        <v>0</v>
      </c>
      <c r="J54" s="93">
        <f t="shared" si="4"/>
        <v>171.85427774999999</v>
      </c>
      <c r="K54" s="93">
        <v>355</v>
      </c>
      <c r="L54" s="94">
        <v>0.7</v>
      </c>
      <c r="M54" s="94">
        <v>4</v>
      </c>
      <c r="N54" s="95">
        <v>1</v>
      </c>
      <c r="O54" s="95">
        <v>1.5</v>
      </c>
      <c r="P54" s="95">
        <v>1</v>
      </c>
      <c r="Q54" s="95">
        <v>0</v>
      </c>
      <c r="R54" s="95">
        <v>0</v>
      </c>
      <c r="S54" s="95">
        <v>71</v>
      </c>
      <c r="T54" s="96">
        <f t="shared" si="9"/>
        <v>122.97560733739029</v>
      </c>
      <c r="U54" s="93">
        <f t="shared" si="11"/>
        <v>259.67716500684713</v>
      </c>
      <c r="V54" s="96">
        <f t="shared" si="6"/>
        <v>3.98004706603921</v>
      </c>
      <c r="W54" s="96">
        <f>15.8*N54*L54*SQRT(J54)/SQRT(U54*P54)</f>
        <v>8.9974288261428033</v>
      </c>
      <c r="X54" s="96">
        <f t="shared" si="8"/>
        <v>10.497428826142803</v>
      </c>
      <c r="Y54" s="155" ph="1">
        <v>16</v>
      </c>
      <c r="Z54" s="96" t="str">
        <f t="shared" si="5"/>
        <v>OK</v>
      </c>
    </row>
    <row r="55" spans="1:26" ht="15" customHeight="1" x14ac:dyDescent="0.3">
      <c r="A55" s="92">
        <v>2</v>
      </c>
      <c r="B55" s="92" t="s">
        <v>135</v>
      </c>
      <c r="C55" s="92">
        <v>0</v>
      </c>
      <c r="D55" s="92">
        <v>0.7</v>
      </c>
      <c r="E55" s="93">
        <v>0</v>
      </c>
      <c r="F55" s="93">
        <v>0</v>
      </c>
      <c r="G55" s="93">
        <f t="shared" si="2"/>
        <v>0</v>
      </c>
      <c r="H55" s="93">
        <f t="shared" si="3"/>
        <v>120.26079</v>
      </c>
      <c r="I55" s="93">
        <v>0</v>
      </c>
      <c r="J55" s="93">
        <f t="shared" si="4"/>
        <v>162.35206650000001</v>
      </c>
      <c r="K55" s="93">
        <v>355</v>
      </c>
      <c r="L55" s="94">
        <v>0.7</v>
      </c>
      <c r="M55" s="94">
        <v>4</v>
      </c>
      <c r="N55" s="95">
        <v>1</v>
      </c>
      <c r="O55" s="95">
        <v>1.5</v>
      </c>
      <c r="P55" s="95">
        <v>1</v>
      </c>
      <c r="Q55" s="95">
        <v>0</v>
      </c>
      <c r="R55" s="95">
        <v>0</v>
      </c>
      <c r="S55" s="95">
        <v>81.3</v>
      </c>
      <c r="T55" s="96">
        <f t="shared" si="9"/>
        <v>140.81573065534971</v>
      </c>
      <c r="U55" s="93">
        <f t="shared" si="11"/>
        <v>236.48500469349989</v>
      </c>
      <c r="V55" s="96">
        <f t="shared" si="6"/>
        <v>3.98004706603921</v>
      </c>
      <c r="W55" s="96">
        <f>15.8*N55*L55*SQRT(J55)/SQRT(U55*P55)</f>
        <v>9.1639399270887587</v>
      </c>
      <c r="X55" s="96">
        <f t="shared" si="8"/>
        <v>10.663939927088759</v>
      </c>
      <c r="Y55" s="155" ph="1">
        <v>16</v>
      </c>
      <c r="Z55" s="96" t="str">
        <f t="shared" si="5"/>
        <v>OK</v>
      </c>
    </row>
    <row r="56" spans="1:26" ht="15" customHeight="1" x14ac:dyDescent="0.3">
      <c r="A56" s="92">
        <v>3</v>
      </c>
      <c r="B56" s="92" t="s">
        <v>135</v>
      </c>
      <c r="C56" s="92">
        <v>0</v>
      </c>
      <c r="D56" s="92">
        <v>1.4</v>
      </c>
      <c r="E56" s="93">
        <v>0</v>
      </c>
      <c r="F56" s="93">
        <v>0</v>
      </c>
      <c r="G56" s="93">
        <f t="shared" si="2"/>
        <v>0</v>
      </c>
      <c r="H56" s="93">
        <f t="shared" si="3"/>
        <v>113.22211499999999</v>
      </c>
      <c r="I56" s="93">
        <v>0</v>
      </c>
      <c r="J56" s="93">
        <f t="shared" si="4"/>
        <v>152.84985524999999</v>
      </c>
      <c r="K56" s="93">
        <v>355</v>
      </c>
      <c r="L56" s="94">
        <v>0.7</v>
      </c>
      <c r="M56" s="94">
        <v>4</v>
      </c>
      <c r="N56" s="95">
        <v>1</v>
      </c>
      <c r="O56" s="95">
        <v>1.5</v>
      </c>
      <c r="P56" s="95">
        <v>1</v>
      </c>
      <c r="Q56" s="95">
        <v>0</v>
      </c>
      <c r="R56" s="95">
        <v>0</v>
      </c>
      <c r="S56" s="95">
        <v>90</v>
      </c>
      <c r="T56" s="96">
        <f t="shared" si="9"/>
        <v>155.88457268119896</v>
      </c>
      <c r="U56" s="93">
        <f t="shared" si="11"/>
        <v>216.89551005989586</v>
      </c>
      <c r="V56" s="96">
        <f t="shared" si="6"/>
        <v>3.98004706603921</v>
      </c>
      <c r="W56" s="96">
        <f t="shared" ref="W56:W68" si="15">15.8*N56*L56*SQRT(J56)/SQRT(U56*P56)</f>
        <v>9.284582123111635</v>
      </c>
      <c r="X56" s="96">
        <f t="shared" si="8"/>
        <v>10.784582123111635</v>
      </c>
      <c r="Y56" s="155" ph="1">
        <v>16</v>
      </c>
      <c r="Z56" s="96" t="str">
        <f t="shared" si="5"/>
        <v>OK</v>
      </c>
    </row>
    <row r="57" spans="1:26" ht="15" customHeight="1" x14ac:dyDescent="0.3">
      <c r="A57" s="92">
        <v>4</v>
      </c>
      <c r="B57" s="92" t="s">
        <v>135</v>
      </c>
      <c r="C57" s="92">
        <v>0</v>
      </c>
      <c r="D57" s="92">
        <v>2.0999999999999996</v>
      </c>
      <c r="E57" s="93">
        <v>0</v>
      </c>
      <c r="F57" s="93">
        <v>0</v>
      </c>
      <c r="G57" s="93">
        <f t="shared" si="2"/>
        <v>0</v>
      </c>
      <c r="H57" s="93">
        <f t="shared" si="3"/>
        <v>106.18343999999999</v>
      </c>
      <c r="I57" s="93">
        <v>0</v>
      </c>
      <c r="J57" s="93">
        <f t="shared" si="4"/>
        <v>143.347644</v>
      </c>
      <c r="K57" s="93">
        <v>355</v>
      </c>
      <c r="L57" s="94">
        <v>0.7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97.2</v>
      </c>
      <c r="T57" s="96">
        <f t="shared" si="9"/>
        <v>168.35533849569487</v>
      </c>
      <c r="U57" s="93">
        <f t="shared" si="11"/>
        <v>200.68351450105118</v>
      </c>
      <c r="V57" s="96">
        <f t="shared" si="6"/>
        <v>3.98004706603921</v>
      </c>
      <c r="W57" s="96">
        <f t="shared" si="15"/>
        <v>9.3474802811064954</v>
      </c>
      <c r="X57" s="96">
        <f t="shared" si="8"/>
        <v>10.847480281106495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5</v>
      </c>
      <c r="B58" s="92" t="s">
        <v>135</v>
      </c>
      <c r="C58" s="92">
        <v>0</v>
      </c>
      <c r="D58" s="92">
        <v>2.8</v>
      </c>
      <c r="E58" s="93">
        <v>0</v>
      </c>
      <c r="F58" s="93">
        <v>0</v>
      </c>
      <c r="G58" s="93">
        <f t="shared" si="2"/>
        <v>0</v>
      </c>
      <c r="H58" s="93">
        <f t="shared" si="3"/>
        <v>99.144764999999992</v>
      </c>
      <c r="I58" s="93">
        <v>0</v>
      </c>
      <c r="J58" s="93">
        <f t="shared" si="4"/>
        <v>133.84543274999999</v>
      </c>
      <c r="K58" s="93">
        <v>355</v>
      </c>
      <c r="L58" s="94">
        <v>0.7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102.3</v>
      </c>
      <c r="T58" s="96">
        <f t="shared" si="9"/>
        <v>177.18879761429613</v>
      </c>
      <c r="U58" s="93">
        <f t="shared" si="11"/>
        <v>189.20001764686953</v>
      </c>
      <c r="V58" s="96">
        <f t="shared" si="6"/>
        <v>3.98004706603921</v>
      </c>
      <c r="W58" s="96">
        <f t="shared" si="15"/>
        <v>9.3024280317423447</v>
      </c>
      <c r="X58" s="96">
        <f t="shared" si="8"/>
        <v>10.802428031742345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</v>
      </c>
      <c r="B59" s="92" t="s">
        <v>135</v>
      </c>
      <c r="C59" s="92">
        <v>0</v>
      </c>
      <c r="D59" s="92">
        <v>3.5</v>
      </c>
      <c r="E59" s="93">
        <v>0</v>
      </c>
      <c r="F59" s="93">
        <v>0</v>
      </c>
      <c r="G59" s="93">
        <f t="shared" si="2"/>
        <v>0</v>
      </c>
      <c r="H59" s="93">
        <f t="shared" si="3"/>
        <v>92.106089999999995</v>
      </c>
      <c r="I59" s="93">
        <v>0</v>
      </c>
      <c r="J59" s="93">
        <f t="shared" si="4"/>
        <v>124.3432215</v>
      </c>
      <c r="K59" s="93">
        <v>355</v>
      </c>
      <c r="L59" s="94">
        <v>0.7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106</v>
      </c>
      <c r="T59" s="96">
        <f t="shared" si="9"/>
        <v>183.59738560230099</v>
      </c>
      <c r="U59" s="93">
        <f t="shared" si="11"/>
        <v>180.86885326246323</v>
      </c>
      <c r="V59" s="96">
        <f t="shared" si="6"/>
        <v>3.98004706603921</v>
      </c>
      <c r="W59" s="96">
        <f t="shared" si="15"/>
        <v>9.1703158015607737</v>
      </c>
      <c r="X59" s="96">
        <f t="shared" si="8"/>
        <v>10.670315801560774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7</v>
      </c>
      <c r="B60" s="92" t="s">
        <v>135</v>
      </c>
      <c r="C60" s="92">
        <v>0</v>
      </c>
      <c r="D60" s="92">
        <v>4.2</v>
      </c>
      <c r="E60" s="93">
        <v>0</v>
      </c>
      <c r="F60" s="93">
        <v>0</v>
      </c>
      <c r="G60" s="93">
        <f t="shared" si="2"/>
        <v>0</v>
      </c>
      <c r="H60" s="93">
        <f t="shared" si="3"/>
        <v>85.067414999999997</v>
      </c>
      <c r="I60" s="93">
        <v>0</v>
      </c>
      <c r="J60" s="93">
        <f t="shared" si="4"/>
        <v>114.84101025</v>
      </c>
      <c r="K60" s="93">
        <v>355</v>
      </c>
      <c r="L60" s="94">
        <v>0.7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108.299999999999</v>
      </c>
      <c r="T60" s="96">
        <f t="shared" si="9"/>
        <v>187.58110245970769</v>
      </c>
      <c r="U60" s="93">
        <f t="shared" si="11"/>
        <v>175.69002134783452</v>
      </c>
      <c r="V60" s="96">
        <f t="shared" si="6"/>
        <v>3.98004706603921</v>
      </c>
      <c r="W60" s="96">
        <f t="shared" si="15"/>
        <v>8.9419056128390082</v>
      </c>
      <c r="X60" s="96">
        <f t="shared" si="8"/>
        <v>10.441905612839008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8</v>
      </c>
      <c r="B61" s="92" t="s">
        <v>135</v>
      </c>
      <c r="C61" s="92">
        <v>0</v>
      </c>
      <c r="D61" s="92">
        <v>4.9000000000000004</v>
      </c>
      <c r="E61" s="93">
        <v>0</v>
      </c>
      <c r="F61" s="93">
        <v>0</v>
      </c>
      <c r="G61" s="93">
        <f t="shared" si="2"/>
        <v>0</v>
      </c>
      <c r="H61" s="93">
        <f t="shared" si="3"/>
        <v>78.028739999999985</v>
      </c>
      <c r="I61" s="93">
        <v>0</v>
      </c>
      <c r="J61" s="93">
        <f t="shared" si="4"/>
        <v>105.33879899999998</v>
      </c>
      <c r="K61" s="93">
        <v>355</v>
      </c>
      <c r="L61" s="94">
        <v>0.7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109.3</v>
      </c>
      <c r="T61" s="96">
        <f t="shared" si="9"/>
        <v>189.3131532672783</v>
      </c>
      <c r="U61" s="93">
        <f t="shared" si="11"/>
        <v>173.43835529799273</v>
      </c>
      <c r="V61" s="96">
        <f t="shared" si="6"/>
        <v>3.98004706603921</v>
      </c>
      <c r="W61" s="96">
        <f t="shared" si="15"/>
        <v>8.619394036479914</v>
      </c>
      <c r="X61" s="96">
        <f t="shared" si="8"/>
        <v>10.119394036479914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9</v>
      </c>
      <c r="B62" s="92" t="s">
        <v>135</v>
      </c>
      <c r="C62" s="92">
        <v>0</v>
      </c>
      <c r="D62" s="92">
        <v>5.6000000000000005</v>
      </c>
      <c r="E62" s="93">
        <v>0</v>
      </c>
      <c r="F62" s="93">
        <v>0</v>
      </c>
      <c r="G62" s="93">
        <f t="shared" si="2"/>
        <v>0</v>
      </c>
      <c r="H62" s="93">
        <f t="shared" si="3"/>
        <v>70.990064999999987</v>
      </c>
      <c r="I62" s="93">
        <v>0</v>
      </c>
      <c r="J62" s="93">
        <f t="shared" si="4"/>
        <v>95.836587749999993</v>
      </c>
      <c r="K62" s="93">
        <v>355</v>
      </c>
      <c r="L62" s="94">
        <v>0.7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108.1</v>
      </c>
      <c r="T62" s="96">
        <f t="shared" si="9"/>
        <v>187.23469229819563</v>
      </c>
      <c r="U62" s="93">
        <f t="shared" si="11"/>
        <v>176.14035455780018</v>
      </c>
      <c r="V62" s="96">
        <f t="shared" si="6"/>
        <v>3.98004706603921</v>
      </c>
      <c r="W62" s="96">
        <f t="shared" si="15"/>
        <v>8.1581439663680921</v>
      </c>
      <c r="X62" s="96">
        <f t="shared" si="8"/>
        <v>9.6581439663680921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10</v>
      </c>
      <c r="B63" s="92" t="s">
        <v>135</v>
      </c>
      <c r="C63" s="92">
        <v>0</v>
      </c>
      <c r="D63" s="92">
        <v>6.3000000000000007</v>
      </c>
      <c r="E63" s="93">
        <v>0</v>
      </c>
      <c r="F63" s="93">
        <v>0</v>
      </c>
      <c r="G63" s="93">
        <f t="shared" si="2"/>
        <v>0</v>
      </c>
      <c r="H63" s="93">
        <f t="shared" si="3"/>
        <v>63.951389999999989</v>
      </c>
      <c r="I63" s="93">
        <v>0</v>
      </c>
      <c r="J63" s="93">
        <f t="shared" si="4"/>
        <v>86.334376499999991</v>
      </c>
      <c r="K63" s="93">
        <v>355</v>
      </c>
      <c r="L63" s="94">
        <v>0.7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106.4</v>
      </c>
      <c r="T63" s="96">
        <f t="shared" si="9"/>
        <v>184.29020592532856</v>
      </c>
      <c r="U63" s="93">
        <f t="shared" si="11"/>
        <v>179.96818684252736</v>
      </c>
      <c r="V63" s="96">
        <f t="shared" si="6"/>
        <v>3.98004706603921</v>
      </c>
      <c r="W63" s="96">
        <f t="shared" si="15"/>
        <v>7.6603592055358565</v>
      </c>
      <c r="X63" s="96">
        <f t="shared" si="8"/>
        <v>9.1603592055358565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11</v>
      </c>
      <c r="B64" s="92" t="s">
        <v>135</v>
      </c>
      <c r="C64" s="92">
        <v>0</v>
      </c>
      <c r="D64" s="92">
        <v>7.0000000000000009</v>
      </c>
      <c r="E64" s="93">
        <v>0</v>
      </c>
      <c r="F64" s="93">
        <v>0</v>
      </c>
      <c r="G64" s="93">
        <f t="shared" si="2"/>
        <v>0</v>
      </c>
      <c r="H64" s="93">
        <f t="shared" si="3"/>
        <v>56.912714999999984</v>
      </c>
      <c r="I64" s="93">
        <v>0</v>
      </c>
      <c r="J64" s="93">
        <f t="shared" si="4"/>
        <v>76.832165249999989</v>
      </c>
      <c r="K64" s="93">
        <v>355</v>
      </c>
      <c r="L64" s="94">
        <v>0.7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103.47134295908</v>
      </c>
      <c r="T64" s="96">
        <f t="shared" si="9"/>
        <v>179.21762313251079</v>
      </c>
      <c r="U64" s="93">
        <f t="shared" si="11"/>
        <v>186.56254447319048</v>
      </c>
      <c r="V64" s="96">
        <f t="shared" si="6"/>
        <v>3.98004706603921</v>
      </c>
      <c r="W64" s="96">
        <f t="shared" si="15"/>
        <v>7.0976476377768405</v>
      </c>
      <c r="X64" s="96">
        <f t="shared" si="8"/>
        <v>8.5976476377768414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12</v>
      </c>
      <c r="B65" s="92" t="s">
        <v>135</v>
      </c>
      <c r="C65" s="92">
        <v>0</v>
      </c>
      <c r="D65" s="92">
        <v>7.8</v>
      </c>
      <c r="E65" s="93">
        <v>0</v>
      </c>
      <c r="F65" s="93">
        <v>0</v>
      </c>
      <c r="G65" s="93">
        <f t="shared" si="2"/>
        <v>0</v>
      </c>
      <c r="H65" s="93">
        <f t="shared" si="3"/>
        <v>48.868515000000002</v>
      </c>
      <c r="I65" s="93">
        <v>0</v>
      </c>
      <c r="J65" s="93">
        <f t="shared" si="4"/>
        <v>65.972495250000009</v>
      </c>
      <c r="K65" s="93">
        <v>355</v>
      </c>
      <c r="L65" s="94">
        <v>0.7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98.199999999999903</v>
      </c>
      <c r="T65" s="96">
        <f t="shared" si="9"/>
        <v>170.08738930326359</v>
      </c>
      <c r="U65" s="93">
        <f t="shared" si="11"/>
        <v>198.43184845121183</v>
      </c>
      <c r="V65" s="96">
        <f t="shared" si="6"/>
        <v>3.98004706603921</v>
      </c>
      <c r="W65" s="96">
        <f t="shared" si="15"/>
        <v>6.3772125668622328</v>
      </c>
      <c r="X65" s="96">
        <f t="shared" si="8"/>
        <v>7.8772125668622328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13</v>
      </c>
      <c r="B66" s="92" t="s">
        <v>135</v>
      </c>
      <c r="C66" s="92">
        <v>0</v>
      </c>
      <c r="D66" s="92">
        <v>8.5</v>
      </c>
      <c r="E66" s="93">
        <v>0</v>
      </c>
      <c r="F66" s="93">
        <v>0</v>
      </c>
      <c r="G66" s="93">
        <f t="shared" si="2"/>
        <v>0</v>
      </c>
      <c r="H66" s="93">
        <f t="shared" si="3"/>
        <v>41.829839999999997</v>
      </c>
      <c r="I66" s="93">
        <v>0</v>
      </c>
      <c r="J66" s="93">
        <f t="shared" si="4"/>
        <v>56.470283999999999</v>
      </c>
      <c r="K66" s="93">
        <v>355</v>
      </c>
      <c r="L66" s="94">
        <v>0.7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92.199999999999903</v>
      </c>
      <c r="T66" s="96">
        <f t="shared" si="9"/>
        <v>159.69508445785033</v>
      </c>
      <c r="U66" s="93">
        <f t="shared" si="11"/>
        <v>211.94184475024909</v>
      </c>
      <c r="V66" s="96">
        <f t="shared" si="6"/>
        <v>3.98004706603921</v>
      </c>
      <c r="W66" s="96">
        <f t="shared" si="15"/>
        <v>5.7089568152632921</v>
      </c>
      <c r="X66" s="96">
        <f t="shared" si="8"/>
        <v>7.2089568152632921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14</v>
      </c>
      <c r="B67" s="92" t="s">
        <v>135</v>
      </c>
      <c r="C67" s="92">
        <v>0</v>
      </c>
      <c r="D67" s="92">
        <v>9.1999999999999993</v>
      </c>
      <c r="E67" s="93">
        <v>0</v>
      </c>
      <c r="F67" s="93">
        <v>0</v>
      </c>
      <c r="G67" s="93">
        <f t="shared" si="2"/>
        <v>0</v>
      </c>
      <c r="H67" s="93">
        <f t="shared" si="3"/>
        <v>34.791165000000007</v>
      </c>
      <c r="I67" s="93">
        <v>0</v>
      </c>
      <c r="J67" s="93">
        <f t="shared" si="4"/>
        <v>46.968072750000012</v>
      </c>
      <c r="K67" s="93">
        <v>355</v>
      </c>
      <c r="L67" s="94">
        <v>0.7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84.9</v>
      </c>
      <c r="T67" s="96">
        <f t="shared" si="9"/>
        <v>147.05111356259769</v>
      </c>
      <c r="U67" s="93">
        <f t="shared" si="11"/>
        <v>228.37900691407751</v>
      </c>
      <c r="V67" s="96">
        <f t="shared" si="6"/>
        <v>3.98004706603921</v>
      </c>
      <c r="W67" s="96">
        <f t="shared" si="15"/>
        <v>5.0156636717813239</v>
      </c>
      <c r="X67" s="96">
        <f t="shared" si="8"/>
        <v>6.5156636717813239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15</v>
      </c>
      <c r="B68" s="92" t="s">
        <v>135</v>
      </c>
      <c r="C68" s="92">
        <v>0</v>
      </c>
      <c r="D68" s="92">
        <v>9.9</v>
      </c>
      <c r="E68" s="93">
        <v>0</v>
      </c>
      <c r="F68" s="93">
        <v>0</v>
      </c>
      <c r="G68" s="93">
        <f t="shared" si="2"/>
        <v>0</v>
      </c>
      <c r="H68" s="93">
        <f t="shared" si="3"/>
        <v>27.752489999999995</v>
      </c>
      <c r="I68" s="93">
        <v>0</v>
      </c>
      <c r="J68" s="93">
        <f t="shared" si="4"/>
        <v>37.465861499999995</v>
      </c>
      <c r="K68" s="93">
        <v>355</v>
      </c>
      <c r="L68" s="94">
        <v>0.7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78.5</v>
      </c>
      <c r="T68" s="96">
        <f t="shared" si="9"/>
        <v>135.96598839415688</v>
      </c>
      <c r="U68" s="93">
        <f t="shared" si="11"/>
        <v>242.78966963305055</v>
      </c>
      <c r="V68" s="96">
        <f t="shared" si="6"/>
        <v>3.98004706603921</v>
      </c>
      <c r="W68" s="96">
        <f t="shared" si="15"/>
        <v>4.3446809184722133</v>
      </c>
      <c r="X68" s="96">
        <f t="shared" si="8"/>
        <v>5.8446809184722133</v>
      </c>
      <c r="Y68" s="155" ph="1">
        <v>16</v>
      </c>
      <c r="Z68" s="96" t="str">
        <f t="shared" si="5"/>
        <v>OK</v>
      </c>
    </row>
    <row r="69" spans="1:26" ht="15" customHeight="1" x14ac:dyDescent="0.45"/>
    <row r="70" spans="1:26" ht="15" customHeight="1" x14ac:dyDescent="0.45">
      <c r="A70" s="4" t="s">
        <v>136</v>
      </c>
    </row>
    <row r="71" spans="1:26" ht="15" customHeight="1" x14ac:dyDescent="0.45">
      <c r="A71" s="4" t="s">
        <v>137</v>
      </c>
    </row>
    <row r="72" spans="1:26" ht="15" customHeight="1" x14ac:dyDescent="0.45"/>
    <row r="73" spans="1:26" ht="15" customHeight="1" x14ac:dyDescent="0.45"/>
    <row r="74" spans="1:26" ht="15" customHeight="1" x14ac:dyDescent="0.45"/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8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Z82"/>
  <sheetViews>
    <sheetView showGridLines="0" topLeftCell="A4" zoomScale="130" zoomScaleNormal="130" workbookViewId="0">
      <selection activeCell="Q30" sqref="Q30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26" width="5.33203125" style="4"/>
    <col min="27" max="27" width="6.4140625" style="4" bestFit="1" customWidth="1"/>
    <col min="28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201"/>
      <c r="G1" s="201"/>
      <c r="H1" s="201"/>
      <c r="I1" s="201"/>
      <c r="J1" s="201"/>
      <c r="K1" s="201"/>
      <c r="L1" s="201"/>
      <c r="M1" s="201"/>
      <c r="N1" s="202"/>
    </row>
    <row r="2" spans="1:15" ht="12" customHeight="1" x14ac:dyDescent="0.45">
      <c r="A2" s="69"/>
      <c r="F2" s="203"/>
      <c r="G2" s="203"/>
      <c r="H2" s="203"/>
      <c r="I2" s="203"/>
      <c r="J2" s="203"/>
      <c r="K2" s="203"/>
      <c r="L2" s="203"/>
      <c r="M2" s="203"/>
      <c r="N2" s="204"/>
    </row>
    <row r="3" spans="1:15" ht="12" customHeight="1" x14ac:dyDescent="0.45">
      <c r="A3" s="69"/>
      <c r="F3" s="203"/>
      <c r="G3" s="203"/>
      <c r="H3" s="203"/>
      <c r="I3" s="203"/>
      <c r="J3" s="203"/>
      <c r="K3" s="203"/>
      <c r="L3" s="203"/>
      <c r="M3" s="203"/>
      <c r="N3" s="204"/>
    </row>
    <row r="4" spans="1:15" ht="12" customHeight="1" x14ac:dyDescent="0.45">
      <c r="A4" s="69"/>
      <c r="F4" s="203" t="s">
        <v>64</v>
      </c>
      <c r="G4" s="203"/>
      <c r="H4" s="203"/>
      <c r="I4" s="203"/>
      <c r="J4" s="203"/>
      <c r="K4" s="203"/>
      <c r="L4" s="203"/>
      <c r="M4" s="203"/>
      <c r="N4" s="204"/>
    </row>
    <row r="5" spans="1:15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211">
        <f>'Global Strength'!G10</f>
        <v>731745</v>
      </c>
      <c r="N11" s="211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212">
        <f>'Global Strength'!G6</f>
        <v>16.735299999999999</v>
      </c>
      <c r="N12" s="212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212">
        <f>'Global Strength'!G5</f>
        <v>4.7640000000000002</v>
      </c>
      <c r="N13" s="212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  <c r="M14" s="211"/>
      <c r="N14" s="211"/>
    </row>
    <row r="15" spans="1:15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211">
        <f>'Global Strength'!G27</f>
        <v>48421.40625</v>
      </c>
      <c r="N15" s="211"/>
      <c r="O15" s="5" t="s">
        <v>93</v>
      </c>
    </row>
    <row r="16" spans="1:15" ht="12" customHeight="1" x14ac:dyDescent="0.3">
      <c r="F16" s="5"/>
      <c r="G16" s="5"/>
      <c r="M16" s="99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7" t="s">
        <v>101</v>
      </c>
      <c r="B21" s="207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8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7"/>
      <c r="B22" s="207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8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>$M$11/ABS(($M$12/(D23-$M$13)))/1000</f>
        <v>208.30419412857853</v>
      </c>
      <c r="R23" s="65">
        <v>0</v>
      </c>
      <c r="S23" s="65">
        <v>-29.3</v>
      </c>
      <c r="T23" s="60">
        <f t="shared" ref="T23:T24" si="0">SQRT(Q23^2+R23^2-Q23*R23+3*S23^2)</f>
        <v>214.39707855182291</v>
      </c>
      <c r="U23" s="59">
        <f>MIN(K23/$F$7,1.3*(K23/$F$7-T23))</f>
        <v>140.82925242808471</v>
      </c>
      <c r="V23" s="60">
        <f>14.3*$F$8/SQRT(K23/$F$7)</f>
        <v>3.98004706603921</v>
      </c>
      <c r="W23" s="60">
        <f>15.8*N23*L23*SQRT(J23)/SQRT(U23*P23)</f>
        <v>13.090374967015828</v>
      </c>
      <c r="X23" s="60">
        <f>MAX(V23,W23)+O23</f>
        <v>14.590374967015828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1.5</v>
      </c>
      <c r="D24" s="58">
        <v>0</v>
      </c>
      <c r="E24" s="59">
        <v>0</v>
      </c>
      <c r="F24" s="59">
        <v>0</v>
      </c>
      <c r="G24" s="59">
        <f t="shared" ref="G24:G64" si="1">E24*$F$18+F24*$F$17</f>
        <v>0</v>
      </c>
      <c r="H24" s="60">
        <f t="shared" ref="H24:H64" si="2">1.025*9.81*(($F$10+0.76)-D24)</f>
        <v>127.29946499999998</v>
      </c>
      <c r="I24" s="59">
        <v>0</v>
      </c>
      <c r="J24" s="59">
        <f t="shared" ref="J24:J64" si="3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ref="Q24:Q43" si="4">$M$11/ABS(($M$12/(D24-$M$13)))/1000</f>
        <v>208.30419412857853</v>
      </c>
      <c r="R24" s="65">
        <v>0</v>
      </c>
      <c r="S24" s="65">
        <v>-13.5</v>
      </c>
      <c r="T24" s="60">
        <f t="shared" si="0"/>
        <v>209.61246931315065</v>
      </c>
      <c r="U24" s="59">
        <f>MIN(K24/$F$7,1.3*(K24/$F$7-T24))</f>
        <v>147.04924443835864</v>
      </c>
      <c r="V24" s="60">
        <f>14.3*$F$8/SQRT(K24/$F$7)</f>
        <v>3.98004706603921</v>
      </c>
      <c r="W24" s="60">
        <f>15.8*N24*L24*SQRT(J24)/SQRT(U24*P24)</f>
        <v>12.810530805001985</v>
      </c>
      <c r="X24" s="60">
        <f>MAX(V24,W24)+O24</f>
        <v>14.310530805001985</v>
      </c>
      <c r="Y24" s="146">
        <v>16</v>
      </c>
      <c r="Z24" s="60" t="str">
        <f t="shared" ref="Z24:Z64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2.25</v>
      </c>
      <c r="D25" s="58">
        <v>0</v>
      </c>
      <c r="E25" s="59">
        <v>0</v>
      </c>
      <c r="F25" s="59">
        <v>0</v>
      </c>
      <c r="G25" s="59">
        <f t="shared" si="1"/>
        <v>0</v>
      </c>
      <c r="H25" s="60">
        <f t="shared" si="2"/>
        <v>127.29946499999998</v>
      </c>
      <c r="I25" s="59">
        <v>0</v>
      </c>
      <c r="J25" s="59">
        <f t="shared" si="3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4"/>
        <v>208.30419412857853</v>
      </c>
      <c r="R25" s="65">
        <v>0</v>
      </c>
      <c r="S25" s="65">
        <v>2.2999999999999998</v>
      </c>
      <c r="T25" s="60">
        <f>SQRT(Q25^2+R25^2-Q25*R25+3*S25^2)</f>
        <v>208.3422839741288</v>
      </c>
      <c r="U25" s="59">
        <f>MIN(K25/$F$7,1.3*(K25/$F$7-T25))</f>
        <v>148.70048537908707</v>
      </c>
      <c r="V25" s="60">
        <f t="shared" ref="V25:V64" si="6">14.3*$F$8/SQRT(K25/$F$7)</f>
        <v>3.98004706603921</v>
      </c>
      <c r="W25" s="60">
        <f t="shared" ref="W25:W30" si="7">15.8*N25*L25*SQRT(J25)/SQRT(U25*P25)</f>
        <v>12.739205129044414</v>
      </c>
      <c r="X25" s="60">
        <f t="shared" ref="X25:X64" si="8">MAX(V25,W25)+O25</f>
        <v>14.239205129044414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</v>
      </c>
      <c r="D26" s="58">
        <v>0</v>
      </c>
      <c r="E26" s="59">
        <v>0</v>
      </c>
      <c r="F26" s="59">
        <v>0</v>
      </c>
      <c r="G26" s="59">
        <f t="shared" si="1"/>
        <v>0</v>
      </c>
      <c r="H26" s="60">
        <f t="shared" si="2"/>
        <v>127.29946499999998</v>
      </c>
      <c r="I26" s="59">
        <v>0</v>
      </c>
      <c r="J26" s="59">
        <f t="shared" si="3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4"/>
        <v>208.30419412857853</v>
      </c>
      <c r="R26" s="65">
        <v>0</v>
      </c>
      <c r="S26" s="65">
        <v>18.100000000000001</v>
      </c>
      <c r="T26" s="60">
        <f t="shared" ref="T26:T64" si="9">SQRT(Q26^2+R26^2-Q26*R26+3*S26^2)</f>
        <v>210.65010631745841</v>
      </c>
      <c r="U26" s="59">
        <f>MIN(K26/$F$7,1.3*(K26/$F$7-T26))</f>
        <v>145.70031633275858</v>
      </c>
      <c r="V26" s="60">
        <f t="shared" si="6"/>
        <v>3.98004706603921</v>
      </c>
      <c r="W26" s="60">
        <f t="shared" si="7"/>
        <v>12.869695647130117</v>
      </c>
      <c r="X26" s="60">
        <f>MAX(V26,W26)+O26</f>
        <v>14.369695647130117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3.75</v>
      </c>
      <c r="D27" s="58">
        <v>0</v>
      </c>
      <c r="E27" s="59">
        <v>0</v>
      </c>
      <c r="F27" s="59">
        <v>0</v>
      </c>
      <c r="G27" s="59">
        <f t="shared" si="1"/>
        <v>0</v>
      </c>
      <c r="H27" s="60">
        <f t="shared" si="2"/>
        <v>127.29946499999998</v>
      </c>
      <c r="I27" s="59">
        <v>0</v>
      </c>
      <c r="J27" s="59">
        <f t="shared" si="3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4"/>
        <v>208.30419412857853</v>
      </c>
      <c r="R27" s="65">
        <v>0</v>
      </c>
      <c r="S27" s="65">
        <v>34</v>
      </c>
      <c r="T27" s="60">
        <f t="shared" si="9"/>
        <v>216.46855959135621</v>
      </c>
      <c r="U27" s="59">
        <f>MIN(K27/$F$7,1.3*(K27/$F$7-T27))</f>
        <v>138.13632707669143</v>
      </c>
      <c r="V27" s="60">
        <f t="shared" si="6"/>
        <v>3.98004706603921</v>
      </c>
      <c r="W27" s="60">
        <f t="shared" si="7"/>
        <v>13.217355515978708</v>
      </c>
      <c r="X27" s="60">
        <f t="shared" si="8"/>
        <v>14.717355515978708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4.5</v>
      </c>
      <c r="D28" s="58">
        <v>0</v>
      </c>
      <c r="E28" s="59">
        <v>0</v>
      </c>
      <c r="F28" s="59">
        <v>0</v>
      </c>
      <c r="G28" s="59">
        <f t="shared" si="1"/>
        <v>0</v>
      </c>
      <c r="H28" s="60">
        <f t="shared" si="2"/>
        <v>127.29946499999998</v>
      </c>
      <c r="I28" s="59">
        <v>0</v>
      </c>
      <c r="J28" s="59">
        <f t="shared" si="3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4"/>
        <v>208.30419412857853</v>
      </c>
      <c r="R28" s="65">
        <v>0</v>
      </c>
      <c r="S28" s="65">
        <v>49.8</v>
      </c>
      <c r="T28" s="60">
        <f t="shared" si="9"/>
        <v>225.4567747741383</v>
      </c>
      <c r="U28" s="59">
        <f t="shared" ref="U28:U30" si="10">MIN(K28/$F$7,1.3*(K28/$F$7-T28))</f>
        <v>126.45164733907473</v>
      </c>
      <c r="V28" s="60">
        <f t="shared" si="6"/>
        <v>3.98004706603921</v>
      </c>
      <c r="W28" s="60">
        <f t="shared" si="7"/>
        <v>13.814535223707848</v>
      </c>
      <c r="X28" s="60">
        <f t="shared" si="8"/>
        <v>15.314535223707848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5.25</v>
      </c>
      <c r="D29" s="58">
        <v>0</v>
      </c>
      <c r="E29" s="59">
        <v>0</v>
      </c>
      <c r="F29" s="59">
        <v>0</v>
      </c>
      <c r="G29" s="59">
        <f t="shared" si="1"/>
        <v>0</v>
      </c>
      <c r="H29" s="60">
        <f t="shared" si="2"/>
        <v>127.29946499999998</v>
      </c>
      <c r="I29" s="59">
        <v>0</v>
      </c>
      <c r="J29" s="59">
        <f t="shared" si="3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4"/>
        <v>208.30419412857853</v>
      </c>
      <c r="R29" s="65">
        <v>0</v>
      </c>
      <c r="S29" s="65">
        <v>65.599999999999994</v>
      </c>
      <c r="T29" s="60">
        <f t="shared" si="9"/>
        <v>237.27772186102203</v>
      </c>
      <c r="U29" s="59">
        <f t="shared" si="10"/>
        <v>111.08441612612586</v>
      </c>
      <c r="V29" s="60">
        <f t="shared" si="6"/>
        <v>3.98004706603921</v>
      </c>
      <c r="W29" s="60">
        <f t="shared" si="7"/>
        <v>14.739133601326412</v>
      </c>
      <c r="X29" s="60">
        <f t="shared" si="8"/>
        <v>16.239133601326412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6</v>
      </c>
      <c r="D30" s="58">
        <v>0</v>
      </c>
      <c r="E30" s="59">
        <v>0</v>
      </c>
      <c r="F30" s="59">
        <v>0</v>
      </c>
      <c r="G30" s="59">
        <f t="shared" si="1"/>
        <v>0</v>
      </c>
      <c r="H30" s="60">
        <f t="shared" si="2"/>
        <v>127.29946499999998</v>
      </c>
      <c r="I30" s="59">
        <v>0</v>
      </c>
      <c r="J30" s="59">
        <f t="shared" si="3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4"/>
        <v>208.30419412857853</v>
      </c>
      <c r="R30" s="65">
        <v>0</v>
      </c>
      <c r="S30" s="65">
        <v>75.7</v>
      </c>
      <c r="T30" s="60">
        <f t="shared" si="9"/>
        <v>246.13432773905498</v>
      </c>
      <c r="U30" s="59">
        <f t="shared" si="10"/>
        <v>99.57082848468302</v>
      </c>
      <c r="V30" s="60">
        <f t="shared" si="6"/>
        <v>3.98004706603921</v>
      </c>
      <c r="W30" s="60">
        <f t="shared" si="7"/>
        <v>15.567987114512599</v>
      </c>
      <c r="X30" s="60">
        <f t="shared" si="8"/>
        <v>17.067987114512597</v>
      </c>
      <c r="Y30" s="146">
        <v>16</v>
      </c>
      <c r="Z30" s="60" t="str">
        <f t="shared" si="5"/>
        <v>N.G</v>
      </c>
    </row>
    <row r="31" spans="1:26" ht="12" customHeight="1" x14ac:dyDescent="0.3">
      <c r="A31" s="82">
        <v>9</v>
      </c>
      <c r="B31" s="82" t="s">
        <v>133</v>
      </c>
      <c r="C31" s="82">
        <v>6</v>
      </c>
      <c r="D31" s="198">
        <v>0</v>
      </c>
      <c r="E31" s="83">
        <v>0</v>
      </c>
      <c r="F31" s="83">
        <v>0</v>
      </c>
      <c r="G31" s="83">
        <f t="shared" si="1"/>
        <v>0</v>
      </c>
      <c r="H31" s="86">
        <f>1.025*9.81*(($F$10+0.76)-D31)</f>
        <v>127.29946499999998</v>
      </c>
      <c r="I31" s="83">
        <v>0</v>
      </c>
      <c r="J31" s="83">
        <f t="shared" si="3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4"/>
        <v>208.30419412857853</v>
      </c>
      <c r="R31" s="85">
        <v>0</v>
      </c>
      <c r="S31" s="85">
        <v>75.7</v>
      </c>
      <c r="T31" s="86">
        <f>SQRT(Q31^2+R31^2-Q31*R31+3*S31^2)</f>
        <v>246.13432773905498</v>
      </c>
      <c r="U31" s="83">
        <f>MIN(K31/$F$7,1.3*(K31/$F$7-T31))</f>
        <v>99.57082848468302</v>
      </c>
      <c r="V31" s="86">
        <f>14.3*$F$8/SQRT(K31/$F$7)</f>
        <v>3.98004706603921</v>
      </c>
      <c r="W31" s="86">
        <f>15.8*N31*L31*SQRT(J31)/SQRT(U31*P31)</f>
        <v>14.530121306878423</v>
      </c>
      <c r="X31" s="86">
        <f t="shared" si="8"/>
        <v>16.030121306878421</v>
      </c>
      <c r="Y31" s="19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10</v>
      </c>
      <c r="B32" s="82" t="s">
        <v>133</v>
      </c>
      <c r="C32" s="82">
        <v>6</v>
      </c>
      <c r="D32" s="198">
        <v>0.7</v>
      </c>
      <c r="E32" s="83">
        <v>0</v>
      </c>
      <c r="F32" s="83">
        <v>0</v>
      </c>
      <c r="G32" s="83">
        <f t="shared" si="1"/>
        <v>0</v>
      </c>
      <c r="H32" s="86">
        <f t="shared" si="2"/>
        <v>120.26079</v>
      </c>
      <c r="I32" s="83">
        <v>0</v>
      </c>
      <c r="J32" s="83">
        <f t="shared" si="3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4"/>
        <v>177.69694478139024</v>
      </c>
      <c r="R32" s="85">
        <v>0</v>
      </c>
      <c r="S32" s="85">
        <v>88.6</v>
      </c>
      <c r="T32" s="86">
        <f t="shared" si="9"/>
        <v>234.78944649332186</v>
      </c>
      <c r="U32" s="83">
        <f t="shared" ref="U32:U64" si="11">MIN(K32/$F$7,1.3*(K32/$F$7-T32))</f>
        <v>114.31917410413608</v>
      </c>
      <c r="V32" s="86">
        <f t="shared" si="6"/>
        <v>3.98004706603921</v>
      </c>
      <c r="W32" s="86">
        <f t="shared" ref="W32:W51" si="12">15.8*N32*L32*SQRT(J32)/SQRT(U32*P32)</f>
        <v>13.180275807605897</v>
      </c>
      <c r="X32" s="86">
        <f t="shared" si="8"/>
        <v>14.680275807605897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11</v>
      </c>
      <c r="B33" s="82" t="s">
        <v>133</v>
      </c>
      <c r="C33" s="82">
        <v>6</v>
      </c>
      <c r="D33" s="198">
        <v>1.4</v>
      </c>
      <c r="E33" s="83">
        <v>0</v>
      </c>
      <c r="F33" s="83">
        <v>0</v>
      </c>
      <c r="G33" s="83">
        <f t="shared" si="1"/>
        <v>0</v>
      </c>
      <c r="H33" s="86">
        <f t="shared" si="2"/>
        <v>113.22211499999999</v>
      </c>
      <c r="I33" s="83">
        <v>0</v>
      </c>
      <c r="J33" s="83">
        <f t="shared" si="3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4"/>
        <v>147.08969543420199</v>
      </c>
      <c r="R33" s="85">
        <v>0</v>
      </c>
      <c r="S33" s="85">
        <v>99.3</v>
      </c>
      <c r="T33" s="86">
        <f t="shared" si="9"/>
        <v>226.31139720068521</v>
      </c>
      <c r="U33" s="83">
        <f t="shared" si="11"/>
        <v>125.34063818456373</v>
      </c>
      <c r="V33" s="86">
        <f t="shared" si="6"/>
        <v>3.98004706603921</v>
      </c>
      <c r="W33" s="86">
        <f t="shared" si="12"/>
        <v>12.213543739316197</v>
      </c>
      <c r="X33" s="86">
        <f t="shared" si="8"/>
        <v>13.713543739316197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12</v>
      </c>
      <c r="B34" s="82" t="s">
        <v>133</v>
      </c>
      <c r="C34" s="82">
        <v>6</v>
      </c>
      <c r="D34" s="198">
        <f>D33+0.7</f>
        <v>2.0999999999999996</v>
      </c>
      <c r="E34" s="83">
        <v>0</v>
      </c>
      <c r="F34" s="83">
        <v>0</v>
      </c>
      <c r="G34" s="83">
        <f t="shared" si="1"/>
        <v>0</v>
      </c>
      <c r="H34" s="86">
        <f t="shared" si="2"/>
        <v>106.18343999999999</v>
      </c>
      <c r="I34" s="83">
        <v>0</v>
      </c>
      <c r="J34" s="83">
        <f t="shared" si="3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4"/>
        <v>116.4824460870137</v>
      </c>
      <c r="R34" s="85">
        <v>0</v>
      </c>
      <c r="S34" s="85">
        <v>108</v>
      </c>
      <c r="T34" s="86">
        <f t="shared" si="9"/>
        <v>220.36369992903562</v>
      </c>
      <c r="U34" s="83">
        <f t="shared" si="11"/>
        <v>133.07264463770821</v>
      </c>
      <c r="V34" s="86">
        <f t="shared" si="6"/>
        <v>3.98004706603921</v>
      </c>
      <c r="W34" s="86">
        <f t="shared" si="12"/>
        <v>11.479051721767481</v>
      </c>
      <c r="X34" s="86">
        <f t="shared" si="8"/>
        <v>12.979051721767481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13</v>
      </c>
      <c r="B35" s="82" t="s">
        <v>133</v>
      </c>
      <c r="C35" s="82">
        <v>6</v>
      </c>
      <c r="D35" s="198">
        <f t="shared" ref="D35:D40" si="13">D34+0.7</f>
        <v>2.8</v>
      </c>
      <c r="E35" s="83">
        <v>0</v>
      </c>
      <c r="F35" s="83">
        <v>0</v>
      </c>
      <c r="G35" s="83">
        <f t="shared" si="1"/>
        <v>0</v>
      </c>
      <c r="H35" s="86">
        <f t="shared" si="2"/>
        <v>99.144764999999992</v>
      </c>
      <c r="I35" s="83">
        <v>0</v>
      </c>
      <c r="J35" s="83">
        <f t="shared" si="3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4"/>
        <v>85.875196739825427</v>
      </c>
      <c r="R35" s="85">
        <v>0</v>
      </c>
      <c r="S35" s="85">
        <v>113.9</v>
      </c>
      <c r="T35" s="86">
        <f t="shared" si="9"/>
        <v>215.1608222123715</v>
      </c>
      <c r="U35" s="83">
        <f t="shared" si="11"/>
        <v>139.83638566937157</v>
      </c>
      <c r="V35" s="86">
        <f t="shared" si="6"/>
        <v>3.98004706603921</v>
      </c>
      <c r="W35" s="86">
        <f t="shared" si="12"/>
        <v>10.820487058097099</v>
      </c>
      <c r="X35" s="86">
        <f t="shared" si="8"/>
        <v>12.320487058097099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14</v>
      </c>
      <c r="B36" s="82" t="s">
        <v>133</v>
      </c>
      <c r="C36" s="82">
        <v>6</v>
      </c>
      <c r="D36" s="198">
        <f t="shared" si="13"/>
        <v>3.5</v>
      </c>
      <c r="E36" s="83">
        <v>0</v>
      </c>
      <c r="F36" s="83">
        <v>0</v>
      </c>
      <c r="G36" s="83">
        <f t="shared" si="1"/>
        <v>0</v>
      </c>
      <c r="H36" s="86">
        <f t="shared" si="2"/>
        <v>92.106089999999995</v>
      </c>
      <c r="I36" s="83">
        <v>0</v>
      </c>
      <c r="J36" s="83">
        <f t="shared" si="3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4"/>
        <v>55.267947392637133</v>
      </c>
      <c r="R36" s="85">
        <v>0</v>
      </c>
      <c r="S36" s="85">
        <v>117.9</v>
      </c>
      <c r="T36" s="86">
        <f t="shared" si="9"/>
        <v>211.55560973180386</v>
      </c>
      <c r="U36" s="83">
        <f t="shared" si="11"/>
        <v>144.52316189410948</v>
      </c>
      <c r="V36" s="86">
        <f t="shared" si="6"/>
        <v>3.98004706603921</v>
      </c>
      <c r="W36" s="86">
        <f t="shared" si="12"/>
        <v>10.258821118706541</v>
      </c>
      <c r="X36" s="86">
        <f t="shared" si="8"/>
        <v>11.758821118706541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15</v>
      </c>
      <c r="B37" s="82" t="s">
        <v>133</v>
      </c>
      <c r="C37" s="82">
        <v>6</v>
      </c>
      <c r="D37" s="198">
        <f t="shared" si="13"/>
        <v>4.2</v>
      </c>
      <c r="E37" s="83">
        <v>0</v>
      </c>
      <c r="F37" s="83">
        <v>0</v>
      </c>
      <c r="G37" s="83">
        <f t="shared" si="1"/>
        <v>0</v>
      </c>
      <c r="H37" s="86">
        <f t="shared" si="2"/>
        <v>85.067414999999997</v>
      </c>
      <c r="I37" s="83">
        <v>0</v>
      </c>
      <c r="J37" s="83">
        <f t="shared" si="3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4"/>
        <v>24.660698045448846</v>
      </c>
      <c r="R37" s="85">
        <v>0</v>
      </c>
      <c r="S37" s="85">
        <v>120.099999999999</v>
      </c>
      <c r="T37" s="86">
        <f t="shared" si="9"/>
        <v>209.47596527546563</v>
      </c>
      <c r="U37" s="83">
        <f t="shared" si="11"/>
        <v>147.2266996873492</v>
      </c>
      <c r="V37" s="86">
        <f t="shared" si="6"/>
        <v>3.98004706603921</v>
      </c>
      <c r="W37" s="86">
        <f t="shared" si="12"/>
        <v>9.7681054813693997</v>
      </c>
      <c r="X37" s="86">
        <f t="shared" si="8"/>
        <v>11.2681054813694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16</v>
      </c>
      <c r="B38" s="82" t="s">
        <v>133</v>
      </c>
      <c r="C38" s="82">
        <v>6</v>
      </c>
      <c r="D38" s="198">
        <f t="shared" si="13"/>
        <v>4.9000000000000004</v>
      </c>
      <c r="E38" s="83">
        <v>0</v>
      </c>
      <c r="F38" s="83">
        <v>0</v>
      </c>
      <c r="G38" s="83">
        <f t="shared" si="1"/>
        <v>0</v>
      </c>
      <c r="H38" s="86">
        <f t="shared" si="2"/>
        <v>78.028739999999985</v>
      </c>
      <c r="I38" s="83">
        <v>0</v>
      </c>
      <c r="J38" s="83">
        <f t="shared" si="3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4"/>
        <v>5.9465513017394427</v>
      </c>
      <c r="R38" s="85">
        <v>0</v>
      </c>
      <c r="S38" s="85">
        <v>120.4</v>
      </c>
      <c r="T38" s="86">
        <f t="shared" si="9"/>
        <v>208.62368387214386</v>
      </c>
      <c r="U38" s="83">
        <f t="shared" si="11"/>
        <v>148.33466551166748</v>
      </c>
      <c r="V38" s="86">
        <f t="shared" si="6"/>
        <v>3.98004706603921</v>
      </c>
      <c r="W38" s="86">
        <f t="shared" si="12"/>
        <v>9.3202589745755571</v>
      </c>
      <c r="X38" s="86">
        <f t="shared" si="8"/>
        <v>10.820258974575557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17</v>
      </c>
      <c r="B39" s="82" t="s">
        <v>133</v>
      </c>
      <c r="C39" s="82">
        <v>6</v>
      </c>
      <c r="D39" s="198">
        <f t="shared" si="13"/>
        <v>5.6000000000000005</v>
      </c>
      <c r="E39" s="83">
        <v>0</v>
      </c>
      <c r="F39" s="83">
        <v>0</v>
      </c>
      <c r="G39" s="83">
        <f t="shared" si="1"/>
        <v>0</v>
      </c>
      <c r="H39" s="86">
        <f t="shared" si="2"/>
        <v>70.990064999999987</v>
      </c>
      <c r="I39" s="83">
        <v>0</v>
      </c>
      <c r="J39" s="83">
        <f t="shared" si="3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4"/>
        <v>36.553800648927734</v>
      </c>
      <c r="R39" s="85">
        <v>0</v>
      </c>
      <c r="S39" s="85">
        <v>116.6</v>
      </c>
      <c r="T39" s="86">
        <f t="shared" si="9"/>
        <v>205.23854497116653</v>
      </c>
      <c r="U39" s="83">
        <f t="shared" si="11"/>
        <v>152.73534608293801</v>
      </c>
      <c r="V39" s="86">
        <f t="shared" si="6"/>
        <v>3.98004706603921</v>
      </c>
      <c r="W39" s="86">
        <f t="shared" si="12"/>
        <v>8.7609463630614002</v>
      </c>
      <c r="X39" s="86">
        <f t="shared" si="8"/>
        <v>10.2609463630614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18</v>
      </c>
      <c r="B40" s="82" t="s">
        <v>133</v>
      </c>
      <c r="C40" s="82">
        <v>6</v>
      </c>
      <c r="D40" s="198">
        <f t="shared" si="13"/>
        <v>6.3000000000000007</v>
      </c>
      <c r="E40" s="83">
        <v>0</v>
      </c>
      <c r="F40" s="83">
        <v>0</v>
      </c>
      <c r="G40" s="83">
        <f t="shared" si="1"/>
        <v>0</v>
      </c>
      <c r="H40" s="86">
        <f t="shared" si="2"/>
        <v>63.951389999999989</v>
      </c>
      <c r="I40" s="83">
        <v>0</v>
      </c>
      <c r="J40" s="83">
        <f t="shared" si="3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4"/>
        <v>67.161049996116006</v>
      </c>
      <c r="R40" s="85">
        <v>0</v>
      </c>
      <c r="S40" s="85">
        <v>113.19999999999899</v>
      </c>
      <c r="T40" s="86">
        <f t="shared" si="9"/>
        <v>207.25184350586633</v>
      </c>
      <c r="U40" s="83">
        <f t="shared" si="11"/>
        <v>150.11805798782828</v>
      </c>
      <c r="V40" s="86">
        <f t="shared" si="6"/>
        <v>3.98004706603921</v>
      </c>
      <c r="W40" s="86">
        <f t="shared" si="12"/>
        <v>8.3874614418215323</v>
      </c>
      <c r="X40" s="86">
        <f t="shared" si="8"/>
        <v>9.8874614418215323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19</v>
      </c>
      <c r="B41" s="82" t="s">
        <v>133</v>
      </c>
      <c r="C41" s="82">
        <v>6</v>
      </c>
      <c r="D41" s="198">
        <f>D42-0.7</f>
        <v>7</v>
      </c>
      <c r="E41" s="83">
        <v>0</v>
      </c>
      <c r="F41" s="83">
        <v>0</v>
      </c>
      <c r="G41" s="83">
        <f t="shared" si="1"/>
        <v>0</v>
      </c>
      <c r="H41" s="86">
        <f t="shared" si="2"/>
        <v>56.912714999999999</v>
      </c>
      <c r="I41" s="83">
        <v>0</v>
      </c>
      <c r="J41" s="83">
        <f t="shared" si="3"/>
        <v>76.832165250000003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4"/>
        <v>97.768299343304278</v>
      </c>
      <c r="R41" s="85">
        <v>0</v>
      </c>
      <c r="S41" s="85">
        <v>106.9</v>
      </c>
      <c r="T41" s="86">
        <f t="shared" si="9"/>
        <v>209.38354843798484</v>
      </c>
      <c r="U41" s="83">
        <f t="shared" si="11"/>
        <v>147.34684157607421</v>
      </c>
      <c r="V41" s="86">
        <f t="shared" si="6"/>
        <v>3.98004706603921</v>
      </c>
      <c r="W41" s="86">
        <f t="shared" si="12"/>
        <v>7.9864954333742615</v>
      </c>
      <c r="X41" s="86">
        <f t="shared" si="8"/>
        <v>9.4864954333742624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20</v>
      </c>
      <c r="B42" s="82" t="s">
        <v>133</v>
      </c>
      <c r="C42" s="82">
        <v>6</v>
      </c>
      <c r="D42" s="198">
        <f>D43-0.7</f>
        <v>7.7</v>
      </c>
      <c r="E42" s="83">
        <v>0</v>
      </c>
      <c r="F42" s="83">
        <v>0</v>
      </c>
      <c r="G42" s="83">
        <f t="shared" si="1"/>
        <v>0</v>
      </c>
      <c r="H42" s="86">
        <f t="shared" si="2"/>
        <v>49.874039999999994</v>
      </c>
      <c r="I42" s="83">
        <v>0</v>
      </c>
      <c r="J42" s="83">
        <f t="shared" si="3"/>
        <v>67.329954000000001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4"/>
        <v>128.37554869049254</v>
      </c>
      <c r="R42" s="85">
        <v>0</v>
      </c>
      <c r="S42" s="85">
        <v>78.900000000000006</v>
      </c>
      <c r="T42" s="86">
        <f t="shared" si="9"/>
        <v>187.49909733538726</v>
      </c>
      <c r="U42" s="83">
        <f t="shared" si="11"/>
        <v>175.79662800945107</v>
      </c>
      <c r="V42" s="86">
        <f t="shared" si="6"/>
        <v>3.98004706603921</v>
      </c>
      <c r="W42" s="86">
        <f t="shared" si="12"/>
        <v>6.8446936582945002</v>
      </c>
      <c r="X42" s="86">
        <f t="shared" si="8"/>
        <v>8.3446936582944993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21</v>
      </c>
      <c r="B43" s="82" t="s">
        <v>133</v>
      </c>
      <c r="C43" s="82">
        <v>6</v>
      </c>
      <c r="D43" s="198">
        <v>8.4</v>
      </c>
      <c r="E43" s="83">
        <v>0</v>
      </c>
      <c r="F43" s="83">
        <v>0</v>
      </c>
      <c r="G43" s="83">
        <f t="shared" si="1"/>
        <v>0</v>
      </c>
      <c r="H43" s="86">
        <f t="shared" si="2"/>
        <v>42.835364999999996</v>
      </c>
      <c r="I43" s="83">
        <v>0</v>
      </c>
      <c r="J43" s="83">
        <f t="shared" si="3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4"/>
        <v>158.98279803768085</v>
      </c>
      <c r="R43" s="85">
        <v>0</v>
      </c>
      <c r="S43" s="85">
        <v>69.3</v>
      </c>
      <c r="T43" s="86">
        <f t="shared" si="9"/>
        <v>199.20592378714551</v>
      </c>
      <c r="U43" s="83">
        <f t="shared" si="11"/>
        <v>160.57775362216535</v>
      </c>
      <c r="V43" s="86">
        <f t="shared" si="6"/>
        <v>3.98004706603921</v>
      </c>
      <c r="W43" s="86">
        <f t="shared" si="12"/>
        <v>6.6371335751244569</v>
      </c>
      <c r="X43" s="86">
        <f t="shared" si="8"/>
        <v>8.1371335751244569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7">
        <v>1</v>
      </c>
      <c r="B44" s="87" t="s">
        <v>134</v>
      </c>
      <c r="C44" s="87">
        <v>0.75</v>
      </c>
      <c r="D44" s="87">
        <v>8.4</v>
      </c>
      <c r="E44" s="88">
        <v>0</v>
      </c>
      <c r="F44" s="88">
        <v>0</v>
      </c>
      <c r="G44" s="88">
        <f t="shared" si="1"/>
        <v>0</v>
      </c>
      <c r="H44" s="88">
        <f t="shared" si="2"/>
        <v>42.835364999999996</v>
      </c>
      <c r="I44" s="88">
        <v>0</v>
      </c>
      <c r="J44" s="88">
        <f t="shared" si="3"/>
        <v>57.827742749999999</v>
      </c>
      <c r="K44" s="88">
        <v>355</v>
      </c>
      <c r="L44" s="89">
        <v>0.75</v>
      </c>
      <c r="M44" s="89">
        <v>4</v>
      </c>
      <c r="N44" s="90">
        <v>1</v>
      </c>
      <c r="O44" s="90">
        <v>1.5</v>
      </c>
      <c r="P44" s="90">
        <v>1</v>
      </c>
      <c r="Q44" s="90">
        <f>$M$11/ABS(($M$12/(D44-$M$13)))/1000</f>
        <v>158.98279803768085</v>
      </c>
      <c r="R44" s="90">
        <v>0</v>
      </c>
      <c r="S44" s="90">
        <v>-28.8</v>
      </c>
      <c r="T44" s="91">
        <f t="shared" si="9"/>
        <v>166.62487831020317</v>
      </c>
      <c r="U44" s="88">
        <f t="shared" si="11"/>
        <v>202.93311274219039</v>
      </c>
      <c r="V44" s="91">
        <f t="shared" si="6"/>
        <v>3.98004706603921</v>
      </c>
      <c r="W44" s="91">
        <f t="shared" si="12"/>
        <v>6.3257206924812293</v>
      </c>
      <c r="X44" s="91">
        <f t="shared" si="8"/>
        <v>7.8257206924812293</v>
      </c>
      <c r="Y44" s="197" ph="1">
        <v>20</v>
      </c>
      <c r="Z44" s="91" t="str">
        <f t="shared" si="5"/>
        <v>OK</v>
      </c>
    </row>
    <row r="45" spans="1:26" ht="15" customHeight="1" x14ac:dyDescent="0.3">
      <c r="A45" s="87">
        <v>2</v>
      </c>
      <c r="B45" s="87" t="s">
        <v>134</v>
      </c>
      <c r="C45" s="87">
        <v>1.5</v>
      </c>
      <c r="D45" s="87">
        <v>8.4</v>
      </c>
      <c r="E45" s="88">
        <v>0</v>
      </c>
      <c r="F45" s="88">
        <v>0</v>
      </c>
      <c r="G45" s="88">
        <f t="shared" si="1"/>
        <v>0</v>
      </c>
      <c r="H45" s="88">
        <f t="shared" si="2"/>
        <v>42.835364999999996</v>
      </c>
      <c r="I45" s="88">
        <v>0</v>
      </c>
      <c r="J45" s="88">
        <f t="shared" si="3"/>
        <v>57.827742749999999</v>
      </c>
      <c r="K45" s="88">
        <v>355</v>
      </c>
      <c r="L45" s="89">
        <v>0.75</v>
      </c>
      <c r="M45" s="89">
        <v>4</v>
      </c>
      <c r="N45" s="90">
        <v>1</v>
      </c>
      <c r="O45" s="90">
        <v>1.5</v>
      </c>
      <c r="P45" s="90">
        <v>1</v>
      </c>
      <c r="Q45" s="90">
        <f t="shared" ref="Q45:Q51" si="14">$M$11/ABS(($M$12/(D45-$M$13)))/1000</f>
        <v>158.98279803768085</v>
      </c>
      <c r="R45" s="90">
        <v>0</v>
      </c>
      <c r="S45" s="90">
        <v>-15.899999999999901</v>
      </c>
      <c r="T45" s="91">
        <f t="shared" si="9"/>
        <v>161.35042631455923</v>
      </c>
      <c r="U45" s="88">
        <f t="shared" si="11"/>
        <v>209.7899003365275</v>
      </c>
      <c r="V45" s="91">
        <f t="shared" si="6"/>
        <v>3.98004706603921</v>
      </c>
      <c r="W45" s="91">
        <f t="shared" si="12"/>
        <v>6.2214867739564657</v>
      </c>
      <c r="X45" s="91">
        <f t="shared" si="8"/>
        <v>7.7214867739564657</v>
      </c>
      <c r="Y45" s="197" ph="1">
        <v>20</v>
      </c>
      <c r="Z45" s="91" t="str">
        <f t="shared" si="5"/>
        <v>OK</v>
      </c>
    </row>
    <row r="46" spans="1:26" ht="15" customHeight="1" x14ac:dyDescent="0.3">
      <c r="A46" s="87">
        <v>3</v>
      </c>
      <c r="B46" s="87" t="s">
        <v>134</v>
      </c>
      <c r="C46" s="87">
        <v>2.25</v>
      </c>
      <c r="D46" s="87">
        <v>8.4</v>
      </c>
      <c r="E46" s="88">
        <v>0</v>
      </c>
      <c r="F46" s="88">
        <v>0</v>
      </c>
      <c r="G46" s="88">
        <f t="shared" si="1"/>
        <v>0</v>
      </c>
      <c r="H46" s="88">
        <f t="shared" si="2"/>
        <v>42.835364999999996</v>
      </c>
      <c r="I46" s="88">
        <v>0</v>
      </c>
      <c r="J46" s="88">
        <f t="shared" si="3"/>
        <v>57.827742749999999</v>
      </c>
      <c r="K46" s="88">
        <v>355</v>
      </c>
      <c r="L46" s="89">
        <v>0.75</v>
      </c>
      <c r="M46" s="89">
        <v>4</v>
      </c>
      <c r="N46" s="90">
        <v>1</v>
      </c>
      <c r="O46" s="90">
        <v>1.5</v>
      </c>
      <c r="P46" s="90">
        <v>1</v>
      </c>
      <c r="Q46" s="90">
        <f t="shared" si="14"/>
        <v>158.98279803768085</v>
      </c>
      <c r="R46" s="90">
        <v>0</v>
      </c>
      <c r="S46" s="90">
        <v>-2.9999999999999898</v>
      </c>
      <c r="T46" s="91">
        <f t="shared" si="9"/>
        <v>159.06769021988725</v>
      </c>
      <c r="U46" s="88">
        <f t="shared" si="11"/>
        <v>212.75745725960107</v>
      </c>
      <c r="V46" s="91">
        <f t="shared" si="6"/>
        <v>3.98004706603921</v>
      </c>
      <c r="W46" s="91">
        <f t="shared" si="12"/>
        <v>6.1779455302986026</v>
      </c>
      <c r="X46" s="91">
        <f t="shared" si="8"/>
        <v>7.6779455302986026</v>
      </c>
      <c r="Y46" s="197" ph="1">
        <v>20</v>
      </c>
      <c r="Z46" s="91" t="str">
        <f t="shared" si="5"/>
        <v>OK</v>
      </c>
    </row>
    <row r="47" spans="1:26" ht="15" customHeight="1" x14ac:dyDescent="0.3">
      <c r="A47" s="87">
        <v>4</v>
      </c>
      <c r="B47" s="87" t="s">
        <v>134</v>
      </c>
      <c r="C47" s="87">
        <v>3</v>
      </c>
      <c r="D47" s="87">
        <v>8.4</v>
      </c>
      <c r="E47" s="88">
        <v>0</v>
      </c>
      <c r="F47" s="88">
        <v>0</v>
      </c>
      <c r="G47" s="88">
        <f t="shared" si="1"/>
        <v>0</v>
      </c>
      <c r="H47" s="88">
        <f t="shared" si="2"/>
        <v>42.835364999999996</v>
      </c>
      <c r="I47" s="88">
        <v>0</v>
      </c>
      <c r="J47" s="88">
        <f t="shared" si="3"/>
        <v>57.827742749999999</v>
      </c>
      <c r="K47" s="88">
        <v>355</v>
      </c>
      <c r="L47" s="89">
        <v>0.75</v>
      </c>
      <c r="M47" s="89">
        <v>4</v>
      </c>
      <c r="N47" s="90">
        <v>1</v>
      </c>
      <c r="O47" s="90">
        <v>1.5</v>
      </c>
      <c r="P47" s="90">
        <v>1</v>
      </c>
      <c r="Q47" s="90">
        <f t="shared" si="14"/>
        <v>158.98279803768085</v>
      </c>
      <c r="R47" s="90">
        <v>0</v>
      </c>
      <c r="S47" s="90">
        <v>9.8000000000000007</v>
      </c>
      <c r="T47" s="91">
        <f t="shared" si="9"/>
        <v>159.88636612259975</v>
      </c>
      <c r="U47" s="88">
        <f t="shared" si="11"/>
        <v>211.69317858607482</v>
      </c>
      <c r="V47" s="91">
        <f t="shared" si="6"/>
        <v>3.98004706603921</v>
      </c>
      <c r="W47" s="91">
        <f t="shared" si="12"/>
        <v>6.1934557429359538</v>
      </c>
      <c r="X47" s="91">
        <f t="shared" si="8"/>
        <v>7.6934557429359538</v>
      </c>
      <c r="Y47" s="197" ph="1">
        <v>20</v>
      </c>
      <c r="Z47" s="91" t="str">
        <f t="shared" si="5"/>
        <v>OK</v>
      </c>
    </row>
    <row r="48" spans="1:26" ht="15" customHeight="1" x14ac:dyDescent="0.3">
      <c r="A48" s="87">
        <v>5</v>
      </c>
      <c r="B48" s="87" t="s">
        <v>134</v>
      </c>
      <c r="C48" s="87">
        <v>3.75</v>
      </c>
      <c r="D48" s="87">
        <v>8.4</v>
      </c>
      <c r="E48" s="88">
        <v>0</v>
      </c>
      <c r="F48" s="88">
        <v>0</v>
      </c>
      <c r="G48" s="88">
        <f t="shared" si="1"/>
        <v>0</v>
      </c>
      <c r="H48" s="88">
        <f t="shared" si="2"/>
        <v>42.835364999999996</v>
      </c>
      <c r="I48" s="88">
        <v>0</v>
      </c>
      <c r="J48" s="88">
        <f t="shared" si="3"/>
        <v>57.827742749999999</v>
      </c>
      <c r="K48" s="88">
        <v>355</v>
      </c>
      <c r="L48" s="89">
        <v>0.75</v>
      </c>
      <c r="M48" s="89">
        <v>4</v>
      </c>
      <c r="N48" s="90">
        <v>1</v>
      </c>
      <c r="O48" s="90">
        <v>1.5</v>
      </c>
      <c r="P48" s="90">
        <v>1</v>
      </c>
      <c r="Q48" s="90">
        <f t="shared" si="14"/>
        <v>158.98279803768085</v>
      </c>
      <c r="R48" s="90">
        <v>0</v>
      </c>
      <c r="S48" s="90">
        <v>22.7</v>
      </c>
      <c r="T48" s="91">
        <f t="shared" si="9"/>
        <v>163.77240326712561</v>
      </c>
      <c r="U48" s="88">
        <f t="shared" si="11"/>
        <v>206.64133029819121</v>
      </c>
      <c r="V48" s="91">
        <f t="shared" si="6"/>
        <v>3.98004706603921</v>
      </c>
      <c r="W48" s="91">
        <f t="shared" si="12"/>
        <v>6.2687056239298622</v>
      </c>
      <c r="X48" s="91">
        <f t="shared" si="8"/>
        <v>7.7687056239298622</v>
      </c>
      <c r="Y48" s="197" ph="1">
        <v>20</v>
      </c>
      <c r="Z48" s="91" t="str">
        <f t="shared" si="5"/>
        <v>OK</v>
      </c>
    </row>
    <row r="49" spans="1:26" ht="15" customHeight="1" x14ac:dyDescent="0.3">
      <c r="A49" s="87">
        <v>6</v>
      </c>
      <c r="B49" s="87" t="s">
        <v>134</v>
      </c>
      <c r="C49" s="87">
        <v>4.5</v>
      </c>
      <c r="D49" s="87">
        <v>8.4</v>
      </c>
      <c r="E49" s="88">
        <v>0</v>
      </c>
      <c r="F49" s="88">
        <v>0</v>
      </c>
      <c r="G49" s="88">
        <f t="shared" si="1"/>
        <v>0</v>
      </c>
      <c r="H49" s="88">
        <f t="shared" si="2"/>
        <v>42.835364999999996</v>
      </c>
      <c r="I49" s="88">
        <v>0</v>
      </c>
      <c r="J49" s="88">
        <f t="shared" si="3"/>
        <v>57.827742749999999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 t="shared" si="14"/>
        <v>158.98279803768085</v>
      </c>
      <c r="R49" s="90">
        <v>0</v>
      </c>
      <c r="S49" s="90">
        <v>35.6</v>
      </c>
      <c r="T49" s="91">
        <f t="shared" si="9"/>
        <v>170.52158242254856</v>
      </c>
      <c r="U49" s="88">
        <f t="shared" si="11"/>
        <v>197.86739739614137</v>
      </c>
      <c r="V49" s="91">
        <f t="shared" si="6"/>
        <v>3.98004706603921</v>
      </c>
      <c r="W49" s="91">
        <f t="shared" si="12"/>
        <v>6.4061831356467316</v>
      </c>
      <c r="X49" s="91">
        <f t="shared" si="8"/>
        <v>7.9061831356467316</v>
      </c>
      <c r="Y49" s="197" ph="1">
        <v>20</v>
      </c>
      <c r="Z49" s="91" t="str">
        <f t="shared" si="5"/>
        <v>OK</v>
      </c>
    </row>
    <row r="50" spans="1:26" ht="15" customHeight="1" x14ac:dyDescent="0.3">
      <c r="A50" s="87">
        <v>7</v>
      </c>
      <c r="B50" s="87" t="s">
        <v>134</v>
      </c>
      <c r="C50" s="87">
        <v>5.25</v>
      </c>
      <c r="D50" s="87">
        <v>8.4</v>
      </c>
      <c r="E50" s="88">
        <v>0</v>
      </c>
      <c r="F50" s="88">
        <v>0</v>
      </c>
      <c r="G50" s="88">
        <f t="shared" si="1"/>
        <v>0</v>
      </c>
      <c r="H50" s="88">
        <f t="shared" si="2"/>
        <v>42.835364999999996</v>
      </c>
      <c r="I50" s="88">
        <v>0</v>
      </c>
      <c r="J50" s="88">
        <f t="shared" si="3"/>
        <v>57.827742749999999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si="14"/>
        <v>158.98279803768085</v>
      </c>
      <c r="R50" s="90">
        <v>0</v>
      </c>
      <c r="S50" s="90">
        <v>48.4</v>
      </c>
      <c r="T50" s="91">
        <f t="shared" si="9"/>
        <v>179.73093799312909</v>
      </c>
      <c r="U50" s="88">
        <f t="shared" si="11"/>
        <v>185.89523515438668</v>
      </c>
      <c r="V50" s="91">
        <f t="shared" si="6"/>
        <v>3.98004706603921</v>
      </c>
      <c r="W50" s="91">
        <f t="shared" si="12"/>
        <v>6.6092524617344912</v>
      </c>
      <c r="X50" s="91">
        <f t="shared" si="8"/>
        <v>8.1092524617344921</v>
      </c>
      <c r="Y50" s="197" ph="1">
        <v>20</v>
      </c>
      <c r="Z50" s="91" t="str">
        <f t="shared" si="5"/>
        <v>OK</v>
      </c>
    </row>
    <row r="51" spans="1:26" ht="15" customHeight="1" x14ac:dyDescent="0.3">
      <c r="A51" s="87">
        <v>8</v>
      </c>
      <c r="B51" s="87" t="s">
        <v>134</v>
      </c>
      <c r="C51" s="87">
        <v>6</v>
      </c>
      <c r="D51" s="87">
        <v>8.4</v>
      </c>
      <c r="E51" s="88">
        <v>0</v>
      </c>
      <c r="F51" s="88">
        <v>0</v>
      </c>
      <c r="G51" s="88">
        <f t="shared" si="1"/>
        <v>0</v>
      </c>
      <c r="H51" s="88">
        <f t="shared" si="2"/>
        <v>42.835364999999996</v>
      </c>
      <c r="I51" s="88">
        <v>0</v>
      </c>
      <c r="J51" s="88">
        <f t="shared" si="3"/>
        <v>57.827742749999999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158.98279803768085</v>
      </c>
      <c r="R51" s="90">
        <v>0</v>
      </c>
      <c r="S51" s="90">
        <v>61.3</v>
      </c>
      <c r="T51" s="91">
        <f t="shared" si="9"/>
        <v>191.17688163554195</v>
      </c>
      <c r="U51" s="88">
        <f t="shared" si="11"/>
        <v>171.01550841924998</v>
      </c>
      <c r="V51" s="91">
        <f t="shared" si="6"/>
        <v>3.98004706603921</v>
      </c>
      <c r="W51" s="91">
        <f t="shared" si="12"/>
        <v>6.8907853638902274</v>
      </c>
      <c r="X51" s="91">
        <f t="shared" si="8"/>
        <v>8.3907853638902274</v>
      </c>
      <c r="Y51" s="197" ph="1">
        <v>20</v>
      </c>
      <c r="Z51" s="91" t="str">
        <f t="shared" si="5"/>
        <v>OK</v>
      </c>
    </row>
    <row r="52" spans="1:26" ht="15" customHeight="1" x14ac:dyDescent="0.3">
      <c r="A52" s="92">
        <v>1</v>
      </c>
      <c r="B52" s="92" t="s">
        <v>135</v>
      </c>
      <c r="C52" s="92">
        <v>0</v>
      </c>
      <c r="D52" s="92">
        <v>0</v>
      </c>
      <c r="E52" s="93">
        <v>0</v>
      </c>
      <c r="F52" s="93">
        <v>0</v>
      </c>
      <c r="G52" s="93">
        <f t="shared" si="1"/>
        <v>0</v>
      </c>
      <c r="H52" s="93">
        <f t="shared" si="2"/>
        <v>127.29946499999998</v>
      </c>
      <c r="I52" s="93">
        <v>0</v>
      </c>
      <c r="J52" s="93">
        <f t="shared" si="3"/>
        <v>171.85427774999999</v>
      </c>
      <c r="K52" s="93">
        <v>355</v>
      </c>
      <c r="L52" s="94">
        <v>0.75</v>
      </c>
      <c r="M52" s="94">
        <v>4</v>
      </c>
      <c r="N52" s="95">
        <v>1</v>
      </c>
      <c r="O52" s="95">
        <v>1.5</v>
      </c>
      <c r="P52" s="95">
        <v>1</v>
      </c>
      <c r="Q52" s="95">
        <v>0</v>
      </c>
      <c r="R52" s="95">
        <v>0</v>
      </c>
      <c r="S52" s="95">
        <v>90.3</v>
      </c>
      <c r="T52" s="96">
        <f t="shared" si="9"/>
        <v>156.40418792346961</v>
      </c>
      <c r="U52" s="93">
        <f t="shared" si="11"/>
        <v>216.22001024494401</v>
      </c>
      <c r="V52" s="96">
        <f t="shared" si="6"/>
        <v>3.98004706603921</v>
      </c>
      <c r="W52" s="96">
        <f>15.8*N52*L52*SQRT(J52)/SQRT(U52*P52)</f>
        <v>10.564539762247387</v>
      </c>
      <c r="X52" s="96">
        <f t="shared" si="8"/>
        <v>12.064539762247387</v>
      </c>
      <c r="Y52" s="155" ph="1">
        <v>16</v>
      </c>
      <c r="Z52" s="96" t="str">
        <f t="shared" si="5"/>
        <v>OK</v>
      </c>
    </row>
    <row r="53" spans="1:26" ht="15" customHeight="1" x14ac:dyDescent="0.3">
      <c r="A53" s="92">
        <v>2</v>
      </c>
      <c r="B53" s="92" t="s">
        <v>135</v>
      </c>
      <c r="C53" s="92">
        <v>0</v>
      </c>
      <c r="D53" s="92">
        <v>0.7</v>
      </c>
      <c r="E53" s="93">
        <v>0</v>
      </c>
      <c r="F53" s="93">
        <v>0</v>
      </c>
      <c r="G53" s="93">
        <f t="shared" si="1"/>
        <v>0</v>
      </c>
      <c r="H53" s="93">
        <f t="shared" si="2"/>
        <v>120.26079</v>
      </c>
      <c r="I53" s="93">
        <v>0</v>
      </c>
      <c r="J53" s="93">
        <f t="shared" si="3"/>
        <v>162.35206650000001</v>
      </c>
      <c r="K53" s="93">
        <v>355</v>
      </c>
      <c r="L53" s="94">
        <v>0.75</v>
      </c>
      <c r="M53" s="94">
        <v>4</v>
      </c>
      <c r="N53" s="95">
        <v>1</v>
      </c>
      <c r="O53" s="95">
        <v>1.5</v>
      </c>
      <c r="P53" s="95">
        <v>1</v>
      </c>
      <c r="Q53" s="95">
        <v>0</v>
      </c>
      <c r="R53" s="95">
        <v>0</v>
      </c>
      <c r="S53" s="95">
        <v>103.099999999999</v>
      </c>
      <c r="T53" s="96">
        <f t="shared" si="9"/>
        <v>178.57443826034952</v>
      </c>
      <c r="U53" s="93">
        <f t="shared" si="11"/>
        <v>187.39868480700014</v>
      </c>
      <c r="V53" s="96">
        <f t="shared" si="6"/>
        <v>3.98004706603921</v>
      </c>
      <c r="W53" s="96">
        <f>15.8*N53*L53*SQRT(J53)/SQRT(U53*P53)</f>
        <v>11.029707400580893</v>
      </c>
      <c r="X53" s="96">
        <f t="shared" si="8"/>
        <v>12.529707400580893</v>
      </c>
      <c r="Y53" s="155" ph="1">
        <v>16</v>
      </c>
      <c r="Z53" s="96" t="str">
        <f t="shared" si="5"/>
        <v>OK</v>
      </c>
    </row>
    <row r="54" spans="1:26" ht="15" customHeight="1" x14ac:dyDescent="0.3">
      <c r="A54" s="92">
        <v>3</v>
      </c>
      <c r="B54" s="92" t="s">
        <v>135</v>
      </c>
      <c r="C54" s="92">
        <v>0</v>
      </c>
      <c r="D54" s="92">
        <v>1.4</v>
      </c>
      <c r="E54" s="93">
        <v>0</v>
      </c>
      <c r="F54" s="93">
        <v>0</v>
      </c>
      <c r="G54" s="93">
        <f t="shared" si="1"/>
        <v>0</v>
      </c>
      <c r="H54" s="93">
        <f t="shared" si="2"/>
        <v>113.22211499999999</v>
      </c>
      <c r="I54" s="93">
        <v>0</v>
      </c>
      <c r="J54" s="93">
        <f t="shared" si="3"/>
        <v>152.84985524999999</v>
      </c>
      <c r="K54" s="93">
        <v>355</v>
      </c>
      <c r="L54" s="94">
        <v>0.75</v>
      </c>
      <c r="M54" s="94">
        <v>4</v>
      </c>
      <c r="N54" s="95">
        <v>1</v>
      </c>
      <c r="O54" s="95">
        <v>1.5</v>
      </c>
      <c r="P54" s="95">
        <v>1</v>
      </c>
      <c r="Q54" s="95">
        <v>0</v>
      </c>
      <c r="R54" s="95">
        <v>0</v>
      </c>
      <c r="S54" s="95">
        <v>113.9</v>
      </c>
      <c r="T54" s="96">
        <f t="shared" si="9"/>
        <v>197.28058698209514</v>
      </c>
      <c r="U54" s="93">
        <f t="shared" si="11"/>
        <v>163.08069146873081</v>
      </c>
      <c r="V54" s="96">
        <f t="shared" si="6"/>
        <v>3.98004706603921</v>
      </c>
      <c r="W54" s="96">
        <f t="shared" ref="W54:W64" si="15">15.8*N54*L54*SQRT(J54)/SQRT(U54*P54)</f>
        <v>11.47227619618031</v>
      </c>
      <c r="X54" s="96">
        <f t="shared" si="8"/>
        <v>12.97227619618031</v>
      </c>
      <c r="Y54" s="155" ph="1">
        <v>16</v>
      </c>
      <c r="Z54" s="96" t="str">
        <f t="shared" si="5"/>
        <v>OK</v>
      </c>
    </row>
    <row r="55" spans="1:26" ht="15" customHeight="1" x14ac:dyDescent="0.3">
      <c r="A55" s="92">
        <v>4</v>
      </c>
      <c r="B55" s="92" t="s">
        <v>135</v>
      </c>
      <c r="C55" s="92">
        <v>0</v>
      </c>
      <c r="D55" s="92">
        <v>2.0999999999999996</v>
      </c>
      <c r="E55" s="93">
        <v>0</v>
      </c>
      <c r="F55" s="93">
        <v>0</v>
      </c>
      <c r="G55" s="93">
        <f t="shared" si="1"/>
        <v>0</v>
      </c>
      <c r="H55" s="93">
        <f t="shared" si="2"/>
        <v>106.18343999999999</v>
      </c>
      <c r="I55" s="93">
        <v>0</v>
      </c>
      <c r="J55" s="93">
        <f t="shared" si="3"/>
        <v>143.347644</v>
      </c>
      <c r="K55" s="93">
        <v>355</v>
      </c>
      <c r="L55" s="94">
        <v>0.75</v>
      </c>
      <c r="M55" s="94">
        <v>4</v>
      </c>
      <c r="N55" s="95">
        <v>1</v>
      </c>
      <c r="O55" s="95">
        <v>1.5</v>
      </c>
      <c r="P55" s="95">
        <v>1</v>
      </c>
      <c r="Q55" s="95">
        <v>0</v>
      </c>
      <c r="R55" s="95">
        <v>0</v>
      </c>
      <c r="S55" s="95">
        <v>122.49999999999901</v>
      </c>
      <c r="T55" s="96">
        <f t="shared" si="9"/>
        <v>212.17622392718576</v>
      </c>
      <c r="U55" s="93">
        <f t="shared" si="11"/>
        <v>143.71636344011301</v>
      </c>
      <c r="V55" s="96">
        <f t="shared" si="6"/>
        <v>3.98004706603921</v>
      </c>
      <c r="W55" s="96">
        <f t="shared" si="15"/>
        <v>11.834789026968119</v>
      </c>
      <c r="X55" s="96">
        <f t="shared" si="8"/>
        <v>13.334789026968119</v>
      </c>
      <c r="Y55" s="155" ph="1">
        <v>16</v>
      </c>
      <c r="Z55" s="96" t="str">
        <f t="shared" si="5"/>
        <v>OK</v>
      </c>
    </row>
    <row r="56" spans="1:26" ht="15" customHeight="1" x14ac:dyDescent="0.3">
      <c r="A56" s="92">
        <v>5</v>
      </c>
      <c r="B56" s="92" t="s">
        <v>135</v>
      </c>
      <c r="C56" s="92">
        <v>0</v>
      </c>
      <c r="D56" s="92">
        <v>2.8</v>
      </c>
      <c r="E56" s="93">
        <v>0</v>
      </c>
      <c r="F56" s="93">
        <v>0</v>
      </c>
      <c r="G56" s="93">
        <f t="shared" si="1"/>
        <v>0</v>
      </c>
      <c r="H56" s="93">
        <f t="shared" si="2"/>
        <v>99.144764999999992</v>
      </c>
      <c r="I56" s="93">
        <v>0</v>
      </c>
      <c r="J56" s="93">
        <f t="shared" si="3"/>
        <v>133.84543274999999</v>
      </c>
      <c r="K56" s="93">
        <v>355</v>
      </c>
      <c r="L56" s="94">
        <v>0.75</v>
      </c>
      <c r="M56" s="94">
        <v>4</v>
      </c>
      <c r="N56" s="95">
        <v>1</v>
      </c>
      <c r="O56" s="95">
        <v>1.5</v>
      </c>
      <c r="P56" s="95">
        <v>1</v>
      </c>
      <c r="Q56" s="95">
        <v>0</v>
      </c>
      <c r="R56" s="95">
        <v>0</v>
      </c>
      <c r="S56" s="95">
        <v>128.4</v>
      </c>
      <c r="T56" s="96">
        <f t="shared" si="9"/>
        <v>222.39532369184386</v>
      </c>
      <c r="U56" s="93">
        <f t="shared" si="11"/>
        <v>130.43153374605748</v>
      </c>
      <c r="V56" s="96">
        <f t="shared" si="6"/>
        <v>3.98004706603921</v>
      </c>
      <c r="W56" s="96">
        <f t="shared" si="15"/>
        <v>12.004078529071823</v>
      </c>
      <c r="X56" s="96">
        <f t="shared" si="8"/>
        <v>13.504078529071823</v>
      </c>
      <c r="Y56" s="155" ph="1">
        <v>16</v>
      </c>
      <c r="Z56" s="96" t="str">
        <f t="shared" si="5"/>
        <v>OK</v>
      </c>
    </row>
    <row r="57" spans="1:26" ht="15" customHeight="1" x14ac:dyDescent="0.3">
      <c r="A57" s="92">
        <v>6</v>
      </c>
      <c r="B57" s="92" t="s">
        <v>135</v>
      </c>
      <c r="C57" s="92">
        <v>0</v>
      </c>
      <c r="D57" s="92">
        <v>3.5</v>
      </c>
      <c r="E57" s="93">
        <v>0</v>
      </c>
      <c r="F57" s="93">
        <v>0</v>
      </c>
      <c r="G57" s="93">
        <f t="shared" si="1"/>
        <v>0</v>
      </c>
      <c r="H57" s="93">
        <f t="shared" si="2"/>
        <v>92.106089999999995</v>
      </c>
      <c r="I57" s="93">
        <v>0</v>
      </c>
      <c r="J57" s="93">
        <f t="shared" si="3"/>
        <v>124.3432215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132.4</v>
      </c>
      <c r="T57" s="96">
        <f t="shared" si="9"/>
        <v>229.32352692211936</v>
      </c>
      <c r="U57" s="93">
        <f t="shared" si="11"/>
        <v>121.42486954669934</v>
      </c>
      <c r="V57" s="96">
        <f t="shared" si="6"/>
        <v>3.98004706603921</v>
      </c>
      <c r="W57" s="96">
        <f t="shared" si="15"/>
        <v>11.991557245469929</v>
      </c>
      <c r="X57" s="96">
        <f t="shared" si="8"/>
        <v>13.491557245469929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7</v>
      </c>
      <c r="B58" s="92" t="s">
        <v>135</v>
      </c>
      <c r="C58" s="92">
        <v>0</v>
      </c>
      <c r="D58" s="92">
        <v>4.2</v>
      </c>
      <c r="E58" s="93">
        <v>0</v>
      </c>
      <c r="F58" s="93">
        <v>0</v>
      </c>
      <c r="G58" s="93">
        <f t="shared" si="1"/>
        <v>0</v>
      </c>
      <c r="H58" s="93">
        <f t="shared" si="2"/>
        <v>85.067414999999997</v>
      </c>
      <c r="I58" s="93">
        <v>0</v>
      </c>
      <c r="J58" s="93">
        <f t="shared" si="3"/>
        <v>114.84101025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134.6</v>
      </c>
      <c r="T58" s="96">
        <f t="shared" si="9"/>
        <v>233.13403869877087</v>
      </c>
      <c r="U58" s="93">
        <f t="shared" si="11"/>
        <v>116.47120423705238</v>
      </c>
      <c r="V58" s="96">
        <f t="shared" si="6"/>
        <v>3.98004706603921</v>
      </c>
      <c r="W58" s="96">
        <f t="shared" si="15"/>
        <v>11.766778264226085</v>
      </c>
      <c r="X58" s="96">
        <f t="shared" si="8"/>
        <v>13.266778264226085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8</v>
      </c>
      <c r="B59" s="92" t="s">
        <v>135</v>
      </c>
      <c r="C59" s="92">
        <v>0</v>
      </c>
      <c r="D59" s="92">
        <v>4.9000000000000004</v>
      </c>
      <c r="E59" s="93">
        <v>0</v>
      </c>
      <c r="F59" s="93">
        <v>0</v>
      </c>
      <c r="G59" s="93">
        <f t="shared" si="1"/>
        <v>0</v>
      </c>
      <c r="H59" s="93">
        <f t="shared" si="2"/>
        <v>78.028739999999985</v>
      </c>
      <c r="I59" s="93">
        <v>0</v>
      </c>
      <c r="J59" s="93">
        <f t="shared" si="3"/>
        <v>105.33879899999998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134.9</v>
      </c>
      <c r="T59" s="96">
        <f t="shared" si="9"/>
        <v>233.65365394104157</v>
      </c>
      <c r="U59" s="93">
        <f t="shared" si="11"/>
        <v>115.79570442210046</v>
      </c>
      <c r="V59" s="96">
        <f t="shared" si="6"/>
        <v>3.98004706603921</v>
      </c>
      <c r="W59" s="96">
        <f t="shared" si="15"/>
        <v>11.302286373193947</v>
      </c>
      <c r="X59" s="96">
        <f t="shared" si="8"/>
        <v>12.802286373193947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9</v>
      </c>
      <c r="B60" s="92" t="s">
        <v>135</v>
      </c>
      <c r="C60" s="92">
        <v>0</v>
      </c>
      <c r="D60" s="92">
        <v>5.6000000000000005</v>
      </c>
      <c r="E60" s="93">
        <v>0</v>
      </c>
      <c r="F60" s="93">
        <v>0</v>
      </c>
      <c r="G60" s="93">
        <f t="shared" si="1"/>
        <v>0</v>
      </c>
      <c r="H60" s="93">
        <f t="shared" si="2"/>
        <v>70.990064999999987</v>
      </c>
      <c r="I60" s="93">
        <v>0</v>
      </c>
      <c r="J60" s="93">
        <f t="shared" si="3"/>
        <v>95.836587749999993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131.5</v>
      </c>
      <c r="T60" s="96">
        <f t="shared" si="9"/>
        <v>227.76468119530736</v>
      </c>
      <c r="U60" s="93">
        <f t="shared" si="11"/>
        <v>123.45136899155493</v>
      </c>
      <c r="V60" s="96">
        <f t="shared" si="6"/>
        <v>3.98004706603921</v>
      </c>
      <c r="W60" s="96">
        <f t="shared" si="15"/>
        <v>10.440855045983838</v>
      </c>
      <c r="X60" s="96">
        <f t="shared" si="8"/>
        <v>11.940855045983838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10</v>
      </c>
      <c r="B61" s="92" t="s">
        <v>135</v>
      </c>
      <c r="C61" s="92">
        <v>0</v>
      </c>
      <c r="D61" s="92">
        <v>6.3000000000000007</v>
      </c>
      <c r="E61" s="93">
        <v>0</v>
      </c>
      <c r="F61" s="93">
        <v>0</v>
      </c>
      <c r="G61" s="93">
        <f t="shared" si="1"/>
        <v>0</v>
      </c>
      <c r="H61" s="93">
        <f t="shared" si="2"/>
        <v>63.951389999999989</v>
      </c>
      <c r="I61" s="93">
        <v>0</v>
      </c>
      <c r="J61" s="93">
        <f t="shared" si="3"/>
        <v>86.334376499999991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128.19999999999999</v>
      </c>
      <c r="T61" s="96">
        <f t="shared" si="9"/>
        <v>222.04891353033005</v>
      </c>
      <c r="U61" s="93">
        <f t="shared" si="11"/>
        <v>130.88186695602542</v>
      </c>
      <c r="V61" s="96">
        <f t="shared" si="6"/>
        <v>3.98004706603921</v>
      </c>
      <c r="W61" s="96">
        <f t="shared" si="15"/>
        <v>9.6243296102983393</v>
      </c>
      <c r="X61" s="96">
        <f t="shared" si="8"/>
        <v>11.124329610298339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11</v>
      </c>
      <c r="B62" s="92" t="s">
        <v>135</v>
      </c>
      <c r="C62" s="92">
        <v>0</v>
      </c>
      <c r="D62" s="92">
        <v>7</v>
      </c>
      <c r="E62" s="93">
        <v>0</v>
      </c>
      <c r="F62" s="93">
        <v>0</v>
      </c>
      <c r="G62" s="93">
        <f t="shared" si="1"/>
        <v>0</v>
      </c>
      <c r="H62" s="93">
        <f t="shared" si="2"/>
        <v>56.912714999999999</v>
      </c>
      <c r="I62" s="93">
        <v>0</v>
      </c>
      <c r="J62" s="93">
        <f t="shared" si="3"/>
        <v>76.832165250000003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121.8</v>
      </c>
      <c r="T62" s="96">
        <f t="shared" si="9"/>
        <v>210.96378836188924</v>
      </c>
      <c r="U62" s="93">
        <f t="shared" si="11"/>
        <v>145.29252967499849</v>
      </c>
      <c r="V62" s="96">
        <f t="shared" si="6"/>
        <v>3.98004706603921</v>
      </c>
      <c r="W62" s="96">
        <f t="shared" si="15"/>
        <v>8.6172410955565102</v>
      </c>
      <c r="X62" s="96">
        <f t="shared" si="8"/>
        <v>10.11724109555651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12</v>
      </c>
      <c r="B63" s="92" t="s">
        <v>135</v>
      </c>
      <c r="C63" s="92">
        <v>0</v>
      </c>
      <c r="D63" s="92">
        <v>7.7</v>
      </c>
      <c r="E63" s="93">
        <v>0</v>
      </c>
      <c r="F63" s="93">
        <v>0</v>
      </c>
      <c r="G63" s="93">
        <f t="shared" si="1"/>
        <v>0</v>
      </c>
      <c r="H63" s="93">
        <f t="shared" si="2"/>
        <v>49.874039999999994</v>
      </c>
      <c r="I63" s="93">
        <v>0</v>
      </c>
      <c r="J63" s="93">
        <f t="shared" si="3"/>
        <v>67.329954000000001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113.5</v>
      </c>
      <c r="T63" s="96">
        <f t="shared" si="9"/>
        <v>196.58776665906757</v>
      </c>
      <c r="U63" s="93">
        <f t="shared" si="11"/>
        <v>163.98135788866665</v>
      </c>
      <c r="V63" s="96">
        <f t="shared" si="6"/>
        <v>3.98004706603921</v>
      </c>
      <c r="W63" s="96">
        <f t="shared" si="15"/>
        <v>7.5932075351007757</v>
      </c>
      <c r="X63" s="96">
        <f t="shared" si="8"/>
        <v>9.0932075351007757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13</v>
      </c>
      <c r="B64" s="92" t="s">
        <v>135</v>
      </c>
      <c r="C64" s="92">
        <v>0</v>
      </c>
      <c r="D64" s="92">
        <v>8.4</v>
      </c>
      <c r="E64" s="93">
        <v>0</v>
      </c>
      <c r="F64" s="93">
        <v>0</v>
      </c>
      <c r="G64" s="93">
        <f t="shared" si="1"/>
        <v>0</v>
      </c>
      <c r="H64" s="93">
        <f t="shared" si="2"/>
        <v>42.835364999999996</v>
      </c>
      <c r="I64" s="93">
        <v>0</v>
      </c>
      <c r="J64" s="93">
        <f t="shared" si="3"/>
        <v>57.827742749999999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103.2</v>
      </c>
      <c r="T64" s="96">
        <f t="shared" si="9"/>
        <v>178.74764334110813</v>
      </c>
      <c r="U64" s="93">
        <f t="shared" si="11"/>
        <v>187.17351820201392</v>
      </c>
      <c r="V64" s="96">
        <f t="shared" si="6"/>
        <v>3.98004706603921</v>
      </c>
      <c r="W64" s="96">
        <f t="shared" si="15"/>
        <v>6.5866451787479487</v>
      </c>
      <c r="X64" s="96">
        <f t="shared" si="8"/>
        <v>8.0866451787479487</v>
      </c>
      <c r="Y64" s="155" ph="1">
        <v>16</v>
      </c>
      <c r="Z64" s="96" t="str">
        <f t="shared" si="5"/>
        <v>OK</v>
      </c>
    </row>
    <row r="65" spans="1:1" ht="15" customHeight="1" x14ac:dyDescent="0.45"/>
    <row r="66" spans="1:1" ht="15" customHeight="1" x14ac:dyDescent="0.45">
      <c r="A66" s="4" t="s">
        <v>136</v>
      </c>
    </row>
    <row r="67" spans="1:1" ht="15" customHeight="1" x14ac:dyDescent="0.45">
      <c r="A67" s="4" t="s">
        <v>137</v>
      </c>
    </row>
    <row r="68" spans="1:1" ht="15" customHeight="1" x14ac:dyDescent="0.45">
      <c r="A68" s="4" t="s">
        <v>311</v>
      </c>
    </row>
    <row r="69" spans="1:1" ht="15" customHeight="1" x14ac:dyDescent="0.45"/>
    <row r="70" spans="1:1" ht="15" customHeight="1" x14ac:dyDescent="0.45"/>
    <row r="71" spans="1:1" ht="15" customHeight="1" x14ac:dyDescent="0.45"/>
    <row r="72" spans="1:1" ht="15" customHeight="1" x14ac:dyDescent="0.45"/>
    <row r="73" spans="1:1" ht="15" customHeight="1" x14ac:dyDescent="0.45"/>
    <row r="74" spans="1:1" ht="15" customHeight="1" x14ac:dyDescent="0.45"/>
    <row r="75" spans="1:1" ht="15" customHeight="1" x14ac:dyDescent="0.45"/>
    <row r="76" spans="1:1" ht="15" customHeight="1" x14ac:dyDescent="0.45"/>
    <row r="77" spans="1:1" ht="15" customHeight="1" x14ac:dyDescent="0.45"/>
    <row r="78" spans="1:1" ht="15" customHeight="1" x14ac:dyDescent="0.45"/>
    <row r="79" spans="1:1" ht="15" customHeight="1" x14ac:dyDescent="0.45"/>
    <row r="80" spans="1:1" ht="15" customHeight="1" x14ac:dyDescent="0.45"/>
    <row r="81" ht="15" customHeight="1" x14ac:dyDescent="0.45"/>
    <row r="82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D78"/>
  <sheetViews>
    <sheetView showGridLines="0" topLeftCell="A13" zoomScale="130" zoomScaleNormal="130" workbookViewId="0">
      <selection activeCell="Y23" sqref="Y2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201"/>
      <c r="G1" s="201"/>
      <c r="H1" s="201"/>
      <c r="I1" s="201"/>
      <c r="J1" s="201"/>
      <c r="K1" s="201"/>
      <c r="L1" s="201"/>
      <c r="M1" s="201"/>
      <c r="N1" s="202"/>
    </row>
    <row r="2" spans="1:15" ht="12" customHeight="1" x14ac:dyDescent="0.45">
      <c r="A2" s="69"/>
      <c r="F2" s="203"/>
      <c r="G2" s="203"/>
      <c r="H2" s="203"/>
      <c r="I2" s="203"/>
      <c r="J2" s="203"/>
      <c r="K2" s="203"/>
      <c r="L2" s="203"/>
      <c r="M2" s="203"/>
      <c r="N2" s="204"/>
    </row>
    <row r="3" spans="1:15" ht="12" customHeight="1" x14ac:dyDescent="0.45">
      <c r="A3" s="69"/>
      <c r="F3" s="203"/>
      <c r="G3" s="203"/>
      <c r="H3" s="203"/>
      <c r="I3" s="203"/>
      <c r="J3" s="203"/>
      <c r="K3" s="203"/>
      <c r="L3" s="203"/>
      <c r="M3" s="203"/>
      <c r="N3" s="204"/>
    </row>
    <row r="4" spans="1:15" ht="12" customHeight="1" x14ac:dyDescent="0.45">
      <c r="A4" s="69"/>
      <c r="F4" s="203" t="s">
        <v>64</v>
      </c>
      <c r="G4" s="203"/>
      <c r="H4" s="203"/>
      <c r="I4" s="203"/>
      <c r="J4" s="203"/>
      <c r="K4" s="203"/>
      <c r="L4" s="203"/>
      <c r="M4" s="203"/>
      <c r="N4" s="204"/>
    </row>
    <row r="5" spans="1:15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211">
        <f>'Global Strength'!H10</f>
        <v>731745</v>
      </c>
      <c r="N11" s="211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212">
        <f>'Global Strength'!H6</f>
        <v>13.7936</v>
      </c>
      <c r="N12" s="212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212">
        <f>'Global Strength'!H5</f>
        <v>4.4960000000000004</v>
      </c>
      <c r="N13" s="212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  <c r="M14" s="212"/>
      <c r="N14" s="212"/>
    </row>
    <row r="15" spans="1:15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211">
        <f>'Global Strength'!H27</f>
        <v>54033</v>
      </c>
      <c r="N15" s="211"/>
      <c r="O15" s="5" t="s">
        <v>93</v>
      </c>
    </row>
    <row r="16" spans="1:15" ht="12" customHeight="1" x14ac:dyDescent="0.3">
      <c r="F16" s="5"/>
      <c r="G16" s="5"/>
      <c r="M16" s="99"/>
    </row>
    <row r="17" spans="1:30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30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30" ht="12" customHeight="1" x14ac:dyDescent="0.45">
      <c r="C19" s="4" t="s">
        <v>97</v>
      </c>
    </row>
    <row r="20" spans="1:30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200"/>
      <c r="R20" s="77"/>
      <c r="S20" s="77"/>
    </row>
    <row r="21" spans="1:30" ht="12" customHeight="1" x14ac:dyDescent="0.45">
      <c r="A21" s="207" t="s">
        <v>101</v>
      </c>
      <c r="B21" s="207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8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/>
    </row>
    <row r="22" spans="1:30" ht="12" customHeight="1" x14ac:dyDescent="0.45">
      <c r="A22" s="207"/>
      <c r="B22" s="207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8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30" ht="12" customHeight="1" x14ac:dyDescent="0.45">
      <c r="A23" s="58">
        <v>1</v>
      </c>
      <c r="B23" s="58" t="s">
        <v>132</v>
      </c>
      <c r="C23" s="58">
        <v>0.75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>$M$11/($M$12/ABS($M$13-D23))/1000</f>
        <v>238.51101380350309</v>
      </c>
      <c r="R23" s="65">
        <v>0</v>
      </c>
      <c r="S23" s="65">
        <v>-45.6</v>
      </c>
      <c r="T23" s="60">
        <f t="shared" ref="T23:T24" si="0">SQRT(Q23^2+R23^2-Q23*R23+3*S23^2)</f>
        <v>251.24805214284714</v>
      </c>
      <c r="U23" s="59">
        <f>MIN(K23/$F$7,1.3*(K23/$F$7-T23))</f>
        <v>92.922986759753215</v>
      </c>
      <c r="V23" s="60">
        <f>14.3*$F$8/SQRT(K23/$F$7)</f>
        <v>3.98004706603921</v>
      </c>
      <c r="W23" s="60">
        <f>15.8*N23*L23*SQRT(J23)/SQRT(U23*P23)</f>
        <v>16.115246152295875</v>
      </c>
      <c r="X23" s="60">
        <f>MAX(V23,W23)+O23</f>
        <v>17.615246152295875</v>
      </c>
      <c r="Y23" s="146">
        <v>16</v>
      </c>
      <c r="Z23" s="60" t="str">
        <f>IF(MROUND(X23,0.5)&lt;=Y23,"OK","N.G")</f>
        <v>N.G</v>
      </c>
    </row>
    <row r="24" spans="1:30" ht="12" customHeight="1" x14ac:dyDescent="0.45">
      <c r="A24" s="58">
        <v>2</v>
      </c>
      <c r="B24" s="58" t="s">
        <v>132</v>
      </c>
      <c r="C24" s="58">
        <v>1.5</v>
      </c>
      <c r="D24" s="58">
        <v>0</v>
      </c>
      <c r="E24" s="59">
        <v>0</v>
      </c>
      <c r="F24" s="59">
        <v>0</v>
      </c>
      <c r="G24" s="59">
        <f t="shared" ref="G24:G64" si="1">E24*$F$18+F24*$F$17</f>
        <v>0</v>
      </c>
      <c r="H24" s="60">
        <f t="shared" ref="H24:H64" si="2">1.025*9.81*(($F$10+0.76)-D24)</f>
        <v>127.29946499999998</v>
      </c>
      <c r="I24" s="59">
        <v>0</v>
      </c>
      <c r="J24" s="59">
        <f t="shared" ref="J24:J64" si="3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ref="Q24:Q51" si="4">$M$11/($M$12/ABS($M$13-D24))/1000</f>
        <v>238.51101380350309</v>
      </c>
      <c r="R24" s="65">
        <v>0</v>
      </c>
      <c r="S24" s="65">
        <v>-25.9</v>
      </c>
      <c r="T24" s="60">
        <f t="shared" si="0"/>
        <v>242.69308540948347</v>
      </c>
      <c r="U24" s="59">
        <f>MIN(K24/$F$7,1.3*(K24/$F$7-T24))</f>
        <v>104.04444351312598</v>
      </c>
      <c r="V24" s="60">
        <f>14.3*$F$8/SQRT(K24/$F$7)</f>
        <v>3.98004706603921</v>
      </c>
      <c r="W24" s="60">
        <f>15.8*N24*L24*SQRT(J24)/SQRT(U24*P24)</f>
        <v>15.229620376822705</v>
      </c>
      <c r="X24" s="60">
        <f>MAX(V24,W24)+O24</f>
        <v>16.729620376822705</v>
      </c>
      <c r="Y24" s="146">
        <v>16</v>
      </c>
      <c r="Z24" s="60" t="str">
        <f t="shared" ref="Z24:Z64" si="5">IF(MROUND(X24,0.5)&lt;=Y24,"OK","N.G")</f>
        <v>N.G</v>
      </c>
    </row>
    <row r="25" spans="1:30" ht="12" customHeight="1" x14ac:dyDescent="0.45">
      <c r="A25" s="58">
        <v>3</v>
      </c>
      <c r="B25" s="58" t="s">
        <v>132</v>
      </c>
      <c r="C25" s="58">
        <v>2.25</v>
      </c>
      <c r="D25" s="58">
        <v>0</v>
      </c>
      <c r="E25" s="59">
        <v>0</v>
      </c>
      <c r="F25" s="59">
        <v>0</v>
      </c>
      <c r="G25" s="59">
        <f t="shared" si="1"/>
        <v>0</v>
      </c>
      <c r="H25" s="60">
        <f t="shared" si="2"/>
        <v>127.29946499999998</v>
      </c>
      <c r="I25" s="59">
        <v>0</v>
      </c>
      <c r="J25" s="59">
        <f t="shared" si="3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4"/>
        <v>238.51101380350309</v>
      </c>
      <c r="R25" s="65">
        <v>0</v>
      </c>
      <c r="S25" s="65">
        <v>-6.2999999999999901</v>
      </c>
      <c r="T25" s="60">
        <f>SQRT(Q25^2+R25^2-Q25*R25+3*S25^2)</f>
        <v>238.76049444071529</v>
      </c>
      <c r="U25" s="59">
        <f>MIN(K25/$F$7,1.3*(K25/$F$7-T25))</f>
        <v>109.15681177252462</v>
      </c>
      <c r="V25" s="60">
        <f t="shared" ref="V25:V64" si="6">14.3*$F$8/SQRT(K25/$F$7)</f>
        <v>3.98004706603921</v>
      </c>
      <c r="W25" s="60">
        <f t="shared" ref="W25:W30" si="7">15.8*N25*L25*SQRT(J25)/SQRT(U25*P25)</f>
        <v>14.868703549095635</v>
      </c>
      <c r="X25" s="60">
        <f t="shared" ref="X25:X64" si="8">MAX(V25,W25)+O25</f>
        <v>16.368703549095635</v>
      </c>
      <c r="Y25" s="146">
        <v>16</v>
      </c>
      <c r="Z25" s="60" t="str">
        <f t="shared" si="5"/>
        <v>N.G</v>
      </c>
    </row>
    <row r="26" spans="1:30" ht="12" customHeight="1" x14ac:dyDescent="0.45">
      <c r="A26" s="58">
        <v>4</v>
      </c>
      <c r="B26" s="58" t="s">
        <v>132</v>
      </c>
      <c r="C26" s="58">
        <v>3</v>
      </c>
      <c r="D26" s="58">
        <v>0</v>
      </c>
      <c r="E26" s="59">
        <v>0</v>
      </c>
      <c r="F26" s="59">
        <v>0</v>
      </c>
      <c r="G26" s="59">
        <f t="shared" si="1"/>
        <v>0</v>
      </c>
      <c r="H26" s="60">
        <f t="shared" si="2"/>
        <v>127.29946499999998</v>
      </c>
      <c r="I26" s="59">
        <v>0</v>
      </c>
      <c r="J26" s="59">
        <f t="shared" si="3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4"/>
        <v>238.51101380350309</v>
      </c>
      <c r="R26" s="65">
        <v>0</v>
      </c>
      <c r="S26" s="65">
        <v>13.3</v>
      </c>
      <c r="T26" s="60">
        <f t="shared" ref="T26:T64" si="9">SQRT(Q26^2+R26^2-Q26*R26+3*S26^2)</f>
        <v>239.62089580329766</v>
      </c>
      <c r="U26" s="59">
        <f>MIN(K26/$F$7,1.3*(K26/$F$7-T26))</f>
        <v>108.03829000116755</v>
      </c>
      <c r="V26" s="60">
        <f t="shared" si="6"/>
        <v>3.98004706603921</v>
      </c>
      <c r="W26" s="60">
        <f t="shared" si="7"/>
        <v>14.945473298351734</v>
      </c>
      <c r="X26" s="60">
        <f>MAX(V26,W26)+O26</f>
        <v>16.445473298351736</v>
      </c>
      <c r="Y26" s="146">
        <v>16</v>
      </c>
      <c r="Z26" s="60" t="str">
        <f t="shared" si="5"/>
        <v>N.G</v>
      </c>
    </row>
    <row r="27" spans="1:30" ht="12" customHeight="1" x14ac:dyDescent="0.45">
      <c r="A27" s="58">
        <v>5</v>
      </c>
      <c r="B27" s="58" t="s">
        <v>132</v>
      </c>
      <c r="C27" s="58">
        <v>3.75</v>
      </c>
      <c r="D27" s="58">
        <v>0</v>
      </c>
      <c r="E27" s="59">
        <v>0</v>
      </c>
      <c r="F27" s="59">
        <v>0</v>
      </c>
      <c r="G27" s="59">
        <f t="shared" si="1"/>
        <v>0</v>
      </c>
      <c r="H27" s="60">
        <f t="shared" si="2"/>
        <v>127.29946499999998</v>
      </c>
      <c r="I27" s="59">
        <v>0</v>
      </c>
      <c r="J27" s="59">
        <f t="shared" si="3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4"/>
        <v>238.51101380350309</v>
      </c>
      <c r="R27" s="65">
        <v>0</v>
      </c>
      <c r="S27" s="65">
        <v>33</v>
      </c>
      <c r="T27" s="60">
        <f t="shared" si="9"/>
        <v>245.26415087732417</v>
      </c>
      <c r="U27" s="59">
        <f>MIN(K27/$F$7,1.3*(K27/$F$7-T27))</f>
        <v>100.70205840493308</v>
      </c>
      <c r="V27" s="60">
        <f t="shared" si="6"/>
        <v>3.98004706603921</v>
      </c>
      <c r="W27" s="60">
        <f t="shared" si="7"/>
        <v>15.480299182489908</v>
      </c>
      <c r="X27" s="60">
        <f t="shared" si="8"/>
        <v>16.980299182489908</v>
      </c>
      <c r="Y27" s="146">
        <v>16</v>
      </c>
      <c r="Z27" s="60" t="str">
        <f t="shared" si="5"/>
        <v>N.G</v>
      </c>
    </row>
    <row r="28" spans="1:30" ht="12" customHeight="1" x14ac:dyDescent="0.45">
      <c r="A28" s="58">
        <v>6</v>
      </c>
      <c r="B28" s="58" t="s">
        <v>132</v>
      </c>
      <c r="C28" s="58">
        <v>4.5</v>
      </c>
      <c r="D28" s="58">
        <v>0</v>
      </c>
      <c r="E28" s="59">
        <v>0</v>
      </c>
      <c r="F28" s="59">
        <v>0</v>
      </c>
      <c r="G28" s="59">
        <f t="shared" si="1"/>
        <v>0</v>
      </c>
      <c r="H28" s="60">
        <f t="shared" si="2"/>
        <v>127.29946499999998</v>
      </c>
      <c r="I28" s="59">
        <v>0</v>
      </c>
      <c r="J28" s="59">
        <f t="shared" si="3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4"/>
        <v>238.51101380350309</v>
      </c>
      <c r="R28" s="65">
        <v>0</v>
      </c>
      <c r="S28" s="65">
        <v>52.6</v>
      </c>
      <c r="T28" s="60">
        <f t="shared" si="9"/>
        <v>255.3189842247827</v>
      </c>
      <c r="U28" s="59">
        <f t="shared" ref="U28:U30" si="10">MIN(K28/$F$7,1.3*(K28/$F$7-T28))</f>
        <v>87.630775053237002</v>
      </c>
      <c r="V28" s="60">
        <f t="shared" si="6"/>
        <v>3.98004706603921</v>
      </c>
      <c r="W28" s="60">
        <f t="shared" si="7"/>
        <v>16.594730254724396</v>
      </c>
      <c r="X28" s="60">
        <f t="shared" si="8"/>
        <v>18.094730254724396</v>
      </c>
      <c r="Y28" s="146">
        <v>16</v>
      </c>
      <c r="Z28" s="60" t="str">
        <f t="shared" si="5"/>
        <v>N.G</v>
      </c>
    </row>
    <row r="29" spans="1:30" ht="12" customHeight="1" x14ac:dyDescent="0.45">
      <c r="A29" s="58">
        <v>7</v>
      </c>
      <c r="B29" s="58" t="s">
        <v>132</v>
      </c>
      <c r="C29" s="58">
        <v>5.25</v>
      </c>
      <c r="D29" s="58">
        <v>0</v>
      </c>
      <c r="E29" s="59">
        <v>0</v>
      </c>
      <c r="F29" s="59">
        <v>0</v>
      </c>
      <c r="G29" s="59">
        <f t="shared" si="1"/>
        <v>0</v>
      </c>
      <c r="H29" s="60">
        <f t="shared" si="2"/>
        <v>127.29946499999998</v>
      </c>
      <c r="I29" s="59">
        <v>0</v>
      </c>
      <c r="J29" s="59">
        <f t="shared" si="3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4"/>
        <v>238.51101380350309</v>
      </c>
      <c r="R29" s="65">
        <v>0</v>
      </c>
      <c r="S29" s="65">
        <v>72.2</v>
      </c>
      <c r="T29" s="60">
        <f t="shared" si="9"/>
        <v>269.3065608290575</v>
      </c>
      <c r="U29" s="59">
        <f t="shared" si="10"/>
        <v>69.446925467679748</v>
      </c>
      <c r="V29" s="60">
        <f t="shared" si="6"/>
        <v>3.98004706603921</v>
      </c>
      <c r="W29" s="60">
        <f t="shared" si="7"/>
        <v>18.641120423350646</v>
      </c>
      <c r="X29" s="60">
        <f t="shared" si="8"/>
        <v>20.141120423350646</v>
      </c>
      <c r="Y29" s="146">
        <v>16</v>
      </c>
      <c r="Z29" s="60" t="str">
        <f>IF(MROUND(X29,0.5)&lt;=Y29,"OK","N.G")</f>
        <v>N.G</v>
      </c>
    </row>
    <row r="30" spans="1:30" ht="12" customHeight="1" x14ac:dyDescent="0.45">
      <c r="A30" s="58">
        <v>8</v>
      </c>
      <c r="B30" s="58" t="s">
        <v>132</v>
      </c>
      <c r="C30" s="58">
        <v>6</v>
      </c>
      <c r="D30" s="58">
        <v>0</v>
      </c>
      <c r="E30" s="59">
        <v>0</v>
      </c>
      <c r="F30" s="59">
        <v>0</v>
      </c>
      <c r="G30" s="59">
        <f t="shared" si="1"/>
        <v>0</v>
      </c>
      <c r="H30" s="60">
        <f t="shared" si="2"/>
        <v>127.29946499999998</v>
      </c>
      <c r="I30" s="59">
        <v>0</v>
      </c>
      <c r="J30" s="59">
        <f t="shared" si="3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4"/>
        <v>238.51101380350309</v>
      </c>
      <c r="R30" s="65">
        <v>0</v>
      </c>
      <c r="S30" s="65">
        <v>84.8</v>
      </c>
      <c r="T30" s="60">
        <f t="shared" si="9"/>
        <v>280.1082356975154</v>
      </c>
      <c r="U30" s="59">
        <f t="shared" si="10"/>
        <v>55.404748138684482</v>
      </c>
      <c r="V30" s="60">
        <f t="shared" si="6"/>
        <v>3.98004706603921</v>
      </c>
      <c r="W30" s="60">
        <f t="shared" si="7"/>
        <v>20.870124090915571</v>
      </c>
      <c r="X30" s="60">
        <f t="shared" si="8"/>
        <v>22.370124090915571</v>
      </c>
      <c r="Y30" s="146">
        <v>16</v>
      </c>
      <c r="Z30" s="60" t="str">
        <f t="shared" si="5"/>
        <v>N.G</v>
      </c>
    </row>
    <row r="31" spans="1:30" ht="12" customHeight="1" x14ac:dyDescent="0.3">
      <c r="A31" s="82">
        <v>17</v>
      </c>
      <c r="B31" s="82" t="s">
        <v>133</v>
      </c>
      <c r="C31" s="82">
        <v>6</v>
      </c>
      <c r="D31" s="86">
        <v>0</v>
      </c>
      <c r="E31" s="83">
        <v>0</v>
      </c>
      <c r="F31" s="83">
        <v>0</v>
      </c>
      <c r="G31" s="83">
        <f t="shared" si="1"/>
        <v>0</v>
      </c>
      <c r="H31" s="86">
        <f>1.025*9.81*(($F$10+0.76)-D31)</f>
        <v>127.29946499999998</v>
      </c>
      <c r="I31" s="83">
        <v>0</v>
      </c>
      <c r="J31" s="83">
        <f t="shared" si="3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4"/>
        <v>238.51101380350309</v>
      </c>
      <c r="R31" s="85">
        <v>0</v>
      </c>
      <c r="S31" s="85">
        <v>84.8</v>
      </c>
      <c r="T31" s="86">
        <f>SQRT(Q31^2+R31^2-Q31*R31+3*S31^2)</f>
        <v>280.1082356975154</v>
      </c>
      <c r="U31" s="83">
        <f>MIN(K31/$F$7,1.3*(K31/$F$7-T31))</f>
        <v>55.404748138684482</v>
      </c>
      <c r="V31" s="86">
        <f>14.3*$F$8/SQRT(K31/$F$7)</f>
        <v>3.98004706603921</v>
      </c>
      <c r="W31" s="86">
        <f>15.8*N31*L31*SQRT(J31)/SQRT(U31*P31)</f>
        <v>19.478782484854531</v>
      </c>
      <c r="X31" s="86">
        <f t="shared" si="8"/>
        <v>20.978782484854531</v>
      </c>
      <c r="Y31" s="196" ph="1">
        <v>16</v>
      </c>
      <c r="Z31" s="86" t="str">
        <f>IF(MROUND(X31,0.5)&lt;=Y31,"OK","N.G")</f>
        <v>N.G</v>
      </c>
    </row>
    <row r="32" spans="1:30" ht="12" customHeight="1" x14ac:dyDescent="0.3">
      <c r="A32" s="82">
        <v>18</v>
      </c>
      <c r="B32" s="82" t="s">
        <v>133</v>
      </c>
      <c r="C32" s="82">
        <v>6</v>
      </c>
      <c r="D32" s="86">
        <v>0.7</v>
      </c>
      <c r="E32" s="83">
        <v>0</v>
      </c>
      <c r="F32" s="83">
        <v>0</v>
      </c>
      <c r="G32" s="83">
        <f t="shared" si="1"/>
        <v>0</v>
      </c>
      <c r="H32" s="86">
        <f t="shared" si="2"/>
        <v>120.26079</v>
      </c>
      <c r="I32" s="83">
        <v>0</v>
      </c>
      <c r="J32" s="83">
        <f t="shared" si="3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4"/>
        <v>201.37629190349148</v>
      </c>
      <c r="R32" s="85">
        <v>0</v>
      </c>
      <c r="S32" s="85">
        <v>100.6</v>
      </c>
      <c r="T32" s="86">
        <f t="shared" si="9"/>
        <v>266.2958710547353</v>
      </c>
      <c r="U32" s="83">
        <f t="shared" ref="U32:U64" si="11">MIN(K32/$F$7,1.3*(K32/$F$7-T32))</f>
        <v>73.360822174298605</v>
      </c>
      <c r="V32" s="86">
        <f t="shared" si="6"/>
        <v>3.98004706603921</v>
      </c>
      <c r="W32" s="86">
        <f t="shared" ref="W32:W51" si="12">15.8*N32*L32*SQRT(J32)/SQRT(U32*P32)</f>
        <v>16.453259311541743</v>
      </c>
      <c r="X32" s="86">
        <f t="shared" si="8"/>
        <v>17.953259311541743</v>
      </c>
      <c r="Y32" s="196" ph="1">
        <v>16</v>
      </c>
      <c r="Z32" s="86" t="str">
        <f>IF(MROUND(X32,0.5)&lt;=Y32,"OK","N.G")</f>
        <v>N.G</v>
      </c>
    </row>
    <row r="33" spans="1:26" ht="15" customHeight="1" x14ac:dyDescent="0.3">
      <c r="A33" s="82">
        <v>19</v>
      </c>
      <c r="B33" s="82" t="s">
        <v>133</v>
      </c>
      <c r="C33" s="82">
        <v>6</v>
      </c>
      <c r="D33" s="86">
        <v>1.4</v>
      </c>
      <c r="E33" s="83">
        <v>0</v>
      </c>
      <c r="F33" s="83">
        <v>0</v>
      </c>
      <c r="G33" s="83">
        <f t="shared" si="1"/>
        <v>0</v>
      </c>
      <c r="H33" s="86">
        <f t="shared" si="2"/>
        <v>113.22211499999999</v>
      </c>
      <c r="I33" s="83">
        <v>0</v>
      </c>
      <c r="J33" s="83">
        <f t="shared" si="3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4"/>
        <v>164.24157000347992</v>
      </c>
      <c r="R33" s="85">
        <v>0</v>
      </c>
      <c r="S33" s="85">
        <v>113.7</v>
      </c>
      <c r="T33" s="86">
        <f t="shared" si="9"/>
        <v>256.43393558031272</v>
      </c>
      <c r="U33" s="83">
        <f t="shared" si="11"/>
        <v>86.181338291047965</v>
      </c>
      <c r="V33" s="86">
        <f t="shared" si="6"/>
        <v>3.98004706603921</v>
      </c>
      <c r="W33" s="86">
        <f t="shared" si="12"/>
        <v>14.729263308376552</v>
      </c>
      <c r="X33" s="86">
        <f t="shared" si="8"/>
        <v>16.229263308376552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6</v>
      </c>
      <c r="D34" s="86">
        <f>D33+0.7</f>
        <v>2.0999999999999996</v>
      </c>
      <c r="E34" s="83">
        <v>0</v>
      </c>
      <c r="F34" s="83">
        <v>0</v>
      </c>
      <c r="G34" s="83">
        <f t="shared" si="1"/>
        <v>0</v>
      </c>
      <c r="H34" s="86">
        <f t="shared" si="2"/>
        <v>106.18343999999999</v>
      </c>
      <c r="I34" s="83">
        <v>0</v>
      </c>
      <c r="J34" s="83">
        <f t="shared" si="3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4"/>
        <v>127.10684810346832</v>
      </c>
      <c r="R34" s="85">
        <v>0</v>
      </c>
      <c r="S34" s="85">
        <v>124</v>
      </c>
      <c r="T34" s="86">
        <f t="shared" si="9"/>
        <v>249.56792829768446</v>
      </c>
      <c r="U34" s="83">
        <f t="shared" si="11"/>
        <v>95.107147758464706</v>
      </c>
      <c r="V34" s="86">
        <f t="shared" si="6"/>
        <v>3.98004706603921</v>
      </c>
      <c r="W34" s="86">
        <f t="shared" si="12"/>
        <v>13.57825085689988</v>
      </c>
      <c r="X34" s="86">
        <f t="shared" si="8"/>
        <v>15.07825085689988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6</v>
      </c>
      <c r="D35" s="86">
        <f t="shared" ref="D35:D43" si="13">D34+0.7</f>
        <v>2.8</v>
      </c>
      <c r="E35" s="83">
        <v>0</v>
      </c>
      <c r="F35" s="83">
        <v>0</v>
      </c>
      <c r="G35" s="83">
        <f t="shared" si="1"/>
        <v>0</v>
      </c>
      <c r="H35" s="86">
        <f t="shared" si="2"/>
        <v>99.144764999999992</v>
      </c>
      <c r="I35" s="83">
        <v>0</v>
      </c>
      <c r="J35" s="83">
        <f t="shared" si="3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4"/>
        <v>89.972126203456725</v>
      </c>
      <c r="R35" s="85">
        <v>0</v>
      </c>
      <c r="S35" s="85">
        <v>130.9</v>
      </c>
      <c r="T35" s="86">
        <f t="shared" si="9"/>
        <v>243.92501612907756</v>
      </c>
      <c r="U35" s="83">
        <f t="shared" si="11"/>
        <v>102.44293357765368</v>
      </c>
      <c r="V35" s="86">
        <f t="shared" si="6"/>
        <v>3.98004706603921</v>
      </c>
      <c r="W35" s="86">
        <f t="shared" si="12"/>
        <v>12.642003371409864</v>
      </c>
      <c r="X35" s="86">
        <f t="shared" si="8"/>
        <v>14.142003371409864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6</v>
      </c>
      <c r="D36" s="86">
        <f t="shared" si="13"/>
        <v>3.5</v>
      </c>
      <c r="E36" s="83">
        <v>0</v>
      </c>
      <c r="F36" s="83">
        <v>0</v>
      </c>
      <c r="G36" s="83">
        <f t="shared" si="1"/>
        <v>0</v>
      </c>
      <c r="H36" s="86">
        <f t="shared" si="2"/>
        <v>92.106089999999995</v>
      </c>
      <c r="I36" s="83">
        <v>0</v>
      </c>
      <c r="J36" s="83">
        <f t="shared" si="3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4"/>
        <v>52.837404303445105</v>
      </c>
      <c r="R36" s="85">
        <v>0</v>
      </c>
      <c r="S36" s="85">
        <v>135.4</v>
      </c>
      <c r="T36" s="86">
        <f t="shared" si="9"/>
        <v>240.39815160172449</v>
      </c>
      <c r="U36" s="83">
        <f t="shared" si="11"/>
        <v>107.02785746321265</v>
      </c>
      <c r="V36" s="86">
        <f t="shared" si="6"/>
        <v>3.98004706603921</v>
      </c>
      <c r="W36" s="86">
        <f t="shared" si="12"/>
        <v>11.921139460544543</v>
      </c>
      <c r="X36" s="86">
        <f t="shared" si="8"/>
        <v>13.421139460544543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6</v>
      </c>
      <c r="D37" s="86">
        <f t="shared" si="13"/>
        <v>4.2</v>
      </c>
      <c r="E37" s="83">
        <v>0</v>
      </c>
      <c r="F37" s="83">
        <v>0</v>
      </c>
      <c r="G37" s="83">
        <f t="shared" si="1"/>
        <v>0</v>
      </c>
      <c r="H37" s="86">
        <f t="shared" si="2"/>
        <v>85.067414999999997</v>
      </c>
      <c r="I37" s="83">
        <v>0</v>
      </c>
      <c r="J37" s="83">
        <f t="shared" si="3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4"/>
        <v>15.702682403433489</v>
      </c>
      <c r="R37" s="85">
        <v>0</v>
      </c>
      <c r="S37" s="85">
        <v>137.30000000000001</v>
      </c>
      <c r="T37" s="86">
        <f t="shared" si="9"/>
        <v>238.32843773805743</v>
      </c>
      <c r="U37" s="83">
        <f t="shared" si="11"/>
        <v>109.71848548597984</v>
      </c>
      <c r="V37" s="86">
        <f t="shared" si="6"/>
        <v>3.98004706603921</v>
      </c>
      <c r="W37" s="86">
        <f t="shared" si="12"/>
        <v>11.315238883243959</v>
      </c>
      <c r="X37" s="86">
        <f t="shared" si="8"/>
        <v>12.815238883243959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6</v>
      </c>
      <c r="D38" s="86">
        <f t="shared" si="13"/>
        <v>4.9000000000000004</v>
      </c>
      <c r="E38" s="83">
        <v>0</v>
      </c>
      <c r="F38" s="83">
        <v>0</v>
      </c>
      <c r="G38" s="83">
        <f t="shared" si="1"/>
        <v>0</v>
      </c>
      <c r="H38" s="86">
        <f t="shared" si="2"/>
        <v>78.028739999999985</v>
      </c>
      <c r="I38" s="83">
        <v>0</v>
      </c>
      <c r="J38" s="83">
        <f t="shared" si="3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4"/>
        <v>21.43203949657812</v>
      </c>
      <c r="R38" s="85">
        <v>0</v>
      </c>
      <c r="S38" s="85">
        <v>136.69999999999999</v>
      </c>
      <c r="T38" s="86">
        <f t="shared" si="9"/>
        <v>237.73935794685505</v>
      </c>
      <c r="U38" s="83">
        <f t="shared" si="11"/>
        <v>110.48428921454294</v>
      </c>
      <c r="V38" s="86">
        <f t="shared" si="6"/>
        <v>3.98004706603921</v>
      </c>
      <c r="W38" s="86">
        <f t="shared" si="12"/>
        <v>10.7993855241877</v>
      </c>
      <c r="X38" s="86">
        <f t="shared" si="8"/>
        <v>12.2993855241877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6</v>
      </c>
      <c r="D39" s="86">
        <f t="shared" si="13"/>
        <v>5.6000000000000005</v>
      </c>
      <c r="E39" s="83">
        <v>0</v>
      </c>
      <c r="F39" s="83">
        <v>0</v>
      </c>
      <c r="G39" s="83">
        <f t="shared" si="1"/>
        <v>0</v>
      </c>
      <c r="H39" s="86">
        <f t="shared" si="2"/>
        <v>70.990064999999987</v>
      </c>
      <c r="I39" s="83">
        <v>0</v>
      </c>
      <c r="J39" s="83">
        <f t="shared" si="3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4"/>
        <v>58.566761396589733</v>
      </c>
      <c r="R39" s="85">
        <v>0</v>
      </c>
      <c r="S39" s="85">
        <v>130.30000000000001</v>
      </c>
      <c r="T39" s="86">
        <f t="shared" si="9"/>
        <v>233.16160820444924</v>
      </c>
      <c r="U39" s="83">
        <f t="shared" si="11"/>
        <v>116.43536387967049</v>
      </c>
      <c r="V39" s="86">
        <f t="shared" si="6"/>
        <v>3.98004706603921</v>
      </c>
      <c r="W39" s="86">
        <f t="shared" si="12"/>
        <v>10.034098171293822</v>
      </c>
      <c r="X39" s="86">
        <f t="shared" si="8"/>
        <v>11.534098171293822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6</v>
      </c>
      <c r="D40" s="86">
        <f t="shared" si="13"/>
        <v>6.3000000000000007</v>
      </c>
      <c r="E40" s="83">
        <v>0</v>
      </c>
      <c r="F40" s="83">
        <v>0</v>
      </c>
      <c r="G40" s="83">
        <f t="shared" si="1"/>
        <v>0</v>
      </c>
      <c r="H40" s="86">
        <f t="shared" si="2"/>
        <v>63.951389999999989</v>
      </c>
      <c r="I40" s="83">
        <v>0</v>
      </c>
      <c r="J40" s="83">
        <f t="shared" si="3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4"/>
        <v>95.701483296601339</v>
      </c>
      <c r="R40" s="85">
        <v>0</v>
      </c>
      <c r="S40" s="85">
        <v>124</v>
      </c>
      <c r="T40" s="86">
        <f t="shared" si="9"/>
        <v>235.13139710631938</v>
      </c>
      <c r="U40" s="83">
        <f t="shared" si="11"/>
        <v>113.87463830723931</v>
      </c>
      <c r="V40" s="86">
        <f t="shared" si="6"/>
        <v>3.98004706603921</v>
      </c>
      <c r="W40" s="86">
        <f t="shared" si="12"/>
        <v>9.6301599420954638</v>
      </c>
      <c r="X40" s="86">
        <f t="shared" si="8"/>
        <v>11.130159942095464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6</v>
      </c>
      <c r="D41" s="86">
        <f t="shared" si="13"/>
        <v>7.0000000000000009</v>
      </c>
      <c r="E41" s="83">
        <v>0</v>
      </c>
      <c r="F41" s="83">
        <v>0</v>
      </c>
      <c r="G41" s="83">
        <f t="shared" si="1"/>
        <v>0</v>
      </c>
      <c r="H41" s="86">
        <f t="shared" si="2"/>
        <v>56.912714999999984</v>
      </c>
      <c r="I41" s="83">
        <v>0</v>
      </c>
      <c r="J41" s="83">
        <f t="shared" si="3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4"/>
        <v>132.83620519661295</v>
      </c>
      <c r="R41" s="85">
        <v>0</v>
      </c>
      <c r="S41" s="85">
        <v>91.9</v>
      </c>
      <c r="T41" s="86">
        <f t="shared" si="9"/>
        <v>207.32170028975904</v>
      </c>
      <c r="U41" s="83">
        <f t="shared" si="11"/>
        <v>150.02724416876777</v>
      </c>
      <c r="V41" s="86">
        <f t="shared" si="6"/>
        <v>3.98004706603921</v>
      </c>
      <c r="W41" s="86">
        <f t="shared" si="12"/>
        <v>7.9148301101466734</v>
      </c>
      <c r="X41" s="86">
        <f t="shared" si="8"/>
        <v>9.4148301101466743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6</v>
      </c>
      <c r="D42" s="86">
        <f t="shared" si="13"/>
        <v>7.7000000000000011</v>
      </c>
      <c r="E42" s="83">
        <v>0</v>
      </c>
      <c r="F42" s="83">
        <v>0</v>
      </c>
      <c r="G42" s="83">
        <f t="shared" si="1"/>
        <v>0</v>
      </c>
      <c r="H42" s="86">
        <f t="shared" si="2"/>
        <v>49.874039999999987</v>
      </c>
      <c r="I42" s="83">
        <v>0</v>
      </c>
      <c r="J42" s="83">
        <f t="shared" si="3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4"/>
        <v>169.97092709662454</v>
      </c>
      <c r="R42" s="85">
        <v>0</v>
      </c>
      <c r="S42" s="85">
        <v>81</v>
      </c>
      <c r="T42" s="86">
        <f t="shared" si="9"/>
        <v>220.39309439745622</v>
      </c>
      <c r="U42" s="83">
        <f t="shared" si="11"/>
        <v>133.0344318287614</v>
      </c>
      <c r="V42" s="86">
        <f t="shared" si="6"/>
        <v>3.98004706603921</v>
      </c>
      <c r="W42" s="86">
        <f t="shared" si="12"/>
        <v>7.8682338004738961</v>
      </c>
      <c r="X42" s="86">
        <f t="shared" si="8"/>
        <v>9.3682338004738952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6</v>
      </c>
      <c r="D43" s="86">
        <f t="shared" si="13"/>
        <v>8.4</v>
      </c>
      <c r="E43" s="83">
        <v>0</v>
      </c>
      <c r="F43" s="83">
        <v>0</v>
      </c>
      <c r="G43" s="83">
        <f t="shared" si="1"/>
        <v>0</v>
      </c>
      <c r="H43" s="86">
        <f>1.025*9.81*(($F$10+0.76)-D43)</f>
        <v>42.835364999999996</v>
      </c>
      <c r="I43" s="83">
        <v>0</v>
      </c>
      <c r="J43" s="83">
        <f t="shared" si="3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4"/>
        <v>207.10564899663612</v>
      </c>
      <c r="R43" s="85">
        <v>0</v>
      </c>
      <c r="S43" s="85">
        <v>71.599999999999994</v>
      </c>
      <c r="T43" s="86">
        <f t="shared" si="9"/>
        <v>241.39683064679585</v>
      </c>
      <c r="U43" s="83">
        <f t="shared" si="11"/>
        <v>105.72957470461989</v>
      </c>
      <c r="V43" s="86">
        <f t="shared" si="6"/>
        <v>3.98004706603921</v>
      </c>
      <c r="W43" s="86">
        <f t="shared" si="12"/>
        <v>8.179466998702468</v>
      </c>
      <c r="X43" s="86">
        <f t="shared" si="8"/>
        <v>9.679466998702468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7">
        <v>49</v>
      </c>
      <c r="B44" s="87" t="s">
        <v>134</v>
      </c>
      <c r="C44" s="87">
        <v>0.75</v>
      </c>
      <c r="D44" s="87">
        <v>8.4</v>
      </c>
      <c r="E44" s="88">
        <v>0</v>
      </c>
      <c r="F44" s="88">
        <v>0</v>
      </c>
      <c r="G44" s="88">
        <f t="shared" si="1"/>
        <v>0</v>
      </c>
      <c r="H44" s="91">
        <f t="shared" si="2"/>
        <v>42.835364999999996</v>
      </c>
      <c r="I44" s="88">
        <v>0</v>
      </c>
      <c r="J44" s="88">
        <f t="shared" si="3"/>
        <v>57.827742749999999</v>
      </c>
      <c r="K44" s="88">
        <v>355</v>
      </c>
      <c r="L44" s="89">
        <v>0.75</v>
      </c>
      <c r="M44" s="89">
        <v>4</v>
      </c>
      <c r="N44" s="90">
        <v>1</v>
      </c>
      <c r="O44" s="90">
        <v>1.5</v>
      </c>
      <c r="P44" s="90">
        <v>1</v>
      </c>
      <c r="Q44" s="90">
        <f t="shared" si="4"/>
        <v>207.10564899663612</v>
      </c>
      <c r="R44" s="90">
        <v>0</v>
      </c>
      <c r="S44" s="90">
        <v>-42.4</v>
      </c>
      <c r="T44" s="91">
        <f>SQRT(Q44^2+R44^2-Q44*R44+3*S44^2)</f>
        <v>219.74082425966697</v>
      </c>
      <c r="U44" s="88">
        <f>MIN(K44/$F$7,1.3*(K44/$F$7-T44))</f>
        <v>133.88238300788746</v>
      </c>
      <c r="V44" s="91">
        <f t="shared" si="6"/>
        <v>3.98004706603921</v>
      </c>
      <c r="W44" s="91">
        <f>15.8*N44*L44*SQRT(J44)/SQRT(U44*P44)</f>
        <v>7.7879786736661183</v>
      </c>
      <c r="X44" s="91">
        <f t="shared" si="8"/>
        <v>9.2879786736661174</v>
      </c>
      <c r="Y44" s="197" ph="1">
        <v>20</v>
      </c>
      <c r="Z44" s="91" t="str">
        <f t="shared" si="5"/>
        <v>OK</v>
      </c>
    </row>
    <row r="45" spans="1:26" ht="15" customHeight="1" x14ac:dyDescent="0.3">
      <c r="A45" s="87">
        <v>50</v>
      </c>
      <c r="B45" s="87" t="s">
        <v>134</v>
      </c>
      <c r="C45" s="87">
        <v>1.5</v>
      </c>
      <c r="D45" s="87">
        <v>8.4</v>
      </c>
      <c r="E45" s="88">
        <v>0</v>
      </c>
      <c r="F45" s="88">
        <v>0</v>
      </c>
      <c r="G45" s="88">
        <f t="shared" si="1"/>
        <v>0</v>
      </c>
      <c r="H45" s="91">
        <f t="shared" si="2"/>
        <v>42.835364999999996</v>
      </c>
      <c r="I45" s="88">
        <v>0</v>
      </c>
      <c r="J45" s="88">
        <f t="shared" si="3"/>
        <v>57.827742749999999</v>
      </c>
      <c r="K45" s="88">
        <v>355</v>
      </c>
      <c r="L45" s="89">
        <v>0.75</v>
      </c>
      <c r="M45" s="89">
        <v>4</v>
      </c>
      <c r="N45" s="90">
        <v>1</v>
      </c>
      <c r="O45" s="90">
        <v>1.5</v>
      </c>
      <c r="P45" s="90">
        <v>1</v>
      </c>
      <c r="Q45" s="90">
        <f t="shared" si="4"/>
        <v>207.10564899663612</v>
      </c>
      <c r="R45" s="90">
        <v>0</v>
      </c>
      <c r="S45" s="90">
        <v>-26.1</v>
      </c>
      <c r="T45" s="91">
        <f t="shared" si="9"/>
        <v>211.98202717758372</v>
      </c>
      <c r="U45" s="88">
        <f t="shared" si="11"/>
        <v>143.96881921459567</v>
      </c>
      <c r="V45" s="91">
        <f t="shared" si="6"/>
        <v>3.98004706603921</v>
      </c>
      <c r="W45" s="91">
        <f t="shared" si="12"/>
        <v>7.5102129100615258</v>
      </c>
      <c r="X45" s="91">
        <f t="shared" si="8"/>
        <v>9.0102129100615258</v>
      </c>
      <c r="Y45" s="197" ph="1">
        <v>20</v>
      </c>
      <c r="Z45" s="91" t="str">
        <f t="shared" si="5"/>
        <v>OK</v>
      </c>
    </row>
    <row r="46" spans="1:26" ht="15" customHeight="1" x14ac:dyDescent="0.3">
      <c r="A46" s="87">
        <v>51</v>
      </c>
      <c r="B46" s="87" t="s">
        <v>134</v>
      </c>
      <c r="C46" s="87">
        <v>2.25</v>
      </c>
      <c r="D46" s="87">
        <v>8.4</v>
      </c>
      <c r="E46" s="88">
        <v>0</v>
      </c>
      <c r="F46" s="88">
        <v>0</v>
      </c>
      <c r="G46" s="88">
        <f t="shared" si="1"/>
        <v>0</v>
      </c>
      <c r="H46" s="91">
        <f t="shared" si="2"/>
        <v>42.835364999999996</v>
      </c>
      <c r="I46" s="88">
        <v>0</v>
      </c>
      <c r="J46" s="88">
        <f t="shared" si="3"/>
        <v>57.827742749999999</v>
      </c>
      <c r="K46" s="88">
        <v>355</v>
      </c>
      <c r="L46" s="89">
        <v>0.75</v>
      </c>
      <c r="M46" s="89">
        <v>4</v>
      </c>
      <c r="N46" s="90">
        <v>1</v>
      </c>
      <c r="O46" s="90">
        <v>1.5</v>
      </c>
      <c r="P46" s="90">
        <v>1</v>
      </c>
      <c r="Q46" s="90">
        <f t="shared" si="4"/>
        <v>207.10564899663612</v>
      </c>
      <c r="R46" s="90">
        <v>0</v>
      </c>
      <c r="S46" s="90">
        <v>-9.7999999999999794</v>
      </c>
      <c r="T46" s="91">
        <f t="shared" si="9"/>
        <v>207.80007181499681</v>
      </c>
      <c r="U46" s="88">
        <f t="shared" si="11"/>
        <v>149.40536118595864</v>
      </c>
      <c r="V46" s="91">
        <f t="shared" si="6"/>
        <v>3.98004706603921</v>
      </c>
      <c r="W46" s="91">
        <f t="shared" si="12"/>
        <v>7.3723064516096866</v>
      </c>
      <c r="X46" s="91">
        <f t="shared" si="8"/>
        <v>8.8723064516096866</v>
      </c>
      <c r="Y46" s="197" ph="1">
        <v>20</v>
      </c>
      <c r="Z46" s="91" t="str">
        <f t="shared" si="5"/>
        <v>OK</v>
      </c>
    </row>
    <row r="47" spans="1:26" ht="15" customHeight="1" x14ac:dyDescent="0.3">
      <c r="A47" s="87">
        <v>52</v>
      </c>
      <c r="B47" s="87" t="s">
        <v>134</v>
      </c>
      <c r="C47" s="87">
        <v>3</v>
      </c>
      <c r="D47" s="87">
        <v>8.4</v>
      </c>
      <c r="E47" s="88">
        <v>0</v>
      </c>
      <c r="F47" s="88">
        <v>0</v>
      </c>
      <c r="G47" s="88">
        <f t="shared" si="1"/>
        <v>0</v>
      </c>
      <c r="H47" s="91">
        <f t="shared" si="2"/>
        <v>42.835364999999996</v>
      </c>
      <c r="I47" s="88">
        <v>0</v>
      </c>
      <c r="J47" s="88">
        <f t="shared" si="3"/>
        <v>57.827742749999999</v>
      </c>
      <c r="K47" s="88">
        <v>355</v>
      </c>
      <c r="L47" s="89">
        <v>0.75</v>
      </c>
      <c r="M47" s="89">
        <v>4</v>
      </c>
      <c r="N47" s="90">
        <v>1</v>
      </c>
      <c r="O47" s="90">
        <v>1.5</v>
      </c>
      <c r="P47" s="90">
        <v>1</v>
      </c>
      <c r="Q47" s="90">
        <f t="shared" si="4"/>
        <v>207.10564899663612</v>
      </c>
      <c r="R47" s="90">
        <v>0</v>
      </c>
      <c r="S47" s="90">
        <v>6.5</v>
      </c>
      <c r="T47" s="91">
        <f t="shared" si="9"/>
        <v>207.41142650856494</v>
      </c>
      <c r="U47" s="88">
        <f t="shared" si="11"/>
        <v>149.91060008432007</v>
      </c>
      <c r="V47" s="91">
        <f t="shared" si="6"/>
        <v>3.98004706603921</v>
      </c>
      <c r="W47" s="91">
        <f t="shared" si="12"/>
        <v>7.3598726421893552</v>
      </c>
      <c r="X47" s="91">
        <f t="shared" si="8"/>
        <v>8.8598726421893552</v>
      </c>
      <c r="Y47" s="197" ph="1">
        <v>20</v>
      </c>
      <c r="Z47" s="91" t="str">
        <f t="shared" si="5"/>
        <v>OK</v>
      </c>
    </row>
    <row r="48" spans="1:26" ht="15" customHeight="1" x14ac:dyDescent="0.3">
      <c r="A48" s="87">
        <v>53</v>
      </c>
      <c r="B48" s="87" t="s">
        <v>134</v>
      </c>
      <c r="C48" s="87">
        <v>3.75</v>
      </c>
      <c r="D48" s="87">
        <v>8.4</v>
      </c>
      <c r="E48" s="88">
        <v>0</v>
      </c>
      <c r="F48" s="88">
        <v>0</v>
      </c>
      <c r="G48" s="88">
        <f t="shared" si="1"/>
        <v>0</v>
      </c>
      <c r="H48" s="91">
        <f t="shared" si="2"/>
        <v>42.835364999999996</v>
      </c>
      <c r="I48" s="88">
        <v>0</v>
      </c>
      <c r="J48" s="88">
        <f t="shared" si="3"/>
        <v>57.827742749999999</v>
      </c>
      <c r="K48" s="88">
        <v>355</v>
      </c>
      <c r="L48" s="89">
        <v>0.75</v>
      </c>
      <c r="M48" s="89">
        <v>4</v>
      </c>
      <c r="N48" s="90">
        <v>1</v>
      </c>
      <c r="O48" s="90">
        <v>1.5</v>
      </c>
      <c r="P48" s="90">
        <v>1</v>
      </c>
      <c r="Q48" s="90">
        <f t="shared" si="4"/>
        <v>207.10564899663612</v>
      </c>
      <c r="R48" s="90">
        <v>0</v>
      </c>
      <c r="S48" s="90">
        <v>22.8</v>
      </c>
      <c r="T48" s="91">
        <f t="shared" si="9"/>
        <v>210.83706943115538</v>
      </c>
      <c r="U48" s="88">
        <f t="shared" si="11"/>
        <v>145.45726428495252</v>
      </c>
      <c r="V48" s="91">
        <f t="shared" si="6"/>
        <v>3.98004706603921</v>
      </c>
      <c r="W48" s="91">
        <f t="shared" si="12"/>
        <v>7.4716885921892207</v>
      </c>
      <c r="X48" s="91">
        <f t="shared" si="8"/>
        <v>8.9716885921892207</v>
      </c>
      <c r="Y48" s="197" ph="1">
        <v>20</v>
      </c>
      <c r="Z48" s="91" t="str">
        <f t="shared" si="5"/>
        <v>OK</v>
      </c>
    </row>
    <row r="49" spans="1:26" ht="15" customHeight="1" x14ac:dyDescent="0.3">
      <c r="A49" s="87">
        <v>54</v>
      </c>
      <c r="B49" s="87" t="s">
        <v>134</v>
      </c>
      <c r="C49" s="87">
        <v>4.5</v>
      </c>
      <c r="D49" s="87">
        <v>8.4</v>
      </c>
      <c r="E49" s="88">
        <v>0</v>
      </c>
      <c r="F49" s="88">
        <v>0</v>
      </c>
      <c r="G49" s="88">
        <f t="shared" si="1"/>
        <v>0</v>
      </c>
      <c r="H49" s="91">
        <f t="shared" si="2"/>
        <v>42.835364999999996</v>
      </c>
      <c r="I49" s="88">
        <v>0</v>
      </c>
      <c r="J49" s="88">
        <f t="shared" si="3"/>
        <v>57.827742749999999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 t="shared" si="4"/>
        <v>207.10564899663612</v>
      </c>
      <c r="R49" s="90">
        <v>0</v>
      </c>
      <c r="S49" s="90">
        <v>38.999999999999901</v>
      </c>
      <c r="T49" s="91">
        <f t="shared" si="9"/>
        <v>217.84340670839185</v>
      </c>
      <c r="U49" s="88">
        <f t="shared" si="11"/>
        <v>136.34902582454509</v>
      </c>
      <c r="V49" s="91">
        <f t="shared" si="6"/>
        <v>3.98004706603921</v>
      </c>
      <c r="W49" s="91">
        <f t="shared" si="12"/>
        <v>7.7172123535875352</v>
      </c>
      <c r="X49" s="91">
        <f t="shared" si="8"/>
        <v>9.2172123535875343</v>
      </c>
      <c r="Y49" s="197" ph="1">
        <v>20</v>
      </c>
      <c r="Z49" s="91" t="str">
        <f t="shared" si="5"/>
        <v>OK</v>
      </c>
    </row>
    <row r="50" spans="1:26" ht="15" customHeight="1" x14ac:dyDescent="0.3">
      <c r="A50" s="87">
        <v>55</v>
      </c>
      <c r="B50" s="87" t="s">
        <v>134</v>
      </c>
      <c r="C50" s="87">
        <v>5.25</v>
      </c>
      <c r="D50" s="87">
        <v>8.4</v>
      </c>
      <c r="E50" s="88">
        <v>0</v>
      </c>
      <c r="F50" s="88">
        <v>0</v>
      </c>
      <c r="G50" s="88">
        <f t="shared" si="1"/>
        <v>0</v>
      </c>
      <c r="H50" s="91">
        <f>1.025*9.81*(($F$10+0.76)-D50)</f>
        <v>42.835364999999996</v>
      </c>
      <c r="I50" s="88">
        <v>0</v>
      </c>
      <c r="J50" s="88">
        <f t="shared" si="3"/>
        <v>57.827742749999999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si="4"/>
        <v>207.10564899663612</v>
      </c>
      <c r="R50" s="90">
        <v>0</v>
      </c>
      <c r="S50" s="90">
        <v>55.3</v>
      </c>
      <c r="T50" s="91">
        <f t="shared" si="9"/>
        <v>228.18198843536675</v>
      </c>
      <c r="U50" s="88">
        <f t="shared" si="11"/>
        <v>122.90886957947772</v>
      </c>
      <c r="V50" s="91">
        <f t="shared" si="6"/>
        <v>3.98004706603921</v>
      </c>
      <c r="W50" s="91">
        <f t="shared" si="12"/>
        <v>8.1282089302635487</v>
      </c>
      <c r="X50" s="91">
        <f t="shared" si="8"/>
        <v>9.6282089302635487</v>
      </c>
      <c r="Y50" s="197" ph="1">
        <v>20</v>
      </c>
      <c r="Z50" s="91" t="str">
        <f t="shared" si="5"/>
        <v>OK</v>
      </c>
    </row>
    <row r="51" spans="1:26" ht="15" customHeight="1" x14ac:dyDescent="0.3">
      <c r="A51" s="87">
        <v>56</v>
      </c>
      <c r="B51" s="87" t="s">
        <v>134</v>
      </c>
      <c r="C51" s="87">
        <v>6</v>
      </c>
      <c r="D51" s="87">
        <v>8.4</v>
      </c>
      <c r="E51" s="88">
        <v>0</v>
      </c>
      <c r="F51" s="88">
        <v>0</v>
      </c>
      <c r="G51" s="88">
        <f t="shared" si="1"/>
        <v>0</v>
      </c>
      <c r="H51" s="91">
        <f t="shared" si="2"/>
        <v>42.835364999999996</v>
      </c>
      <c r="I51" s="88">
        <v>0</v>
      </c>
      <c r="J51" s="88">
        <f t="shared" si="3"/>
        <v>57.827742749999999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4"/>
        <v>207.10564899663612</v>
      </c>
      <c r="R51" s="90">
        <v>0</v>
      </c>
      <c r="S51" s="90">
        <v>71.599999999999994</v>
      </c>
      <c r="T51" s="91">
        <f t="shared" si="9"/>
        <v>241.39683064679585</v>
      </c>
      <c r="U51" s="88">
        <f t="shared" si="11"/>
        <v>105.72957470461989</v>
      </c>
      <c r="V51" s="91">
        <f t="shared" si="6"/>
        <v>3.98004706603921</v>
      </c>
      <c r="W51" s="91">
        <f t="shared" si="12"/>
        <v>8.7637146414669314</v>
      </c>
      <c r="X51" s="91">
        <f t="shared" si="8"/>
        <v>10.263714641466931</v>
      </c>
      <c r="Y51" s="197" ph="1">
        <v>20</v>
      </c>
      <c r="Z51" s="91" t="str">
        <f t="shared" si="5"/>
        <v>OK</v>
      </c>
    </row>
    <row r="52" spans="1:26" ht="15" customHeight="1" x14ac:dyDescent="0.3">
      <c r="A52" s="92">
        <v>65</v>
      </c>
      <c r="B52" s="92" t="s">
        <v>135</v>
      </c>
      <c r="C52" s="92">
        <v>0</v>
      </c>
      <c r="D52" s="92">
        <v>0</v>
      </c>
      <c r="E52" s="93">
        <v>0</v>
      </c>
      <c r="F52" s="93">
        <v>0</v>
      </c>
      <c r="G52" s="93">
        <f t="shared" si="1"/>
        <v>0</v>
      </c>
      <c r="H52" s="93">
        <f t="shared" si="2"/>
        <v>127.29946499999998</v>
      </c>
      <c r="I52" s="93">
        <v>0</v>
      </c>
      <c r="J52" s="93">
        <f t="shared" si="3"/>
        <v>171.85427774999999</v>
      </c>
      <c r="K52" s="93">
        <v>355</v>
      </c>
      <c r="L52" s="94">
        <v>0.75</v>
      </c>
      <c r="M52" s="94">
        <v>4</v>
      </c>
      <c r="N52" s="95">
        <v>1</v>
      </c>
      <c r="O52" s="95">
        <v>1.5</v>
      </c>
      <c r="P52" s="95">
        <v>1</v>
      </c>
      <c r="Q52" s="95">
        <v>0</v>
      </c>
      <c r="R52" s="95">
        <v>0</v>
      </c>
      <c r="S52" s="95">
        <v>103.46599999999999</v>
      </c>
      <c r="T52" s="96">
        <f t="shared" si="9"/>
        <v>179.20836885592144</v>
      </c>
      <c r="U52" s="93">
        <f t="shared" si="11"/>
        <v>186.57457503275663</v>
      </c>
      <c r="V52" s="96">
        <f t="shared" si="6"/>
        <v>3.98004706603921</v>
      </c>
      <c r="W52" s="96">
        <f>15.8*N52*L52*SQRT(J52)/SQRT(U52*P52)</f>
        <v>11.372928093329248</v>
      </c>
      <c r="X52" s="96">
        <f t="shared" si="8"/>
        <v>12.872928093329248</v>
      </c>
      <c r="Y52" s="155" ph="1">
        <v>16</v>
      </c>
      <c r="Z52" s="96" t="str">
        <f t="shared" si="5"/>
        <v>OK</v>
      </c>
    </row>
    <row r="53" spans="1:26" ht="15" customHeight="1" x14ac:dyDescent="0.3">
      <c r="A53" s="92">
        <v>66</v>
      </c>
      <c r="B53" s="92" t="s">
        <v>135</v>
      </c>
      <c r="C53" s="92">
        <v>0</v>
      </c>
      <c r="D53" s="92">
        <v>0.7</v>
      </c>
      <c r="E53" s="93">
        <v>0</v>
      </c>
      <c r="F53" s="93">
        <v>0</v>
      </c>
      <c r="G53" s="93">
        <f t="shared" si="1"/>
        <v>0</v>
      </c>
      <c r="H53" s="93">
        <f t="shared" si="2"/>
        <v>120.26079</v>
      </c>
      <c r="I53" s="93">
        <v>0</v>
      </c>
      <c r="J53" s="93">
        <f t="shared" si="3"/>
        <v>162.35206650000001</v>
      </c>
      <c r="K53" s="93">
        <v>355</v>
      </c>
      <c r="L53" s="94">
        <v>0.75</v>
      </c>
      <c r="M53" s="94">
        <v>4</v>
      </c>
      <c r="N53" s="95">
        <v>1</v>
      </c>
      <c r="O53" s="95">
        <v>1.5</v>
      </c>
      <c r="P53" s="95">
        <v>1</v>
      </c>
      <c r="Q53" s="95">
        <v>0</v>
      </c>
      <c r="R53" s="95">
        <v>0</v>
      </c>
      <c r="S53" s="95">
        <v>114.26799953421801</v>
      </c>
      <c r="T53" s="96">
        <f t="shared" si="9"/>
        <v>197.91798087252241</v>
      </c>
      <c r="U53" s="93">
        <f t="shared" si="11"/>
        <v>162.25207941117537</v>
      </c>
      <c r="V53" s="96">
        <f t="shared" si="6"/>
        <v>3.98004706603921</v>
      </c>
      <c r="W53" s="96">
        <f>15.8*N53*L53*SQRT(J53)/SQRT(U53*P53)</f>
        <v>11.853650691331605</v>
      </c>
      <c r="X53" s="96">
        <f t="shared" si="8"/>
        <v>13.353650691331605</v>
      </c>
      <c r="Y53" s="155" ph="1">
        <v>16</v>
      </c>
      <c r="Z53" s="96" t="str">
        <f t="shared" si="5"/>
        <v>OK</v>
      </c>
    </row>
    <row r="54" spans="1:26" ht="15" customHeight="1" x14ac:dyDescent="0.3">
      <c r="A54" s="92">
        <v>67</v>
      </c>
      <c r="B54" s="92" t="s">
        <v>135</v>
      </c>
      <c r="C54" s="92">
        <v>0</v>
      </c>
      <c r="D54" s="92">
        <v>1.4</v>
      </c>
      <c r="E54" s="93">
        <v>0</v>
      </c>
      <c r="F54" s="93">
        <v>0</v>
      </c>
      <c r="G54" s="93">
        <f t="shared" si="1"/>
        <v>0</v>
      </c>
      <c r="H54" s="93">
        <f t="shared" si="2"/>
        <v>113.22211499999999</v>
      </c>
      <c r="I54" s="93">
        <v>0</v>
      </c>
      <c r="J54" s="93">
        <f t="shared" si="3"/>
        <v>152.84985524999999</v>
      </c>
      <c r="K54" s="93">
        <v>355</v>
      </c>
      <c r="L54" s="94">
        <v>0.75</v>
      </c>
      <c r="M54" s="94">
        <v>4</v>
      </c>
      <c r="N54" s="95">
        <v>1</v>
      </c>
      <c r="O54" s="95">
        <v>1.5</v>
      </c>
      <c r="P54" s="95">
        <v>1</v>
      </c>
      <c r="Q54" s="95">
        <v>0</v>
      </c>
      <c r="R54" s="95">
        <v>0</v>
      </c>
      <c r="S54" s="95">
        <v>123.22599924244599</v>
      </c>
      <c r="T54" s="96">
        <f t="shared" si="9"/>
        <v>213.43369150136044</v>
      </c>
      <c r="U54" s="93">
        <f t="shared" si="11"/>
        <v>142.08165559368592</v>
      </c>
      <c r="V54" s="96">
        <f t="shared" si="6"/>
        <v>3.98004706603921</v>
      </c>
      <c r="W54" s="96">
        <f t="shared" ref="W54:W64" si="14">15.8*N54*L54*SQRT(J54)/SQRT(U54*P54)</f>
        <v>12.290848393321328</v>
      </c>
      <c r="X54" s="96">
        <f t="shared" si="8"/>
        <v>13.790848393321328</v>
      </c>
      <c r="Y54" s="155" ph="1">
        <v>16</v>
      </c>
      <c r="Z54" s="96" t="str">
        <f t="shared" si="5"/>
        <v>OK</v>
      </c>
    </row>
    <row r="55" spans="1:26" ht="15" customHeight="1" x14ac:dyDescent="0.3">
      <c r="A55" s="92">
        <v>68</v>
      </c>
      <c r="B55" s="92" t="s">
        <v>135</v>
      </c>
      <c r="C55" s="92">
        <v>0</v>
      </c>
      <c r="D55" s="92">
        <v>2.0999999999999996</v>
      </c>
      <c r="E55" s="93">
        <v>0</v>
      </c>
      <c r="F55" s="93">
        <v>0</v>
      </c>
      <c r="G55" s="93">
        <f t="shared" si="1"/>
        <v>0</v>
      </c>
      <c r="H55" s="93">
        <f t="shared" si="2"/>
        <v>106.18343999999999</v>
      </c>
      <c r="I55" s="93">
        <v>0</v>
      </c>
      <c r="J55" s="93">
        <f t="shared" si="3"/>
        <v>143.347644</v>
      </c>
      <c r="K55" s="93">
        <v>355</v>
      </c>
      <c r="L55" s="94">
        <v>0.75</v>
      </c>
      <c r="M55" s="94">
        <v>4</v>
      </c>
      <c r="N55" s="95">
        <v>1</v>
      </c>
      <c r="O55" s="95">
        <v>1.5</v>
      </c>
      <c r="P55" s="95">
        <v>1</v>
      </c>
      <c r="Q55" s="95">
        <v>0</v>
      </c>
      <c r="R55" s="95">
        <v>0</v>
      </c>
      <c r="S55" s="95">
        <v>130.338999115571</v>
      </c>
      <c r="T55" s="96">
        <f t="shared" si="9"/>
        <v>225.75376867584393</v>
      </c>
      <c r="U55" s="93">
        <f t="shared" si="11"/>
        <v>126.0655552668574</v>
      </c>
      <c r="V55" s="96">
        <f t="shared" si="6"/>
        <v>3.98004706603921</v>
      </c>
      <c r="W55" s="96">
        <f t="shared" si="14"/>
        <v>12.636168531437395</v>
      </c>
      <c r="X55" s="96">
        <f t="shared" si="8"/>
        <v>14.136168531437395</v>
      </c>
      <c r="Y55" s="155" ph="1">
        <v>16</v>
      </c>
      <c r="Z55" s="96" t="str">
        <f t="shared" si="5"/>
        <v>OK</v>
      </c>
    </row>
    <row r="56" spans="1:26" ht="15" customHeight="1" x14ac:dyDescent="0.3">
      <c r="A56" s="92">
        <v>69</v>
      </c>
      <c r="B56" s="92" t="s">
        <v>135</v>
      </c>
      <c r="C56" s="92">
        <v>0</v>
      </c>
      <c r="D56" s="92">
        <v>2.8</v>
      </c>
      <c r="E56" s="93">
        <v>0</v>
      </c>
      <c r="F56" s="93">
        <v>0</v>
      </c>
      <c r="G56" s="93">
        <f t="shared" si="1"/>
        <v>0</v>
      </c>
      <c r="H56" s="93">
        <f t="shared" si="2"/>
        <v>99.144764999999992</v>
      </c>
      <c r="I56" s="93">
        <v>0</v>
      </c>
      <c r="J56" s="93">
        <f t="shared" si="3"/>
        <v>133.84543274999999</v>
      </c>
      <c r="K56" s="93">
        <v>355</v>
      </c>
      <c r="L56" s="94">
        <v>0.75</v>
      </c>
      <c r="M56" s="94">
        <v>4</v>
      </c>
      <c r="N56" s="95">
        <v>1</v>
      </c>
      <c r="O56" s="95">
        <v>1.5</v>
      </c>
      <c r="P56" s="95">
        <v>1</v>
      </c>
      <c r="Q56" s="95">
        <v>0</v>
      </c>
      <c r="R56" s="95">
        <v>0</v>
      </c>
      <c r="S56" s="95">
        <v>135.60799917400001</v>
      </c>
      <c r="T56" s="96">
        <f t="shared" si="9"/>
        <v>234.87994448212638</v>
      </c>
      <c r="U56" s="93">
        <f t="shared" si="11"/>
        <v>114.20152671869022</v>
      </c>
      <c r="V56" s="96">
        <f t="shared" si="6"/>
        <v>3.98004706603921</v>
      </c>
      <c r="W56" s="96">
        <f t="shared" si="14"/>
        <v>12.828745025598842</v>
      </c>
      <c r="X56" s="96">
        <f t="shared" si="8"/>
        <v>14.328745025598842</v>
      </c>
      <c r="Y56" s="155" ph="1">
        <v>16</v>
      </c>
      <c r="Z56" s="96" t="str">
        <f t="shared" si="5"/>
        <v>OK</v>
      </c>
    </row>
    <row r="57" spans="1:26" ht="15" customHeight="1" x14ac:dyDescent="0.3">
      <c r="A57" s="92">
        <v>70</v>
      </c>
      <c r="B57" s="92" t="s">
        <v>135</v>
      </c>
      <c r="C57" s="92">
        <v>0</v>
      </c>
      <c r="D57" s="92">
        <v>3.5</v>
      </c>
      <c r="E57" s="93">
        <v>0</v>
      </c>
      <c r="F57" s="93">
        <v>0</v>
      </c>
      <c r="G57" s="93">
        <f t="shared" si="1"/>
        <v>0</v>
      </c>
      <c r="H57" s="93">
        <f t="shared" si="2"/>
        <v>92.106089999999995</v>
      </c>
      <c r="I57" s="93">
        <v>0</v>
      </c>
      <c r="J57" s="93">
        <f t="shared" si="3"/>
        <v>124.3432215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139.031999406647</v>
      </c>
      <c r="T57" s="96">
        <f t="shared" si="9"/>
        <v>240.8104868501986</v>
      </c>
      <c r="U57" s="93">
        <f t="shared" si="11"/>
        <v>106.49182164019632</v>
      </c>
      <c r="V57" s="96">
        <f t="shared" si="6"/>
        <v>3.98004706603921</v>
      </c>
      <c r="W57" s="96">
        <f t="shared" si="14"/>
        <v>12.804755190417268</v>
      </c>
      <c r="X57" s="96">
        <f t="shared" si="8"/>
        <v>14.304755190417268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71</v>
      </c>
      <c r="B58" s="92" t="s">
        <v>135</v>
      </c>
      <c r="C58" s="92">
        <v>0</v>
      </c>
      <c r="D58" s="92">
        <v>4.2</v>
      </c>
      <c r="E58" s="93">
        <v>0</v>
      </c>
      <c r="F58" s="93">
        <v>0</v>
      </c>
      <c r="G58" s="93">
        <f t="shared" si="1"/>
        <v>0</v>
      </c>
      <c r="H58" s="93">
        <f t="shared" si="2"/>
        <v>85.067414999999997</v>
      </c>
      <c r="I58" s="93">
        <v>0</v>
      </c>
      <c r="J58" s="93">
        <f t="shared" si="3"/>
        <v>114.84101025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140.611999812965</v>
      </c>
      <c r="T58" s="96">
        <f t="shared" si="9"/>
        <v>243.54712782992084</v>
      </c>
      <c r="U58" s="93">
        <f t="shared" si="11"/>
        <v>102.93418836655741</v>
      </c>
      <c r="V58" s="96">
        <f t="shared" si="6"/>
        <v>3.98004706603921</v>
      </c>
      <c r="W58" s="96">
        <f t="shared" si="14"/>
        <v>12.516618929420115</v>
      </c>
      <c r="X58" s="96">
        <f t="shared" si="8"/>
        <v>14.016618929420115</v>
      </c>
      <c r="Y58" s="155" ph="1">
        <v>16</v>
      </c>
      <c r="Z58" s="96" t="str">
        <f t="shared" si="5"/>
        <v>OK</v>
      </c>
    </row>
    <row r="59" spans="1:26" ht="12" customHeight="1" x14ac:dyDescent="0.3">
      <c r="A59" s="92">
        <v>72</v>
      </c>
      <c r="B59" s="92" t="s">
        <v>135</v>
      </c>
      <c r="C59" s="92">
        <v>0</v>
      </c>
      <c r="D59" s="92">
        <v>4.9000000000000004</v>
      </c>
      <c r="E59" s="93">
        <v>0</v>
      </c>
      <c r="F59" s="93">
        <v>0</v>
      </c>
      <c r="G59" s="93">
        <f t="shared" si="1"/>
        <v>0</v>
      </c>
      <c r="H59" s="93">
        <f t="shared" si="2"/>
        <v>78.028739999999985</v>
      </c>
      <c r="I59" s="93">
        <v>0</v>
      </c>
      <c r="J59" s="93">
        <f t="shared" si="3"/>
        <v>105.33879899999998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140.34800039522301</v>
      </c>
      <c r="T59" s="96">
        <f t="shared" si="9"/>
        <v>243.08986742522313</v>
      </c>
      <c r="U59" s="93">
        <f t="shared" si="11"/>
        <v>103.52862689266443</v>
      </c>
      <c r="V59" s="96">
        <f t="shared" si="6"/>
        <v>3.98004706603921</v>
      </c>
      <c r="W59" s="96">
        <f t="shared" si="14"/>
        <v>11.953148214454457</v>
      </c>
      <c r="X59" s="96">
        <f t="shared" si="8"/>
        <v>13.453148214454457</v>
      </c>
      <c r="Y59" s="155" ph="1">
        <v>16</v>
      </c>
      <c r="Z59" s="96" t="str">
        <f t="shared" si="5"/>
        <v>OK</v>
      </c>
    </row>
    <row r="60" spans="1:26" ht="12" customHeight="1" x14ac:dyDescent="0.3">
      <c r="A60" s="92">
        <v>73</v>
      </c>
      <c r="B60" s="92" t="s">
        <v>135</v>
      </c>
      <c r="C60" s="92">
        <v>0</v>
      </c>
      <c r="D60" s="92">
        <v>5.6000000000000005</v>
      </c>
      <c r="E60" s="93">
        <v>0</v>
      </c>
      <c r="F60" s="93">
        <v>0</v>
      </c>
      <c r="G60" s="93">
        <f t="shared" si="1"/>
        <v>0</v>
      </c>
      <c r="H60" s="93">
        <f t="shared" si="2"/>
        <v>70.990064999999987</v>
      </c>
      <c r="I60" s="93">
        <v>0</v>
      </c>
      <c r="J60" s="93">
        <f t="shared" si="3"/>
        <v>95.836587749999993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138.239001151792</v>
      </c>
      <c r="T60" s="96">
        <f t="shared" si="9"/>
        <v>239.4369735824763</v>
      </c>
      <c r="U60" s="93">
        <f t="shared" si="11"/>
        <v>108.27738888823531</v>
      </c>
      <c r="V60" s="96">
        <f t="shared" si="6"/>
        <v>3.98004706603921</v>
      </c>
      <c r="W60" s="96">
        <f t="shared" si="14"/>
        <v>11.148466531446948</v>
      </c>
      <c r="X60" s="96">
        <f t="shared" si="8"/>
        <v>12.648466531446948</v>
      </c>
      <c r="Y60" s="155" ph="1">
        <v>16</v>
      </c>
      <c r="Z60" s="96" t="str">
        <f t="shared" si="5"/>
        <v>OK</v>
      </c>
    </row>
    <row r="61" spans="1:26" ht="12" customHeight="1" x14ac:dyDescent="0.3">
      <c r="A61" s="92">
        <v>74</v>
      </c>
      <c r="B61" s="92" t="s">
        <v>135</v>
      </c>
      <c r="C61" s="92">
        <v>0</v>
      </c>
      <c r="D61" s="92">
        <v>6.3000000000000007</v>
      </c>
      <c r="E61" s="93">
        <v>0</v>
      </c>
      <c r="F61" s="93">
        <v>0</v>
      </c>
      <c r="G61" s="93">
        <f t="shared" si="1"/>
        <v>0</v>
      </c>
      <c r="H61" s="93">
        <f t="shared" si="2"/>
        <v>63.951389999999989</v>
      </c>
      <c r="I61" s="93">
        <v>0</v>
      </c>
      <c r="J61" s="93">
        <f t="shared" si="3"/>
        <v>86.334376499999991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134.28600208236199</v>
      </c>
      <c r="T61" s="96">
        <f t="shared" si="9"/>
        <v>232.59017835195104</v>
      </c>
      <c r="U61" s="93">
        <f t="shared" si="11"/>
        <v>117.17822268791815</v>
      </c>
      <c r="V61" s="96">
        <f t="shared" si="6"/>
        <v>3.98004706603921</v>
      </c>
      <c r="W61" s="96">
        <f t="shared" si="14"/>
        <v>10.171541504270374</v>
      </c>
      <c r="X61" s="96">
        <f t="shared" si="8"/>
        <v>11.671541504270374</v>
      </c>
      <c r="Y61" s="155" ph="1">
        <v>16</v>
      </c>
      <c r="Z61" s="96" t="str">
        <f t="shared" si="5"/>
        <v>OK</v>
      </c>
    </row>
    <row r="62" spans="1:26" ht="12" customHeight="1" x14ac:dyDescent="0.3">
      <c r="A62" s="92">
        <v>75</v>
      </c>
      <c r="B62" s="92" t="s">
        <v>135</v>
      </c>
      <c r="C62" s="92">
        <v>0</v>
      </c>
      <c r="D62" s="92">
        <v>7.0000000000000009</v>
      </c>
      <c r="E62" s="93">
        <v>0</v>
      </c>
      <c r="F62" s="93">
        <v>0</v>
      </c>
      <c r="G62" s="93">
        <f t="shared" si="1"/>
        <v>0</v>
      </c>
      <c r="H62" s="93">
        <f t="shared" si="2"/>
        <v>56.912714999999984</v>
      </c>
      <c r="I62" s="93">
        <v>0</v>
      </c>
      <c r="J62" s="93">
        <f t="shared" si="3"/>
        <v>76.832165249999989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128.48900318735701</v>
      </c>
      <c r="T62" s="96">
        <f t="shared" si="9"/>
        <v>222.54948173438177</v>
      </c>
      <c r="U62" s="93">
        <f t="shared" si="11"/>
        <v>130.23112829075819</v>
      </c>
      <c r="V62" s="96">
        <f t="shared" si="6"/>
        <v>3.98004706603921</v>
      </c>
      <c r="W62" s="96">
        <f t="shared" si="14"/>
        <v>9.1019089123410097</v>
      </c>
      <c r="X62" s="96">
        <f t="shared" si="8"/>
        <v>10.60190891234101</v>
      </c>
      <c r="Y62" s="155" ph="1">
        <v>16</v>
      </c>
      <c r="Z62" s="96" t="str">
        <f t="shared" si="5"/>
        <v>OK</v>
      </c>
    </row>
    <row r="63" spans="1:26" ht="12" customHeight="1" x14ac:dyDescent="0.3">
      <c r="A63" s="92">
        <v>76</v>
      </c>
      <c r="B63" s="92" t="s">
        <v>135</v>
      </c>
      <c r="C63" s="92">
        <v>0</v>
      </c>
      <c r="D63" s="92">
        <v>7.7000000000000011</v>
      </c>
      <c r="E63" s="93">
        <v>0</v>
      </c>
      <c r="F63" s="93">
        <v>0</v>
      </c>
      <c r="G63" s="93">
        <f t="shared" si="1"/>
        <v>0</v>
      </c>
      <c r="H63" s="93">
        <f t="shared" si="2"/>
        <v>49.874039999999987</v>
      </c>
      <c r="I63" s="93">
        <v>0</v>
      </c>
      <c r="J63" s="93">
        <f t="shared" si="3"/>
        <v>67.329953999999987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120.847004477521</v>
      </c>
      <c r="T63" s="96">
        <f t="shared" si="9"/>
        <v>209.31315169756996</v>
      </c>
      <c r="U63" s="93">
        <f t="shared" si="11"/>
        <v>147.43835733861354</v>
      </c>
      <c r="V63" s="96">
        <f t="shared" si="6"/>
        <v>3.98004706603921</v>
      </c>
      <c r="W63" s="96">
        <f t="shared" si="14"/>
        <v>8.0078746694189764</v>
      </c>
      <c r="X63" s="96">
        <f t="shared" si="8"/>
        <v>9.5078746694189764</v>
      </c>
      <c r="Y63" s="155" ph="1">
        <v>16</v>
      </c>
      <c r="Z63" s="96" t="str">
        <f t="shared" si="5"/>
        <v>OK</v>
      </c>
    </row>
    <row r="64" spans="1:26" ht="12" customHeight="1" x14ac:dyDescent="0.3">
      <c r="A64" s="92">
        <v>77</v>
      </c>
      <c r="B64" s="92" t="s">
        <v>135</v>
      </c>
      <c r="C64" s="92">
        <v>0</v>
      </c>
      <c r="D64" s="92">
        <v>8.4</v>
      </c>
      <c r="E64" s="93">
        <v>0</v>
      </c>
      <c r="F64" s="93">
        <v>0</v>
      </c>
      <c r="G64" s="93">
        <f t="shared" si="1"/>
        <v>0</v>
      </c>
      <c r="H64" s="93">
        <f t="shared" si="2"/>
        <v>42.835364999999996</v>
      </c>
      <c r="I64" s="93">
        <v>0</v>
      </c>
      <c r="J64" s="93">
        <f t="shared" si="3"/>
        <v>57.827742749999999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111.36</v>
      </c>
      <c r="T64" s="96">
        <f t="shared" si="9"/>
        <v>192.88117793087019</v>
      </c>
      <c r="U64" s="93">
        <f t="shared" si="11"/>
        <v>168.79992323532326</v>
      </c>
      <c r="V64" s="96">
        <f t="shared" si="6"/>
        <v>3.98004706603921</v>
      </c>
      <c r="W64" s="96">
        <f t="shared" si="14"/>
        <v>6.935860475822837</v>
      </c>
      <c r="X64" s="96">
        <f t="shared" si="8"/>
        <v>8.435860475822837</v>
      </c>
      <c r="Y64" s="155" ph="1">
        <v>16</v>
      </c>
      <c r="Z64" s="96" t="str">
        <f t="shared" si="5"/>
        <v>OK</v>
      </c>
    </row>
    <row r="66" spans="1:25" ht="12" customHeight="1" x14ac:dyDescent="0.45">
      <c r="A66" s="4" t="s">
        <v>136</v>
      </c>
    </row>
    <row r="67" spans="1:25" ht="12" customHeight="1" x14ac:dyDescent="0.45">
      <c r="A67" s="4" t="s">
        <v>137</v>
      </c>
    </row>
    <row r="68" spans="1:25" ht="12" customHeight="1" x14ac:dyDescent="0.45">
      <c r="A68" s="4" t="s">
        <v>311</v>
      </c>
    </row>
    <row r="69" spans="1:25" ht="12" customHeight="1" x14ac:dyDescent="0.3">
      <c r="Y69" s="4" ph="1"/>
    </row>
    <row r="70" spans="1:25" ht="12" customHeight="1" x14ac:dyDescent="0.3">
      <c r="Y70" s="4" ph="1"/>
    </row>
    <row r="71" spans="1:25" ht="12" customHeight="1" x14ac:dyDescent="0.3">
      <c r="Y71" s="4" ph="1"/>
    </row>
    <row r="72" spans="1:25" ht="12" customHeight="1" x14ac:dyDescent="0.3">
      <c r="Y72" s="4" ph="1"/>
    </row>
    <row r="73" spans="1:25" ht="12" customHeight="1" x14ac:dyDescent="0.3">
      <c r="Y73" s="4" ph="1"/>
    </row>
    <row r="74" spans="1:25" ht="12" customHeight="1" x14ac:dyDescent="0.3">
      <c r="Y74" s="4" ph="1"/>
    </row>
    <row r="75" spans="1:25" ht="12" customHeight="1" x14ac:dyDescent="0.3">
      <c r="Y75" s="4" ph="1"/>
    </row>
    <row r="76" spans="1:25" ht="12" customHeight="1" x14ac:dyDescent="0.3">
      <c r="Y76" s="4" ph="1"/>
    </row>
    <row r="77" spans="1:25" ht="12" customHeight="1" x14ac:dyDescent="0.3">
      <c r="Y77" s="4" ph="1"/>
    </row>
    <row r="78" spans="1:25" ht="12" customHeight="1" x14ac:dyDescent="0.3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4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3D5C-10D2-4FE7-AF1A-4528195A2981}">
  <sheetPr codeName="Sheet14"/>
  <dimension ref="A1:AD78"/>
  <sheetViews>
    <sheetView showGridLines="0" tabSelected="1" topLeftCell="A13" zoomScale="130" zoomScaleNormal="130" workbookViewId="0">
      <selection activeCell="D15" sqref="D15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201"/>
      <c r="G1" s="201"/>
      <c r="H1" s="201"/>
      <c r="I1" s="201"/>
      <c r="J1" s="201"/>
      <c r="K1" s="201"/>
      <c r="L1" s="201"/>
      <c r="M1" s="201"/>
      <c r="N1" s="202"/>
    </row>
    <row r="2" spans="1:15" ht="12" customHeight="1" x14ac:dyDescent="0.45">
      <c r="A2" s="69"/>
      <c r="F2" s="203"/>
      <c r="G2" s="203"/>
      <c r="H2" s="203"/>
      <c r="I2" s="203"/>
      <c r="J2" s="203"/>
      <c r="K2" s="203"/>
      <c r="L2" s="203"/>
      <c r="M2" s="203"/>
      <c r="N2" s="204"/>
    </row>
    <row r="3" spans="1:15" ht="12" customHeight="1" x14ac:dyDescent="0.45">
      <c r="A3" s="69"/>
      <c r="F3" s="203"/>
      <c r="G3" s="203"/>
      <c r="H3" s="203"/>
      <c r="I3" s="203"/>
      <c r="J3" s="203"/>
      <c r="K3" s="203"/>
      <c r="L3" s="203"/>
      <c r="M3" s="203"/>
      <c r="N3" s="204"/>
    </row>
    <row r="4" spans="1:15" ht="12" customHeight="1" x14ac:dyDescent="0.45">
      <c r="A4" s="69"/>
      <c r="F4" s="203" t="s">
        <v>64</v>
      </c>
      <c r="G4" s="203"/>
      <c r="H4" s="203"/>
      <c r="I4" s="203"/>
      <c r="J4" s="203"/>
      <c r="K4" s="203"/>
      <c r="L4" s="203"/>
      <c r="M4" s="203"/>
      <c r="N4" s="204"/>
    </row>
    <row r="5" spans="1:15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211">
        <f>'Global Strength'!H10</f>
        <v>731745</v>
      </c>
      <c r="N11" s="211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212">
        <f>'Global Strength'!H6</f>
        <v>13.7936</v>
      </c>
      <c r="N12" s="212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212">
        <f>'Global Strength'!H5</f>
        <v>4.4960000000000004</v>
      </c>
      <c r="N13" s="212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  <c r="M14" s="212"/>
      <c r="N14" s="212"/>
    </row>
    <row r="15" spans="1:15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211">
        <f>'Global Strength'!H27</f>
        <v>54033</v>
      </c>
      <c r="N15" s="211"/>
      <c r="O15" s="5" t="s">
        <v>93</v>
      </c>
    </row>
    <row r="16" spans="1:15" ht="12" customHeight="1" x14ac:dyDescent="0.3">
      <c r="F16" s="5"/>
      <c r="G16" s="5"/>
      <c r="M16" s="99"/>
    </row>
    <row r="17" spans="1:30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30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30" ht="12" customHeight="1" x14ac:dyDescent="0.45">
      <c r="C19" s="4" t="s">
        <v>97</v>
      </c>
    </row>
    <row r="20" spans="1:30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0" ht="12" customHeight="1" x14ac:dyDescent="0.45">
      <c r="A21" s="207" t="s">
        <v>101</v>
      </c>
      <c r="B21" s="207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8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/>
    </row>
    <row r="22" spans="1:30" ht="12" customHeight="1" x14ac:dyDescent="0.45">
      <c r="A22" s="207"/>
      <c r="B22" s="207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8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30" ht="12" customHeight="1" x14ac:dyDescent="0.45">
      <c r="A23" s="58">
        <v>3</v>
      </c>
      <c r="B23" s="58" t="s">
        <v>132</v>
      </c>
      <c r="C23" s="58">
        <v>2.1</v>
      </c>
      <c r="D23" s="58">
        <v>0</v>
      </c>
      <c r="E23" s="59">
        <v>0</v>
      </c>
      <c r="F23" s="59">
        <v>0</v>
      </c>
      <c r="G23" s="59">
        <f t="shared" ref="G23:G47" si="0">E23*$F$18+F23*$F$17</f>
        <v>0</v>
      </c>
      <c r="H23" s="60">
        <f t="shared" ref="H23:H47" si="1">1.025*9.81*(($F$10+0.76)-D23)</f>
        <v>127.29946499999998</v>
      </c>
      <c r="I23" s="59">
        <v>0</v>
      </c>
      <c r="J23" s="59">
        <f t="shared" ref="J23:J47" si="2"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7" si="3">$M$11/($M$12/ABS($M$13-D23))/1000</f>
        <v>238.51101380350309</v>
      </c>
      <c r="R23" s="65">
        <v>0</v>
      </c>
      <c r="S23" s="65">
        <v>1.5887948926544799</v>
      </c>
      <c r="T23" s="60">
        <f>SQRT(Q23^2+R23^2-Q23*R23+3*S23^2)</f>
        <v>238.52688844909628</v>
      </c>
      <c r="U23" s="59">
        <f>MIN(K23/$F$7,1.3*(K23/$F$7-T23))</f>
        <v>109.46049956162935</v>
      </c>
      <c r="V23" s="60">
        <f t="shared" ref="V23:V47" si="4">14.3*$F$8/SQRT(K23/$F$7)</f>
        <v>3.98004706603921</v>
      </c>
      <c r="W23" s="60">
        <f t="shared" ref="W23:W28" si="5">15.8*N23*L23*SQRT(J23)/SQRT(U23*P23)</f>
        <v>14.84806331816459</v>
      </c>
      <c r="X23" s="60">
        <f t="shared" ref="X23:X47" si="6">MAX(V23,W23)+O23</f>
        <v>16.348063318164591</v>
      </c>
      <c r="Y23" s="146">
        <v>25</v>
      </c>
      <c r="Z23" s="60" t="str">
        <f t="shared" ref="Z23:Z47" si="7">IF(MROUND(X23,0.5)&lt;=Y23,"OK","N.G")</f>
        <v>OK</v>
      </c>
    </row>
    <row r="24" spans="1:30" ht="12" customHeight="1" x14ac:dyDescent="0.45">
      <c r="A24" s="58">
        <v>4</v>
      </c>
      <c r="B24" s="58" t="s">
        <v>132</v>
      </c>
      <c r="C24" s="58">
        <v>3</v>
      </c>
      <c r="D24" s="58">
        <v>0</v>
      </c>
      <c r="E24" s="59">
        <v>0</v>
      </c>
      <c r="F24" s="59">
        <v>0</v>
      </c>
      <c r="G24" s="59">
        <f t="shared" si="0"/>
        <v>0</v>
      </c>
      <c r="H24" s="60">
        <f t="shared" si="1"/>
        <v>127.29946499999998</v>
      </c>
      <c r="I24" s="59">
        <v>0</v>
      </c>
      <c r="J24" s="59">
        <f t="shared" si="2"/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3"/>
        <v>238.51101380350309</v>
      </c>
      <c r="R24" s="65">
        <v>0</v>
      </c>
      <c r="S24" s="65">
        <v>27.478311924683901</v>
      </c>
      <c r="T24" s="60">
        <f t="shared" ref="T24:T47" si="8">SQRT(Q24^2+R24^2-Q24*R24+3*S24^2)</f>
        <v>243.21323274909511</v>
      </c>
      <c r="U24" s="59">
        <f>MIN(K24/$F$7,1.3*(K24/$F$7-T24))</f>
        <v>103.36825197163085</v>
      </c>
      <c r="V24" s="60">
        <f t="shared" si="4"/>
        <v>3.98004706603921</v>
      </c>
      <c r="W24" s="60">
        <f t="shared" si="5"/>
        <v>15.279352057585488</v>
      </c>
      <c r="X24" s="60">
        <f>MAX(V24,W24)+O24</f>
        <v>16.779352057585488</v>
      </c>
      <c r="Y24" s="146">
        <v>25</v>
      </c>
      <c r="Z24" s="60" t="str">
        <f t="shared" si="7"/>
        <v>OK</v>
      </c>
    </row>
    <row r="25" spans="1:30" ht="12" customHeight="1" x14ac:dyDescent="0.45">
      <c r="A25" s="58">
        <v>5</v>
      </c>
      <c r="B25" s="58" t="s">
        <v>132</v>
      </c>
      <c r="C25" s="58">
        <v>3.75</v>
      </c>
      <c r="D25" s="58">
        <v>0</v>
      </c>
      <c r="E25" s="59">
        <v>0</v>
      </c>
      <c r="F25" s="59">
        <v>0</v>
      </c>
      <c r="G25" s="59">
        <f t="shared" si="0"/>
        <v>0</v>
      </c>
      <c r="H25" s="60">
        <f t="shared" si="1"/>
        <v>127.29946499999998</v>
      </c>
      <c r="I25" s="59">
        <v>0</v>
      </c>
      <c r="J25" s="59">
        <f t="shared" si="2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3"/>
        <v>238.51101380350309</v>
      </c>
      <c r="R25" s="65">
        <v>0</v>
      </c>
      <c r="S25" s="65">
        <v>49.484389748774397</v>
      </c>
      <c r="T25" s="60">
        <f t="shared" si="8"/>
        <v>253.44352071418331</v>
      </c>
      <c r="U25" s="59">
        <f>MIN(K25/$F$7,1.3*(K25/$F$7-T25))</f>
        <v>90.068877617016199</v>
      </c>
      <c r="V25" s="60">
        <f t="shared" si="4"/>
        <v>3.98004706603921</v>
      </c>
      <c r="W25" s="60">
        <f t="shared" si="5"/>
        <v>16.368585392262091</v>
      </c>
      <c r="X25" s="60">
        <f t="shared" si="6"/>
        <v>17.868585392262091</v>
      </c>
      <c r="Y25" s="146">
        <v>25</v>
      </c>
      <c r="Z25" s="60" t="str">
        <f t="shared" si="7"/>
        <v>OK</v>
      </c>
    </row>
    <row r="26" spans="1:30" ht="12" customHeight="1" x14ac:dyDescent="0.45">
      <c r="A26" s="58">
        <v>6</v>
      </c>
      <c r="B26" s="58" t="s">
        <v>132</v>
      </c>
      <c r="C26" s="58">
        <v>4.5</v>
      </c>
      <c r="D26" s="58">
        <v>0</v>
      </c>
      <c r="E26" s="59">
        <v>0</v>
      </c>
      <c r="F26" s="59">
        <v>0</v>
      </c>
      <c r="G26" s="59">
        <f t="shared" si="0"/>
        <v>0</v>
      </c>
      <c r="H26" s="60">
        <f t="shared" si="1"/>
        <v>127.29946499999998</v>
      </c>
      <c r="I26" s="59">
        <v>0</v>
      </c>
      <c r="J26" s="59">
        <f t="shared" si="2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3"/>
        <v>238.51101380350309</v>
      </c>
      <c r="R26" s="65">
        <v>0</v>
      </c>
      <c r="S26" s="65">
        <v>71.778334039129405</v>
      </c>
      <c r="T26" s="60">
        <f t="shared" si="8"/>
        <v>268.96819778158414</v>
      </c>
      <c r="U26" s="59">
        <f t="shared" ref="U26:U28" si="9">MIN(K26/$F$7,1.3*(K26/$F$7-T26))</f>
        <v>69.886797429395116</v>
      </c>
      <c r="V26" s="60">
        <f t="shared" si="4"/>
        <v>3.98004706603921</v>
      </c>
      <c r="W26" s="60">
        <f t="shared" si="5"/>
        <v>18.582363622034972</v>
      </c>
      <c r="X26" s="60">
        <f t="shared" si="6"/>
        <v>20.082363622034972</v>
      </c>
      <c r="Y26" s="146">
        <v>25</v>
      </c>
      <c r="Z26" s="60" t="str">
        <f t="shared" si="7"/>
        <v>OK</v>
      </c>
    </row>
    <row r="27" spans="1:30" ht="12" customHeight="1" x14ac:dyDescent="0.45">
      <c r="A27" s="58">
        <v>7</v>
      </c>
      <c r="B27" s="58" t="s">
        <v>132</v>
      </c>
      <c r="C27" s="58">
        <v>5.25</v>
      </c>
      <c r="D27" s="58">
        <v>0</v>
      </c>
      <c r="E27" s="59">
        <v>0</v>
      </c>
      <c r="F27" s="59">
        <v>0</v>
      </c>
      <c r="G27" s="59">
        <f t="shared" si="0"/>
        <v>0</v>
      </c>
      <c r="H27" s="60">
        <f t="shared" si="1"/>
        <v>127.29946499999998</v>
      </c>
      <c r="I27" s="59">
        <v>0</v>
      </c>
      <c r="J27" s="59">
        <f t="shared" si="2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3"/>
        <v>238.51101380350309</v>
      </c>
      <c r="R27" s="65">
        <v>0</v>
      </c>
      <c r="S27" s="65">
        <v>95.066865794259101</v>
      </c>
      <c r="T27" s="60">
        <f t="shared" si="8"/>
        <v>289.82862284702981</v>
      </c>
      <c r="U27" s="59">
        <f t="shared" si="9"/>
        <v>42.768244844315753</v>
      </c>
      <c r="V27" s="60">
        <f t="shared" si="4"/>
        <v>3.98004706603921</v>
      </c>
      <c r="W27" s="60">
        <f t="shared" si="5"/>
        <v>23.754057858520909</v>
      </c>
      <c r="X27" s="60">
        <f t="shared" si="6"/>
        <v>25.254057858520909</v>
      </c>
      <c r="Y27" s="146">
        <v>25</v>
      </c>
      <c r="Z27" s="60" t="str">
        <f>IF(MROUND(X27,0.5)&lt;=Y27,"OK","N.G")</f>
        <v>N.G</v>
      </c>
    </row>
    <row r="28" spans="1:30" ht="12" customHeight="1" x14ac:dyDescent="0.45">
      <c r="A28" s="58">
        <v>8</v>
      </c>
      <c r="B28" s="58" t="s">
        <v>132</v>
      </c>
      <c r="C28" s="58">
        <v>6</v>
      </c>
      <c r="D28" s="58">
        <v>0</v>
      </c>
      <c r="E28" s="59">
        <v>0</v>
      </c>
      <c r="F28" s="59">
        <v>0</v>
      </c>
      <c r="G28" s="59">
        <f t="shared" si="0"/>
        <v>0</v>
      </c>
      <c r="H28" s="60">
        <f t="shared" si="1"/>
        <v>127.29946499999998</v>
      </c>
      <c r="I28" s="59">
        <v>0</v>
      </c>
      <c r="J28" s="59">
        <f t="shared" si="2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3"/>
        <v>238.51101380350309</v>
      </c>
      <c r="R28" s="65">
        <v>0</v>
      </c>
      <c r="S28" s="65">
        <v>105.8</v>
      </c>
      <c r="T28" s="60">
        <f t="shared" si="8"/>
        <v>300.77969297406838</v>
      </c>
      <c r="U28" s="59">
        <f t="shared" si="9"/>
        <v>28.531853679165604</v>
      </c>
      <c r="V28" s="60">
        <f t="shared" si="4"/>
        <v>3.98004706603921</v>
      </c>
      <c r="W28" s="60">
        <f t="shared" si="5"/>
        <v>29.082620067092414</v>
      </c>
      <c r="X28" s="60">
        <f t="shared" si="6"/>
        <v>30.582620067092414</v>
      </c>
      <c r="Y28" s="146">
        <v>25</v>
      </c>
      <c r="Z28" s="60" t="str">
        <f t="shared" si="7"/>
        <v>N.G</v>
      </c>
    </row>
    <row r="29" spans="1:30" ht="12" customHeight="1" x14ac:dyDescent="0.3">
      <c r="A29" s="82">
        <v>17</v>
      </c>
      <c r="B29" s="82" t="s">
        <v>133</v>
      </c>
      <c r="C29" s="82">
        <v>6</v>
      </c>
      <c r="D29" s="86">
        <v>0</v>
      </c>
      <c r="E29" s="83">
        <v>0</v>
      </c>
      <c r="F29" s="83">
        <v>0</v>
      </c>
      <c r="G29" s="83">
        <f t="shared" si="0"/>
        <v>0</v>
      </c>
      <c r="H29" s="86">
        <f>1.025*9.81*(($F$10+0.76)-D29)</f>
        <v>127.29946499999998</v>
      </c>
      <c r="I29" s="83">
        <v>0</v>
      </c>
      <c r="J29" s="83">
        <f t="shared" si="2"/>
        <v>171.85427774999999</v>
      </c>
      <c r="K29" s="83">
        <v>355</v>
      </c>
      <c r="L29" s="84">
        <v>0.7</v>
      </c>
      <c r="M29" s="84">
        <v>4</v>
      </c>
      <c r="N29" s="85">
        <v>1</v>
      </c>
      <c r="O29" s="85">
        <v>1.5</v>
      </c>
      <c r="P29" s="85">
        <v>1</v>
      </c>
      <c r="Q29" s="85">
        <f t="shared" si="3"/>
        <v>238.51101380350309</v>
      </c>
      <c r="R29" s="85">
        <v>0</v>
      </c>
      <c r="S29" s="85">
        <v>105.8</v>
      </c>
      <c r="T29" s="86">
        <f>SQRT(Q29^2+R29^2-Q29*R29+3*S29^2)</f>
        <v>300.77969297406838</v>
      </c>
      <c r="U29" s="83">
        <f>MIN(K29/$F$7,1.3*(K29/$F$7-T29))</f>
        <v>28.531853679165604</v>
      </c>
      <c r="V29" s="86">
        <f>14.3*$F$8/SQRT(K29/$F$7)</f>
        <v>3.98004706603921</v>
      </c>
      <c r="W29" s="86">
        <f>15.8*N29*L29*SQRT(J29)/SQRT(U29*P29)</f>
        <v>27.14377872928625</v>
      </c>
      <c r="X29" s="86">
        <f t="shared" si="6"/>
        <v>28.64377872928625</v>
      </c>
      <c r="Y29" s="196" ph="1">
        <v>25</v>
      </c>
      <c r="Z29" s="86" t="str">
        <f>IF(MROUND(X29,0.5)&lt;=Y29,"OK","N.G")</f>
        <v>N.G</v>
      </c>
    </row>
    <row r="30" spans="1:30" ht="12" customHeight="1" x14ac:dyDescent="0.3">
      <c r="A30" s="82">
        <v>18</v>
      </c>
      <c r="B30" s="82" t="s">
        <v>133</v>
      </c>
      <c r="C30" s="82">
        <v>6</v>
      </c>
      <c r="D30" s="86">
        <v>0.7</v>
      </c>
      <c r="E30" s="83">
        <v>0</v>
      </c>
      <c r="F30" s="83">
        <v>0</v>
      </c>
      <c r="G30" s="83">
        <f t="shared" si="0"/>
        <v>0</v>
      </c>
      <c r="H30" s="86">
        <f t="shared" si="1"/>
        <v>120.26079</v>
      </c>
      <c r="I30" s="83">
        <v>0</v>
      </c>
      <c r="J30" s="83">
        <f t="shared" si="2"/>
        <v>162.35206650000001</v>
      </c>
      <c r="K30" s="83">
        <v>355</v>
      </c>
      <c r="L30" s="84">
        <v>0.7</v>
      </c>
      <c r="M30" s="84">
        <v>4</v>
      </c>
      <c r="N30" s="85">
        <v>1</v>
      </c>
      <c r="O30" s="85">
        <v>1.5</v>
      </c>
      <c r="P30" s="85">
        <v>1</v>
      </c>
      <c r="Q30" s="85">
        <f t="shared" si="3"/>
        <v>201.37629190349148</v>
      </c>
      <c r="R30" s="85">
        <v>0</v>
      </c>
      <c r="S30" s="85">
        <v>119.4</v>
      </c>
      <c r="T30" s="86">
        <f t="shared" si="8"/>
        <v>288.65462224049037</v>
      </c>
      <c r="U30" s="83">
        <f t="shared" ref="U30:U47" si="10">MIN(K30/$F$7,1.3*(K30/$F$7-T30))</f>
        <v>44.294445632817023</v>
      </c>
      <c r="V30" s="86">
        <f t="shared" si="4"/>
        <v>3.98004706603921</v>
      </c>
      <c r="W30" s="86">
        <f t="shared" ref="W30:W47" si="11">15.8*N30*L30*SQRT(J30)/SQRT(U30*P30)</f>
        <v>21.174316585906816</v>
      </c>
      <c r="X30" s="86">
        <f t="shared" si="6"/>
        <v>22.674316585906816</v>
      </c>
      <c r="Y30" s="196" ph="1">
        <v>25</v>
      </c>
      <c r="Z30" s="86" t="str">
        <f>IF(MROUND(X30,0.5)&lt;=Y30,"OK","N.G")</f>
        <v>OK</v>
      </c>
    </row>
    <row r="31" spans="1:30" ht="12" customHeight="1" x14ac:dyDescent="0.3">
      <c r="A31" s="82">
        <v>19</v>
      </c>
      <c r="B31" s="82" t="s">
        <v>133</v>
      </c>
      <c r="C31" s="82">
        <v>6</v>
      </c>
      <c r="D31" s="86">
        <v>1.4</v>
      </c>
      <c r="E31" s="83">
        <v>0</v>
      </c>
      <c r="F31" s="83">
        <v>0</v>
      </c>
      <c r="G31" s="83">
        <f t="shared" si="0"/>
        <v>0</v>
      </c>
      <c r="H31" s="86">
        <f t="shared" si="1"/>
        <v>113.22211499999999</v>
      </c>
      <c r="I31" s="83">
        <v>0</v>
      </c>
      <c r="J31" s="83">
        <f t="shared" si="2"/>
        <v>152.84985524999999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3"/>
        <v>164.24157000347992</v>
      </c>
      <c r="R31" s="85">
        <v>0</v>
      </c>
      <c r="S31" s="85">
        <v>130.5</v>
      </c>
      <c r="T31" s="86">
        <f t="shared" si="8"/>
        <v>279.40301236244392</v>
      </c>
      <c r="U31" s="83">
        <f t="shared" si="10"/>
        <v>56.321538474277411</v>
      </c>
      <c r="V31" s="86">
        <f t="shared" si="4"/>
        <v>3.98004706603921</v>
      </c>
      <c r="W31" s="86">
        <f t="shared" si="11"/>
        <v>18.220084556645634</v>
      </c>
      <c r="X31" s="86">
        <f t="shared" si="6"/>
        <v>19.720084556645634</v>
      </c>
      <c r="Y31" s="196" ph="1">
        <v>25</v>
      </c>
      <c r="Z31" s="86" t="str">
        <f>IF(MROUND(X31,0.5)&lt;=Y31,"OK","N.G")</f>
        <v>OK</v>
      </c>
    </row>
    <row r="32" spans="1:30" ht="12" customHeight="1" x14ac:dyDescent="0.3">
      <c r="A32" s="82">
        <v>20</v>
      </c>
      <c r="B32" s="82" t="s">
        <v>133</v>
      </c>
      <c r="C32" s="82">
        <v>6</v>
      </c>
      <c r="D32" s="86">
        <f>D31+0.7</f>
        <v>2.0999999999999996</v>
      </c>
      <c r="E32" s="83">
        <v>0</v>
      </c>
      <c r="F32" s="83">
        <v>0</v>
      </c>
      <c r="G32" s="83">
        <f t="shared" si="0"/>
        <v>0</v>
      </c>
      <c r="H32" s="86">
        <f t="shared" si="1"/>
        <v>106.18343999999999</v>
      </c>
      <c r="I32" s="83">
        <v>0</v>
      </c>
      <c r="J32" s="83">
        <f t="shared" si="2"/>
        <v>143.347644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3"/>
        <v>127.10684810346832</v>
      </c>
      <c r="R32" s="85">
        <v>0</v>
      </c>
      <c r="S32" s="85">
        <v>139</v>
      </c>
      <c r="T32" s="86">
        <f t="shared" si="8"/>
        <v>272.24832567859471</v>
      </c>
      <c r="U32" s="83">
        <f t="shared" si="10"/>
        <v>65.622631163281383</v>
      </c>
      <c r="V32" s="86">
        <f t="shared" si="4"/>
        <v>3.98004706603921</v>
      </c>
      <c r="W32" s="86">
        <f t="shared" si="11"/>
        <v>16.346455137787814</v>
      </c>
      <c r="X32" s="86">
        <f t="shared" si="6"/>
        <v>17.846455137787814</v>
      </c>
      <c r="Y32" s="196" ph="1">
        <v>25</v>
      </c>
      <c r="Z32" s="86" t="str">
        <f t="shared" si="7"/>
        <v>OK</v>
      </c>
    </row>
    <row r="33" spans="1:26" ht="12" customHeight="1" x14ac:dyDescent="0.3">
      <c r="A33" s="82">
        <v>21</v>
      </c>
      <c r="B33" s="82" t="s">
        <v>133</v>
      </c>
      <c r="C33" s="82">
        <v>6</v>
      </c>
      <c r="D33" s="86">
        <f t="shared" ref="D33:D41" si="12">D32+0.7</f>
        <v>2.8</v>
      </c>
      <c r="E33" s="83">
        <v>0</v>
      </c>
      <c r="F33" s="83">
        <v>0</v>
      </c>
      <c r="G33" s="83">
        <f t="shared" si="0"/>
        <v>0</v>
      </c>
      <c r="H33" s="86">
        <f t="shared" si="1"/>
        <v>99.144764999999992</v>
      </c>
      <c r="I33" s="83">
        <v>0</v>
      </c>
      <c r="J33" s="83">
        <f t="shared" si="2"/>
        <v>133.84543274999999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3"/>
        <v>89.972126203456725</v>
      </c>
      <c r="R33" s="85">
        <v>0</v>
      </c>
      <c r="S33" s="85">
        <v>144.80000000000001</v>
      </c>
      <c r="T33" s="86">
        <f t="shared" si="8"/>
        <v>266.45094012513965</v>
      </c>
      <c r="U33" s="83">
        <f t="shared" si="10"/>
        <v>73.159232382772956</v>
      </c>
      <c r="V33" s="86">
        <f t="shared" si="4"/>
        <v>3.98004706603921</v>
      </c>
      <c r="W33" s="86">
        <f t="shared" si="11"/>
        <v>14.959681079898045</v>
      </c>
      <c r="X33" s="86">
        <f t="shared" si="6"/>
        <v>16.459681079898047</v>
      </c>
      <c r="Y33" s="196" ph="1">
        <v>25</v>
      </c>
      <c r="Z33" s="86" t="str">
        <f t="shared" si="7"/>
        <v>OK</v>
      </c>
    </row>
    <row r="34" spans="1:26" ht="12" customHeight="1" x14ac:dyDescent="0.3">
      <c r="A34" s="82">
        <v>22</v>
      </c>
      <c r="B34" s="82" t="s">
        <v>133</v>
      </c>
      <c r="C34" s="82">
        <v>6</v>
      </c>
      <c r="D34" s="86">
        <f t="shared" si="12"/>
        <v>3.5</v>
      </c>
      <c r="E34" s="83">
        <v>0</v>
      </c>
      <c r="F34" s="83">
        <v>0</v>
      </c>
      <c r="G34" s="83">
        <f t="shared" si="0"/>
        <v>0</v>
      </c>
      <c r="H34" s="86">
        <f t="shared" si="1"/>
        <v>92.106089999999995</v>
      </c>
      <c r="I34" s="83">
        <v>0</v>
      </c>
      <c r="J34" s="83">
        <f t="shared" si="2"/>
        <v>124.3432215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3"/>
        <v>52.837404303445105</v>
      </c>
      <c r="R34" s="85">
        <v>0</v>
      </c>
      <c r="S34" s="85">
        <v>148.1</v>
      </c>
      <c r="T34" s="86">
        <f t="shared" si="8"/>
        <v>261.90193067926344</v>
      </c>
      <c r="U34" s="83">
        <f t="shared" si="10"/>
        <v>79.072944662412027</v>
      </c>
      <c r="V34" s="86">
        <f t="shared" si="4"/>
        <v>3.98004706603921</v>
      </c>
      <c r="W34" s="86">
        <f t="shared" si="11"/>
        <v>13.869226104997606</v>
      </c>
      <c r="X34" s="86">
        <f t="shared" si="6"/>
        <v>15.369226104997606</v>
      </c>
      <c r="Y34" s="196" ph="1">
        <v>25</v>
      </c>
      <c r="Z34" s="86" t="str">
        <f t="shared" si="7"/>
        <v>OK</v>
      </c>
    </row>
    <row r="35" spans="1:26" ht="12" customHeight="1" x14ac:dyDescent="0.3">
      <c r="A35" s="82">
        <v>23</v>
      </c>
      <c r="B35" s="82" t="s">
        <v>133</v>
      </c>
      <c r="C35" s="82">
        <v>6</v>
      </c>
      <c r="D35" s="86">
        <f t="shared" si="12"/>
        <v>4.2</v>
      </c>
      <c r="E35" s="83">
        <v>0</v>
      </c>
      <c r="F35" s="83">
        <v>0</v>
      </c>
      <c r="G35" s="83">
        <f t="shared" si="0"/>
        <v>0</v>
      </c>
      <c r="H35" s="86">
        <f t="shared" si="1"/>
        <v>85.067414999999997</v>
      </c>
      <c r="I35" s="83">
        <v>0</v>
      </c>
      <c r="J35" s="83">
        <f t="shared" si="2"/>
        <v>114.84101025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3"/>
        <v>15.702682403433489</v>
      </c>
      <c r="R35" s="85">
        <v>0</v>
      </c>
      <c r="S35" s="85">
        <v>149.19999999999999</v>
      </c>
      <c r="T35" s="86">
        <f t="shared" si="8"/>
        <v>258.89861767623074</v>
      </c>
      <c r="U35" s="83">
        <f t="shared" si="10"/>
        <v>82.977251566354539</v>
      </c>
      <c r="V35" s="86">
        <f t="shared" si="4"/>
        <v>3.98004706603921</v>
      </c>
      <c r="W35" s="86">
        <f t="shared" si="11"/>
        <v>13.011402336689512</v>
      </c>
      <c r="X35" s="86">
        <f t="shared" si="6"/>
        <v>14.511402336689512</v>
      </c>
      <c r="Y35" s="196" ph="1">
        <v>25</v>
      </c>
      <c r="Z35" s="86" t="str">
        <f t="shared" si="7"/>
        <v>OK</v>
      </c>
    </row>
    <row r="36" spans="1:26" ht="12" customHeight="1" x14ac:dyDescent="0.3">
      <c r="A36" s="82">
        <v>24</v>
      </c>
      <c r="B36" s="82" t="s">
        <v>133</v>
      </c>
      <c r="C36" s="82">
        <v>6</v>
      </c>
      <c r="D36" s="86">
        <f t="shared" si="12"/>
        <v>4.9000000000000004</v>
      </c>
      <c r="E36" s="83">
        <v>0</v>
      </c>
      <c r="F36" s="83">
        <v>0</v>
      </c>
      <c r="G36" s="83">
        <f t="shared" si="0"/>
        <v>0</v>
      </c>
      <c r="H36" s="86">
        <f t="shared" si="1"/>
        <v>78.028739999999985</v>
      </c>
      <c r="I36" s="83">
        <v>0</v>
      </c>
      <c r="J36" s="83">
        <f t="shared" si="2"/>
        <v>105.33879899999998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3"/>
        <v>21.43203949657812</v>
      </c>
      <c r="R36" s="85">
        <v>0</v>
      </c>
      <c r="S36" s="85">
        <v>147.89999999999901</v>
      </c>
      <c r="T36" s="86">
        <f t="shared" si="8"/>
        <v>257.06528804368355</v>
      </c>
      <c r="U36" s="83">
        <f t="shared" si="10"/>
        <v>85.360580088665884</v>
      </c>
      <c r="V36" s="86">
        <f t="shared" si="4"/>
        <v>3.98004706603921</v>
      </c>
      <c r="W36" s="86">
        <f t="shared" si="11"/>
        <v>12.286286247214255</v>
      </c>
      <c r="X36" s="86">
        <f t="shared" si="6"/>
        <v>13.786286247214255</v>
      </c>
      <c r="Y36" s="196" ph="1">
        <v>25</v>
      </c>
      <c r="Z36" s="86" t="str">
        <f t="shared" si="7"/>
        <v>OK</v>
      </c>
    </row>
    <row r="37" spans="1:26" ht="12" customHeight="1" x14ac:dyDescent="0.3">
      <c r="A37" s="82">
        <v>25</v>
      </c>
      <c r="B37" s="82" t="s">
        <v>133</v>
      </c>
      <c r="C37" s="82">
        <v>6</v>
      </c>
      <c r="D37" s="86">
        <f t="shared" si="12"/>
        <v>5.6000000000000005</v>
      </c>
      <c r="E37" s="83">
        <v>0</v>
      </c>
      <c r="F37" s="83">
        <v>0</v>
      </c>
      <c r="G37" s="83">
        <f t="shared" si="0"/>
        <v>0</v>
      </c>
      <c r="H37" s="86">
        <f t="shared" si="1"/>
        <v>70.990064999999987</v>
      </c>
      <c r="I37" s="83">
        <v>0</v>
      </c>
      <c r="J37" s="83">
        <f t="shared" si="2"/>
        <v>95.836587749999993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3"/>
        <v>58.566761396589733</v>
      </c>
      <c r="R37" s="85">
        <v>0</v>
      </c>
      <c r="S37" s="85">
        <v>141.6</v>
      </c>
      <c r="T37" s="86">
        <f t="shared" si="8"/>
        <v>252.15420984089295</v>
      </c>
      <c r="U37" s="83">
        <f t="shared" si="10"/>
        <v>91.744981752293668</v>
      </c>
      <c r="V37" s="86">
        <f t="shared" si="4"/>
        <v>3.98004706603921</v>
      </c>
      <c r="W37" s="86">
        <f t="shared" si="11"/>
        <v>11.303934668189967</v>
      </c>
      <c r="X37" s="86">
        <f t="shared" si="6"/>
        <v>12.803934668189967</v>
      </c>
      <c r="Y37" s="196" ph="1">
        <v>25</v>
      </c>
      <c r="Z37" s="86" t="str">
        <f t="shared" si="7"/>
        <v>OK</v>
      </c>
    </row>
    <row r="38" spans="1:26" ht="12" customHeight="1" x14ac:dyDescent="0.3">
      <c r="A38" s="82">
        <v>26</v>
      </c>
      <c r="B38" s="82" t="s">
        <v>133</v>
      </c>
      <c r="C38" s="82">
        <v>6</v>
      </c>
      <c r="D38" s="86">
        <f t="shared" si="12"/>
        <v>6.3000000000000007</v>
      </c>
      <c r="E38" s="83">
        <v>0</v>
      </c>
      <c r="F38" s="83">
        <v>0</v>
      </c>
      <c r="G38" s="83">
        <f t="shared" si="0"/>
        <v>0</v>
      </c>
      <c r="H38" s="86">
        <f t="shared" si="1"/>
        <v>63.951389999999989</v>
      </c>
      <c r="I38" s="83">
        <v>0</v>
      </c>
      <c r="J38" s="83">
        <f t="shared" si="2"/>
        <v>86.334376499999991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3"/>
        <v>95.701483296601339</v>
      </c>
      <c r="R38" s="85">
        <v>0</v>
      </c>
      <c r="S38" s="85">
        <v>135.19999999999999</v>
      </c>
      <c r="T38" s="86">
        <f t="shared" si="8"/>
        <v>252.9740973008297</v>
      </c>
      <c r="U38" s="83">
        <f t="shared" si="10"/>
        <v>90.679128054375894</v>
      </c>
      <c r="V38" s="86">
        <f t="shared" si="4"/>
        <v>3.98004706603921</v>
      </c>
      <c r="W38" s="86">
        <f t="shared" si="11"/>
        <v>10.791786322607116</v>
      </c>
      <c r="X38" s="86">
        <f t="shared" si="6"/>
        <v>12.291786322607116</v>
      </c>
      <c r="Y38" s="196" ph="1">
        <v>25</v>
      </c>
      <c r="Z38" s="86" t="str">
        <f t="shared" si="7"/>
        <v>OK</v>
      </c>
    </row>
    <row r="39" spans="1:26" ht="12" customHeight="1" x14ac:dyDescent="0.3">
      <c r="A39" s="82">
        <v>27</v>
      </c>
      <c r="B39" s="82" t="s">
        <v>133</v>
      </c>
      <c r="C39" s="82">
        <v>6</v>
      </c>
      <c r="D39" s="86">
        <f t="shared" si="12"/>
        <v>7.0000000000000009</v>
      </c>
      <c r="E39" s="83">
        <v>0</v>
      </c>
      <c r="F39" s="83">
        <v>0</v>
      </c>
      <c r="G39" s="83">
        <f t="shared" si="0"/>
        <v>0</v>
      </c>
      <c r="H39" s="86">
        <f t="shared" si="1"/>
        <v>56.912714999999984</v>
      </c>
      <c r="I39" s="83">
        <v>0</v>
      </c>
      <c r="J39" s="83">
        <f t="shared" si="2"/>
        <v>76.832165249999989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3"/>
        <v>132.83620519661295</v>
      </c>
      <c r="R39" s="85">
        <v>0</v>
      </c>
      <c r="S39" s="85">
        <v>126.2</v>
      </c>
      <c r="T39" s="86">
        <f t="shared" si="8"/>
        <v>255.78267613549721</v>
      </c>
      <c r="U39" s="83">
        <f t="shared" si="10"/>
        <v>87.027975569308126</v>
      </c>
      <c r="V39" s="86">
        <f t="shared" si="4"/>
        <v>3.98004706603921</v>
      </c>
      <c r="W39" s="86">
        <f t="shared" si="11"/>
        <v>10.391954166450795</v>
      </c>
      <c r="X39" s="86">
        <f t="shared" si="6"/>
        <v>11.891954166450795</v>
      </c>
      <c r="Y39" s="196" ph="1">
        <v>25</v>
      </c>
      <c r="Z39" s="86" t="str">
        <f t="shared" si="7"/>
        <v>OK</v>
      </c>
    </row>
    <row r="40" spans="1:26" ht="12" customHeight="1" x14ac:dyDescent="0.3">
      <c r="A40" s="82">
        <v>28</v>
      </c>
      <c r="B40" s="82" t="s">
        <v>133</v>
      </c>
      <c r="C40" s="82">
        <v>6</v>
      </c>
      <c r="D40" s="86">
        <f t="shared" si="12"/>
        <v>7.7000000000000011</v>
      </c>
      <c r="E40" s="83">
        <v>0</v>
      </c>
      <c r="F40" s="83">
        <v>0</v>
      </c>
      <c r="G40" s="83">
        <f t="shared" si="0"/>
        <v>0</v>
      </c>
      <c r="H40" s="86">
        <f t="shared" si="1"/>
        <v>49.874039999999987</v>
      </c>
      <c r="I40" s="83">
        <v>0</v>
      </c>
      <c r="J40" s="83">
        <f t="shared" si="2"/>
        <v>67.329953999999987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3"/>
        <v>169.97092709662454</v>
      </c>
      <c r="R40" s="85">
        <v>0</v>
      </c>
      <c r="S40" s="85">
        <v>114.7</v>
      </c>
      <c r="T40" s="86">
        <f t="shared" si="8"/>
        <v>261.45436706638895</v>
      </c>
      <c r="U40" s="83">
        <f t="shared" si="10"/>
        <v>79.654777359148866</v>
      </c>
      <c r="V40" s="86">
        <f t="shared" si="4"/>
        <v>3.98004706603921</v>
      </c>
      <c r="W40" s="86">
        <f t="shared" si="11"/>
        <v>10.168417556539088</v>
      </c>
      <c r="X40" s="86">
        <f t="shared" si="6"/>
        <v>11.668417556539088</v>
      </c>
      <c r="Y40" s="196" ph="1">
        <v>25</v>
      </c>
      <c r="Z40" s="86" t="str">
        <f t="shared" si="7"/>
        <v>OK</v>
      </c>
    </row>
    <row r="41" spans="1:26" ht="12" customHeight="1" x14ac:dyDescent="0.3">
      <c r="A41" s="82">
        <v>29</v>
      </c>
      <c r="B41" s="82" t="s">
        <v>133</v>
      </c>
      <c r="C41" s="82">
        <v>6</v>
      </c>
      <c r="D41" s="86">
        <f t="shared" si="12"/>
        <v>8.4</v>
      </c>
      <c r="E41" s="83">
        <v>0</v>
      </c>
      <c r="F41" s="83">
        <v>0</v>
      </c>
      <c r="G41" s="83">
        <f t="shared" si="0"/>
        <v>0</v>
      </c>
      <c r="H41" s="86">
        <f>1.025*9.81*(($F$10+0.76)-D41)</f>
        <v>42.835364999999996</v>
      </c>
      <c r="I41" s="83">
        <v>0</v>
      </c>
      <c r="J41" s="83">
        <f t="shared" si="2"/>
        <v>57.827742749999999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3"/>
        <v>207.10564899663612</v>
      </c>
      <c r="R41" s="85">
        <v>0</v>
      </c>
      <c r="S41" s="85">
        <v>104.4</v>
      </c>
      <c r="T41" s="86">
        <f t="shared" si="8"/>
        <v>274.937865428387</v>
      </c>
      <c r="U41" s="83">
        <f t="shared" si="10"/>
        <v>62.126229488551402</v>
      </c>
      <c r="V41" s="86">
        <f t="shared" si="4"/>
        <v>3.98004706603921</v>
      </c>
      <c r="W41" s="86">
        <f t="shared" si="11"/>
        <v>10.670524046866971</v>
      </c>
      <c r="X41" s="86">
        <f t="shared" si="6"/>
        <v>12.170524046866971</v>
      </c>
      <c r="Y41" s="196" ph="1">
        <v>25</v>
      </c>
      <c r="Z41" s="86" t="str">
        <f t="shared" si="7"/>
        <v>OK</v>
      </c>
    </row>
    <row r="42" spans="1:26" ht="12" customHeight="1" x14ac:dyDescent="0.3">
      <c r="A42" s="87">
        <v>51</v>
      </c>
      <c r="B42" s="87" t="s">
        <v>134</v>
      </c>
      <c r="C42" s="87">
        <v>2.1</v>
      </c>
      <c r="D42" s="87">
        <v>8.4</v>
      </c>
      <c r="E42" s="88">
        <v>0</v>
      </c>
      <c r="F42" s="88">
        <v>0</v>
      </c>
      <c r="G42" s="88">
        <f t="shared" si="0"/>
        <v>0</v>
      </c>
      <c r="H42" s="91">
        <f t="shared" si="1"/>
        <v>42.835364999999996</v>
      </c>
      <c r="I42" s="88">
        <v>0</v>
      </c>
      <c r="J42" s="88">
        <f t="shared" si="2"/>
        <v>57.827742749999999</v>
      </c>
      <c r="K42" s="88">
        <v>355</v>
      </c>
      <c r="L42" s="89">
        <v>0.75</v>
      </c>
      <c r="M42" s="89">
        <v>4</v>
      </c>
      <c r="N42" s="90">
        <v>1</v>
      </c>
      <c r="O42" s="90">
        <v>1.5</v>
      </c>
      <c r="P42" s="90">
        <v>1</v>
      </c>
      <c r="Q42" s="90">
        <f t="shared" si="3"/>
        <v>207.10564899663612</v>
      </c>
      <c r="R42" s="90">
        <v>0</v>
      </c>
      <c r="S42" s="90">
        <v>3.7656927628923298</v>
      </c>
      <c r="T42" s="91">
        <f t="shared" si="8"/>
        <v>207.20832795105349</v>
      </c>
      <c r="U42" s="88">
        <f t="shared" si="10"/>
        <v>150.17462820908497</v>
      </c>
      <c r="V42" s="91">
        <f t="shared" si="4"/>
        <v>3.98004706603921</v>
      </c>
      <c r="W42" s="91">
        <f t="shared" si="11"/>
        <v>7.3533999501717853</v>
      </c>
      <c r="X42" s="91">
        <f t="shared" si="6"/>
        <v>8.8533999501717844</v>
      </c>
      <c r="Y42" s="197" ph="1">
        <v>20</v>
      </c>
      <c r="Z42" s="91" t="str">
        <f t="shared" si="7"/>
        <v>OK</v>
      </c>
    </row>
    <row r="43" spans="1:26" ht="12" customHeight="1" x14ac:dyDescent="0.3">
      <c r="A43" s="87">
        <v>52</v>
      </c>
      <c r="B43" s="87" t="s">
        <v>134</v>
      </c>
      <c r="C43" s="87">
        <v>3</v>
      </c>
      <c r="D43" s="87">
        <v>8.4</v>
      </c>
      <c r="E43" s="88">
        <v>0</v>
      </c>
      <c r="F43" s="88">
        <v>0</v>
      </c>
      <c r="G43" s="88">
        <f t="shared" si="0"/>
        <v>0</v>
      </c>
      <c r="H43" s="91">
        <f t="shared" si="1"/>
        <v>42.835364999999996</v>
      </c>
      <c r="I43" s="88">
        <v>0</v>
      </c>
      <c r="J43" s="88">
        <f t="shared" si="2"/>
        <v>57.827742749999999</v>
      </c>
      <c r="K43" s="88">
        <v>355</v>
      </c>
      <c r="L43" s="89">
        <v>0.75</v>
      </c>
      <c r="M43" s="89">
        <v>4</v>
      </c>
      <c r="N43" s="90">
        <v>1</v>
      </c>
      <c r="O43" s="90">
        <v>1.5</v>
      </c>
      <c r="P43" s="90">
        <v>1</v>
      </c>
      <c r="Q43" s="90">
        <f t="shared" si="3"/>
        <v>207.10564899663612</v>
      </c>
      <c r="R43" s="90">
        <v>0</v>
      </c>
      <c r="S43" s="90">
        <v>14.5</v>
      </c>
      <c r="T43" s="91">
        <f t="shared" si="8"/>
        <v>208.62286510907151</v>
      </c>
      <c r="U43" s="88">
        <f t="shared" si="10"/>
        <v>148.33572990366153</v>
      </c>
      <c r="V43" s="91">
        <f t="shared" si="4"/>
        <v>3.98004706603921</v>
      </c>
      <c r="W43" s="91">
        <f t="shared" si="11"/>
        <v>7.3988391184598754</v>
      </c>
      <c r="X43" s="91">
        <f t="shared" si="6"/>
        <v>8.8988391184598754</v>
      </c>
      <c r="Y43" s="197" ph="1">
        <v>20</v>
      </c>
      <c r="Z43" s="91" t="str">
        <f t="shared" si="7"/>
        <v>OK</v>
      </c>
    </row>
    <row r="44" spans="1:26" ht="12" customHeight="1" x14ac:dyDescent="0.3">
      <c r="A44" s="87">
        <v>53</v>
      </c>
      <c r="B44" s="87" t="s">
        <v>134</v>
      </c>
      <c r="C44" s="87">
        <v>3.75</v>
      </c>
      <c r="D44" s="87">
        <v>8.4</v>
      </c>
      <c r="E44" s="88">
        <v>0</v>
      </c>
      <c r="F44" s="88">
        <v>0</v>
      </c>
      <c r="G44" s="88">
        <f t="shared" si="0"/>
        <v>0</v>
      </c>
      <c r="H44" s="91">
        <f t="shared" si="1"/>
        <v>42.835364999999996</v>
      </c>
      <c r="I44" s="88">
        <v>0</v>
      </c>
      <c r="J44" s="88">
        <f t="shared" si="2"/>
        <v>57.827742749999999</v>
      </c>
      <c r="K44" s="88">
        <v>355</v>
      </c>
      <c r="L44" s="89">
        <v>0.75</v>
      </c>
      <c r="M44" s="89">
        <v>4</v>
      </c>
      <c r="N44" s="90">
        <v>1</v>
      </c>
      <c r="O44" s="90">
        <v>1.5</v>
      </c>
      <c r="P44" s="90">
        <v>1</v>
      </c>
      <c r="Q44" s="90">
        <f t="shared" si="3"/>
        <v>207.10564899663612</v>
      </c>
      <c r="R44" s="90">
        <v>0</v>
      </c>
      <c r="S44" s="90">
        <v>38.799999999999997</v>
      </c>
      <c r="T44" s="91">
        <f t="shared" si="8"/>
        <v>217.73623916637726</v>
      </c>
      <c r="U44" s="88">
        <f t="shared" si="10"/>
        <v>136.48834362916406</v>
      </c>
      <c r="V44" s="91">
        <f t="shared" si="4"/>
        <v>3.98004706603921</v>
      </c>
      <c r="W44" s="91">
        <f t="shared" si="11"/>
        <v>7.7132727513009174</v>
      </c>
      <c r="X44" s="91">
        <f t="shared" si="6"/>
        <v>9.2132727513009165</v>
      </c>
      <c r="Y44" s="197" ph="1">
        <v>20</v>
      </c>
      <c r="Z44" s="91" t="str">
        <f t="shared" si="7"/>
        <v>OK</v>
      </c>
    </row>
    <row r="45" spans="1:26" ht="12" customHeight="1" x14ac:dyDescent="0.3">
      <c r="A45" s="87">
        <v>54</v>
      </c>
      <c r="B45" s="87" t="s">
        <v>134</v>
      </c>
      <c r="C45" s="87">
        <v>4.5</v>
      </c>
      <c r="D45" s="87">
        <v>8.4</v>
      </c>
      <c r="E45" s="88">
        <v>0</v>
      </c>
      <c r="F45" s="88">
        <v>0</v>
      </c>
      <c r="G45" s="88">
        <f t="shared" si="0"/>
        <v>0</v>
      </c>
      <c r="H45" s="91">
        <f t="shared" si="1"/>
        <v>42.835364999999996</v>
      </c>
      <c r="I45" s="88">
        <v>0</v>
      </c>
      <c r="J45" s="88">
        <f t="shared" si="2"/>
        <v>57.827742749999999</v>
      </c>
      <c r="K45" s="88">
        <v>355</v>
      </c>
      <c r="L45" s="89">
        <v>0.75</v>
      </c>
      <c r="M45" s="89">
        <v>4</v>
      </c>
      <c r="N45" s="90">
        <v>1</v>
      </c>
      <c r="O45" s="90">
        <v>1.5</v>
      </c>
      <c r="P45" s="90">
        <v>1</v>
      </c>
      <c r="Q45" s="90">
        <f t="shared" si="3"/>
        <v>207.10564899663612</v>
      </c>
      <c r="R45" s="90">
        <v>0</v>
      </c>
      <c r="S45" s="90">
        <v>60.699999999999903</v>
      </c>
      <c r="T45" s="91">
        <f t="shared" si="8"/>
        <v>232.26325548032304</v>
      </c>
      <c r="U45" s="88">
        <f t="shared" si="10"/>
        <v>117.60322242103454</v>
      </c>
      <c r="V45" s="91">
        <f t="shared" si="4"/>
        <v>3.98004706603921</v>
      </c>
      <c r="W45" s="91">
        <f t="shared" si="11"/>
        <v>8.309537643209385</v>
      </c>
      <c r="X45" s="91">
        <f t="shared" si="6"/>
        <v>9.809537643209385</v>
      </c>
      <c r="Y45" s="197" ph="1">
        <v>20</v>
      </c>
      <c r="Z45" s="91" t="str">
        <f t="shared" si="7"/>
        <v>OK</v>
      </c>
    </row>
    <row r="46" spans="1:26" ht="12" customHeight="1" x14ac:dyDescent="0.3">
      <c r="A46" s="87">
        <v>55</v>
      </c>
      <c r="B46" s="87" t="s">
        <v>134</v>
      </c>
      <c r="C46" s="87">
        <v>5.25</v>
      </c>
      <c r="D46" s="87">
        <v>8.4</v>
      </c>
      <c r="E46" s="88">
        <v>0</v>
      </c>
      <c r="F46" s="88">
        <v>0</v>
      </c>
      <c r="G46" s="88">
        <f t="shared" si="0"/>
        <v>0</v>
      </c>
      <c r="H46" s="91">
        <f>1.025*9.81*(($F$10+0.76)-D46)</f>
        <v>42.835364999999996</v>
      </c>
      <c r="I46" s="88">
        <v>0</v>
      </c>
      <c r="J46" s="88">
        <f t="shared" si="2"/>
        <v>57.827742749999999</v>
      </c>
      <c r="K46" s="88">
        <v>355</v>
      </c>
      <c r="L46" s="89">
        <v>0.75</v>
      </c>
      <c r="M46" s="89">
        <v>4</v>
      </c>
      <c r="N46" s="90">
        <v>1</v>
      </c>
      <c r="O46" s="90">
        <v>1.5</v>
      </c>
      <c r="P46" s="90">
        <v>1</v>
      </c>
      <c r="Q46" s="90">
        <f t="shared" si="3"/>
        <v>207.10564899663612</v>
      </c>
      <c r="R46" s="90">
        <v>0</v>
      </c>
      <c r="S46" s="90">
        <v>82.5</v>
      </c>
      <c r="T46" s="91">
        <f t="shared" si="8"/>
        <v>251.61776536309563</v>
      </c>
      <c r="U46" s="88">
        <f t="shared" si="10"/>
        <v>92.442359573430181</v>
      </c>
      <c r="V46" s="91">
        <f t="shared" si="4"/>
        <v>3.98004706603921</v>
      </c>
      <c r="W46" s="91">
        <f t="shared" si="11"/>
        <v>9.3724031088436224</v>
      </c>
      <c r="X46" s="91">
        <f t="shared" si="6"/>
        <v>10.872403108843622</v>
      </c>
      <c r="Y46" s="197" ph="1">
        <v>20</v>
      </c>
      <c r="Z46" s="91" t="str">
        <f t="shared" si="7"/>
        <v>OK</v>
      </c>
    </row>
    <row r="47" spans="1:26" ht="12" customHeight="1" x14ac:dyDescent="0.3">
      <c r="A47" s="87">
        <v>56</v>
      </c>
      <c r="B47" s="87" t="s">
        <v>134</v>
      </c>
      <c r="C47" s="87">
        <v>6</v>
      </c>
      <c r="D47" s="87">
        <v>8.4</v>
      </c>
      <c r="E47" s="88">
        <v>0</v>
      </c>
      <c r="F47" s="88">
        <v>0</v>
      </c>
      <c r="G47" s="88">
        <f t="shared" si="0"/>
        <v>0</v>
      </c>
      <c r="H47" s="91">
        <f t="shared" si="1"/>
        <v>42.835364999999996</v>
      </c>
      <c r="I47" s="88">
        <v>0</v>
      </c>
      <c r="J47" s="88">
        <f t="shared" si="2"/>
        <v>57.827742749999999</v>
      </c>
      <c r="K47" s="88">
        <v>355</v>
      </c>
      <c r="L47" s="89">
        <v>0.75</v>
      </c>
      <c r="M47" s="89">
        <v>4</v>
      </c>
      <c r="N47" s="90">
        <v>1</v>
      </c>
      <c r="O47" s="90">
        <v>1.5</v>
      </c>
      <c r="P47" s="90">
        <v>1</v>
      </c>
      <c r="Q47" s="90">
        <f t="shared" si="3"/>
        <v>207.10564899663612</v>
      </c>
      <c r="R47" s="90">
        <v>0</v>
      </c>
      <c r="S47" s="90">
        <v>104.4</v>
      </c>
      <c r="T47" s="91">
        <f t="shared" si="8"/>
        <v>274.937865428387</v>
      </c>
      <c r="U47" s="88">
        <f t="shared" si="10"/>
        <v>62.126229488551402</v>
      </c>
      <c r="V47" s="91">
        <f t="shared" si="4"/>
        <v>3.98004706603921</v>
      </c>
      <c r="W47" s="91">
        <f t="shared" si="11"/>
        <v>11.4327043359289</v>
      </c>
      <c r="X47" s="91">
        <f t="shared" si="6"/>
        <v>12.9327043359289</v>
      </c>
      <c r="Y47" s="197" ph="1">
        <v>20</v>
      </c>
      <c r="Z47" s="91" t="str">
        <f t="shared" si="7"/>
        <v>OK</v>
      </c>
    </row>
    <row r="48" spans="1:26" ht="12" customHeight="1" x14ac:dyDescent="0.3">
      <c r="Y48" s="4" ph="1"/>
    </row>
    <row r="49" spans="25:25" ht="12" customHeight="1" x14ac:dyDescent="0.3">
      <c r="Y49" s="4" ph="1"/>
    </row>
    <row r="50" spans="25:25" ht="12" customHeight="1" x14ac:dyDescent="0.3">
      <c r="Y50" s="4" ph="1"/>
    </row>
    <row r="51" spans="25:25" ht="12" customHeight="1" x14ac:dyDescent="0.3">
      <c r="Y51" s="4" ph="1"/>
    </row>
    <row r="52" spans="25:25" ht="12" customHeight="1" x14ac:dyDescent="0.3">
      <c r="Y52" s="4" ph="1"/>
    </row>
    <row r="53" spans="25:25" ht="12" customHeight="1" x14ac:dyDescent="0.3">
      <c r="Y53" s="4" ph="1"/>
    </row>
    <row r="54" spans="25:25" ht="12" customHeight="1" x14ac:dyDescent="0.3">
      <c r="Y54" s="4" ph="1"/>
    </row>
    <row r="55" spans="25:25" ht="12" customHeight="1" x14ac:dyDescent="0.3">
      <c r="Y55" s="4" ph="1"/>
    </row>
    <row r="56" spans="25:25" ht="12" customHeight="1" x14ac:dyDescent="0.3">
      <c r="Y56" s="4" ph="1"/>
    </row>
    <row r="61" spans="25:25" ht="12" customHeight="1" x14ac:dyDescent="0.45">
      <c r="Y61" s="4" ph="1"/>
    </row>
    <row r="62" spans="25:25" ht="12" customHeight="1" x14ac:dyDescent="0.45">
      <c r="Y62" s="4" ph="1"/>
    </row>
    <row r="63" spans="25:25" ht="12" customHeight="1" x14ac:dyDescent="0.45">
      <c r="Y63" s="4" ph="1"/>
    </row>
    <row r="64" spans="25:25" ht="12" customHeight="1" x14ac:dyDescent="0.45">
      <c r="Y64" s="4" ph="1"/>
    </row>
    <row r="65" spans="25:25" ht="12" customHeight="1" x14ac:dyDescent="0.3">
      <c r="Y65" s="4" ph="1"/>
    </row>
    <row r="66" spans="25:25" ht="12" customHeight="1" x14ac:dyDescent="0.45">
      <c r="Y66" s="4" ph="1"/>
    </row>
    <row r="67" spans="25:25" ht="12" customHeight="1" x14ac:dyDescent="0.45">
      <c r="Y67" s="4" ph="1"/>
    </row>
    <row r="68" spans="25:25" ht="12" customHeight="1" x14ac:dyDescent="0.45">
      <c r="Y68" s="4" ph="1"/>
    </row>
    <row r="69" spans="25:25" ht="12" customHeight="1" x14ac:dyDescent="0.45">
      <c r="Y69" s="4" ph="1"/>
    </row>
    <row r="70" spans="25:25" ht="12" customHeight="1" x14ac:dyDescent="0.45">
      <c r="Y70" s="4" ph="1"/>
    </row>
    <row r="75" spans="25:25" ht="12" customHeight="1" x14ac:dyDescent="0.45">
      <c r="Y75" s="4" ph="1"/>
    </row>
    <row r="76" spans="25:25" ht="12" customHeight="1" x14ac:dyDescent="0.45">
      <c r="Y76" s="4" ph="1"/>
    </row>
    <row r="77" spans="25:25" ht="12" customHeight="1" x14ac:dyDescent="0.45">
      <c r="Y77" s="4" ph="1"/>
    </row>
    <row r="78" spans="25:25" ht="12" customHeight="1" x14ac:dyDescent="0.45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47">
    <cfRule type="cellIs" dxfId="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zoomScale="115" zoomScaleNormal="115" workbookViewId="0">
      <selection activeCell="S52" sqref="S52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03" t="s">
        <v>175</v>
      </c>
      <c r="G4" s="203"/>
      <c r="H4" s="203"/>
      <c r="I4" s="203"/>
      <c r="J4" s="203"/>
      <c r="K4" s="203"/>
      <c r="L4" s="203"/>
      <c r="M4" s="203"/>
      <c r="N4" s="204"/>
    </row>
    <row r="5" spans="1:29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0">
        <v>4.29</v>
      </c>
      <c r="G11" s="136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0">
        <v>10.5</v>
      </c>
      <c r="G12" s="137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1">
        <v>10.46</v>
      </c>
      <c r="G13" s="138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32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35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07"/>
      <c r="B22" s="207"/>
      <c r="C22" s="207"/>
      <c r="D22" s="207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7" t="s">
        <v>124</v>
      </c>
      <c r="AA22" s="50"/>
    </row>
    <row r="23" spans="1:28" ht="12" customHeight="1" x14ac:dyDescent="0.45">
      <c r="A23" s="207"/>
      <c r="B23" s="207"/>
      <c r="C23" s="207"/>
      <c r="D23" s="207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7"/>
      <c r="AA23" s="50"/>
    </row>
    <row r="24" spans="1:28" ht="12" customHeight="1" x14ac:dyDescent="0.45">
      <c r="A24" s="92">
        <v>1</v>
      </c>
      <c r="B24" s="92" t="s">
        <v>198</v>
      </c>
      <c r="C24" s="100" t="s">
        <v>309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cm="1">
        <f t="array" ref="L24">Profile_SM(C24,O24*1000,12)/10^3</f>
        <v>1181.4841423635974</v>
      </c>
      <c r="M24" s="93" cm="1">
        <f t="array" ref="M24">Profile_ShearArea(C24,O24,12)</f>
        <v>5200</v>
      </c>
      <c r="N24" s="101">
        <v>4</v>
      </c>
      <c r="O24" s="101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02" t="str">
        <f t="shared" ref="Z24:Z36" si="5">IF(AND(L24&gt;=X24,M24&gt;=Y24),"OK","N.G")</f>
        <v>N.G</v>
      </c>
      <c r="AA24" s="103">
        <f t="shared" ref="AA24:AA36" si="6">L24/X24</f>
        <v>0.93652080247049019</v>
      </c>
    </row>
    <row r="25" spans="1:28" ht="12" customHeight="1" x14ac:dyDescent="0.45">
      <c r="A25" s="92">
        <v>2</v>
      </c>
      <c r="B25" s="92" t="s">
        <v>200</v>
      </c>
      <c r="C25" s="100" t="s">
        <v>309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cm="1">
        <f t="array" ref="L25">Profile_SM(C25,O25*1000,12)/10^3</f>
        <v>1181.4841423635974</v>
      </c>
      <c r="M25" s="93" cm="1">
        <f t="array" ref="M25">Profile_ShearArea(C25,O25,12)</f>
        <v>5200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02" t="str">
        <f t="shared" si="5"/>
        <v>N.G</v>
      </c>
      <c r="AA25" s="103">
        <f t="shared" si="6"/>
        <v>0.95251387575826674</v>
      </c>
    </row>
    <row r="26" spans="1:28" ht="12" customHeight="1" x14ac:dyDescent="0.45">
      <c r="A26" s="92">
        <v>3</v>
      </c>
      <c r="B26" s="92" t="s">
        <v>201</v>
      </c>
      <c r="C26" s="100" t="s">
        <v>309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cm="1">
        <f t="array" ref="L26">Profile_SM(C26,O26*1000,12)/10^3</f>
        <v>1181.4841423635974</v>
      </c>
      <c r="M26" s="93" cm="1">
        <f t="array" ref="M26">Profile_ShearArea(C26,O26,12)</f>
        <v>5200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02" t="str">
        <f t="shared" si="5"/>
        <v>N.G</v>
      </c>
      <c r="AA26" s="103">
        <f t="shared" si="6"/>
        <v>0.95819033152737798</v>
      </c>
    </row>
    <row r="27" spans="1:28" ht="12" customHeight="1" x14ac:dyDescent="0.45">
      <c r="A27" s="92">
        <v>4</v>
      </c>
      <c r="B27" s="92" t="s">
        <v>202</v>
      </c>
      <c r="C27" s="100" t="s">
        <v>309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cm="1">
        <f t="array" ref="L27">Profile_SM(C27,O27*1000,12)/10^3</f>
        <v>1181.4841423635974</v>
      </c>
      <c r="M27" s="93" cm="1">
        <f t="array" ref="M27">Profile_ShearArea(C27,O27,12)</f>
        <v>5200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02" t="str">
        <f t="shared" si="5"/>
        <v>N.G</v>
      </c>
      <c r="AA27" s="103">
        <f t="shared" si="6"/>
        <v>0.95343713852894729</v>
      </c>
    </row>
    <row r="28" spans="1:28" ht="12" customHeight="1" x14ac:dyDescent="0.45">
      <c r="A28" s="92">
        <v>5</v>
      </c>
      <c r="B28" s="92" t="s">
        <v>203</v>
      </c>
      <c r="C28" s="100" t="s">
        <v>309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cm="1">
        <f t="array" ref="L28">Profile_SM(C28,O28*1000,12)/10^3</f>
        <v>1181.4841423635974</v>
      </c>
      <c r="M28" s="93" cm="1">
        <f t="array" ref="M28">Profile_ShearArea(C28,O28,12)</f>
        <v>5200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02" t="str">
        <f t="shared" si="5"/>
        <v>N.G</v>
      </c>
      <c r="AA28" s="103">
        <f t="shared" si="6"/>
        <v>0.9383490545272134</v>
      </c>
    </row>
    <row r="29" spans="1:28" ht="12" customHeight="1" x14ac:dyDescent="0.45">
      <c r="A29" s="92">
        <v>6</v>
      </c>
      <c r="B29" s="92" t="s">
        <v>204</v>
      </c>
      <c r="C29" s="100" t="s">
        <v>309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cm="1">
        <f t="array" ref="L29">Profile_SM(C29,O29*1000,12)/10^3</f>
        <v>1181.4841423635974</v>
      </c>
      <c r="M29" s="93" cm="1">
        <f t="array" ref="M29">Profile_ShearArea(C29,O29,12)</f>
        <v>5200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02" t="str">
        <f t="shared" si="5"/>
        <v>N.G</v>
      </c>
      <c r="AA29" s="103">
        <f t="shared" si="6"/>
        <v>0.91321942145437063</v>
      </c>
    </row>
    <row r="30" spans="1:28" ht="12" customHeight="1" x14ac:dyDescent="0.45">
      <c r="A30" s="92">
        <v>7</v>
      </c>
      <c r="B30" s="92" t="s">
        <v>205</v>
      </c>
      <c r="C30" s="100" t="s">
        <v>309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cm="1">
        <f t="array" ref="L30">Profile_SM(C30,O30*1000,12)/10^3</f>
        <v>1181.4841423635974</v>
      </c>
      <c r="M30" s="93" cm="1">
        <f t="array" ref="M30">Profile_ShearArea(C30,O30,12)</f>
        <v>5200</v>
      </c>
      <c r="N30" s="101">
        <v>4</v>
      </c>
      <c r="O30" s="101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02" t="str">
        <f t="shared" si="5"/>
        <v>N.G</v>
      </c>
      <c r="AA30" s="103">
        <f t="shared" si="6"/>
        <v>0.8785128057462176</v>
      </c>
    </row>
    <row r="31" spans="1:28" ht="12" customHeight="1" x14ac:dyDescent="0.45">
      <c r="A31" s="87">
        <v>8</v>
      </c>
      <c r="B31" s="87" t="s">
        <v>206</v>
      </c>
      <c r="C31" s="104" t="s">
        <v>207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cm="1">
        <f t="array" ref="L31">Profile_SM(C31,O31*1000,12)/10^3</f>
        <v>482.64811540310143</v>
      </c>
      <c r="M31" s="88" cm="1">
        <f t="array" ref="M31">Profile_ShearArea(C31,O31,12)</f>
        <v>2500</v>
      </c>
      <c r="N31" s="105">
        <v>2.5099999999999998</v>
      </c>
      <c r="O31" s="105">
        <v>0.7</v>
      </c>
      <c r="P31" s="91">
        <v>1</v>
      </c>
      <c r="Q31" s="91">
        <v>355</v>
      </c>
      <c r="R31" s="106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07" t="str">
        <f t="shared" si="5"/>
        <v>OK</v>
      </c>
      <c r="AA31" s="108">
        <f t="shared" si="6"/>
        <v>1.1471353394907196</v>
      </c>
    </row>
    <row r="32" spans="1:28" ht="12" customHeight="1" x14ac:dyDescent="0.45">
      <c r="A32" s="87">
        <v>9</v>
      </c>
      <c r="B32" s="87" t="s">
        <v>208</v>
      </c>
      <c r="C32" s="104" t="s">
        <v>207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cm="1">
        <f t="array" ref="L32">Profile_SM(C32,O32*1000,12)/10^3</f>
        <v>482.64811540310143</v>
      </c>
      <c r="M32" s="88" cm="1">
        <f t="array" ref="M32">Profile_ShearArea(C32,O32,12)</f>
        <v>2500</v>
      </c>
      <c r="N32" s="105">
        <v>2.5099999999999998</v>
      </c>
      <c r="O32" s="105">
        <v>0.7</v>
      </c>
      <c r="P32" s="91">
        <v>1</v>
      </c>
      <c r="Q32" s="91">
        <v>355</v>
      </c>
      <c r="R32" s="106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07" t="str">
        <f t="shared" si="5"/>
        <v>OK</v>
      </c>
      <c r="AA32" s="108">
        <f t="shared" si="6"/>
        <v>1.363531873430649</v>
      </c>
    </row>
    <row r="33" spans="1:27" ht="12" customHeight="1" x14ac:dyDescent="0.45">
      <c r="A33" s="87">
        <v>10</v>
      </c>
      <c r="B33" s="87" t="s">
        <v>209</v>
      </c>
      <c r="C33" s="104" t="s">
        <v>207</v>
      </c>
      <c r="D33" s="104"/>
      <c r="E33" s="105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cm="1">
        <f t="array" ref="L33">Profile_SM(C33,O33*1000,12)/10^3</f>
        <v>482.64811540310143</v>
      </c>
      <c r="M33" s="88" cm="1">
        <f t="array" ref="M33">Profile_ShearArea(C33,O33,12)</f>
        <v>2500</v>
      </c>
      <c r="N33" s="105">
        <v>2.5099999999999998</v>
      </c>
      <c r="O33" s="105">
        <v>0.7</v>
      </c>
      <c r="P33" s="91">
        <v>1</v>
      </c>
      <c r="Q33" s="91">
        <v>355</v>
      </c>
      <c r="R33" s="106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07" t="str">
        <f t="shared" si="5"/>
        <v>OK</v>
      </c>
      <c r="AA33" s="108">
        <f t="shared" si="6"/>
        <v>1.5900901369424578</v>
      </c>
    </row>
    <row r="34" spans="1:27" ht="12" customHeight="1" x14ac:dyDescent="0.45">
      <c r="A34" s="87">
        <v>11</v>
      </c>
      <c r="B34" s="87" t="s">
        <v>210</v>
      </c>
      <c r="C34" s="104" t="s">
        <v>207</v>
      </c>
      <c r="D34" s="104"/>
      <c r="E34" s="105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cm="1">
        <f t="array" ref="L34">Profile_SM(C34,O34*1000,12)/10^3</f>
        <v>482.64811540310143</v>
      </c>
      <c r="M34" s="88" cm="1">
        <f t="array" ref="M34">Profile_ShearArea(C34,O34,12)</f>
        <v>2500</v>
      </c>
      <c r="N34" s="105">
        <v>2.5099999999999998</v>
      </c>
      <c r="O34" s="105">
        <v>0.7</v>
      </c>
      <c r="P34" s="91">
        <v>1</v>
      </c>
      <c r="Q34" s="91">
        <v>355</v>
      </c>
      <c r="R34" s="106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07" t="str">
        <f t="shared" si="5"/>
        <v>OK</v>
      </c>
      <c r="AA34" s="108">
        <f t="shared" si="6"/>
        <v>1.8249610784864951</v>
      </c>
    </row>
    <row r="35" spans="1:27" ht="12" customHeight="1" x14ac:dyDescent="0.45">
      <c r="A35" s="87">
        <v>12</v>
      </c>
      <c r="B35" s="87" t="s">
        <v>211</v>
      </c>
      <c r="C35" s="104" t="s">
        <v>207</v>
      </c>
      <c r="D35" s="104"/>
      <c r="E35" s="105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cm="1">
        <f t="array" ref="L35">Profile_SM(C35,O35*1000,12)/10^3</f>
        <v>482.64811540310143</v>
      </c>
      <c r="M35" s="88" cm="1">
        <f t="array" ref="M35">Profile_ShearArea(C35,O35,12)</f>
        <v>2500</v>
      </c>
      <c r="N35" s="105">
        <v>2.5099999999999998</v>
      </c>
      <c r="O35" s="105">
        <v>0.7</v>
      </c>
      <c r="P35" s="91">
        <v>1</v>
      </c>
      <c r="Q35" s="91">
        <v>355</v>
      </c>
      <c r="R35" s="106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07" t="str">
        <f t="shared" si="5"/>
        <v>OK</v>
      </c>
      <c r="AA35" s="108">
        <f t="shared" si="6"/>
        <v>2.0655861722297559</v>
      </c>
    </row>
    <row r="36" spans="1:27" ht="12" customHeight="1" x14ac:dyDescent="0.45">
      <c r="A36" s="87">
        <v>13</v>
      </c>
      <c r="B36" s="87" t="s">
        <v>212</v>
      </c>
      <c r="C36" s="104" t="s">
        <v>207</v>
      </c>
      <c r="D36" s="104"/>
      <c r="E36" s="105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cm="1">
        <f t="array" ref="L36">Profile_SM(C36,O36*1000,12)/10^3</f>
        <v>482.64811540310143</v>
      </c>
      <c r="M36" s="88" cm="1">
        <f t="array" ref="M36">Profile_ShearArea(C36,O36,12)</f>
        <v>2500</v>
      </c>
      <c r="N36" s="105">
        <v>2.5099999999999998</v>
      </c>
      <c r="O36" s="105">
        <v>0.7</v>
      </c>
      <c r="P36" s="91">
        <v>1</v>
      </c>
      <c r="Q36" s="91">
        <v>355</v>
      </c>
      <c r="R36" s="106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07" t="str">
        <f t="shared" si="5"/>
        <v>OK</v>
      </c>
      <c r="AA36" s="108">
        <f t="shared" si="6"/>
        <v>2.3095542769450748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05"/>
      <c r="O37" s="105"/>
      <c r="P37" s="91"/>
      <c r="Q37" s="91"/>
      <c r="R37" s="106"/>
      <c r="S37" s="91"/>
      <c r="T37" s="91"/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216</v>
      </c>
      <c r="D38" s="104"/>
      <c r="E38" s="105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cm="1">
        <f t="array" ref="L38">Profile_SM(C38,O38*1000,12)/10^3</f>
        <v>225.8962072026724</v>
      </c>
      <c r="M38" s="88" cm="1">
        <f t="array" ref="M38">Profile_ShearArea(C38,O38,12)</f>
        <v>1800</v>
      </c>
      <c r="N38" s="105">
        <v>2.5099999999999998</v>
      </c>
      <c r="O38" s="105">
        <v>0.7</v>
      </c>
      <c r="P38" s="91">
        <v>1</v>
      </c>
      <c r="Q38" s="91">
        <v>355</v>
      </c>
      <c r="R38" s="106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07" t="str">
        <f t="shared" ref="Z38:Z57" si="18">IF(AND(L38&gt;=X38,M38&gt;=Y38),"OK","N.G")</f>
        <v>OK</v>
      </c>
      <c r="AA38" s="108">
        <f t="shared" ref="AA38:AA57" si="19">L38/X38</f>
        <v>1.2951605770205465</v>
      </c>
    </row>
    <row r="39" spans="1:27" ht="12" customHeight="1" x14ac:dyDescent="0.45">
      <c r="A39" s="87">
        <v>16</v>
      </c>
      <c r="B39" s="87" t="s">
        <v>217</v>
      </c>
      <c r="C39" s="104" t="s">
        <v>216</v>
      </c>
      <c r="D39" s="104"/>
      <c r="E39" s="105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cm="1">
        <f t="array" ref="L39">Profile_SM(C39,O39*1000,12)/10^3</f>
        <v>225.8962072026724</v>
      </c>
      <c r="M39" s="88" cm="1">
        <f t="array" ref="M39">Profile_ShearArea(C39,O39,12)</f>
        <v>1800</v>
      </c>
      <c r="N39" s="105">
        <v>2.5099999999999998</v>
      </c>
      <c r="O39" s="105">
        <v>0.7</v>
      </c>
      <c r="P39" s="91">
        <v>1</v>
      </c>
      <c r="Q39" s="91">
        <v>355</v>
      </c>
      <c r="R39" s="106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07" t="str">
        <f t="shared" si="18"/>
        <v>OK</v>
      </c>
      <c r="AA39" s="108">
        <f t="shared" si="19"/>
        <v>1.4006802983623912</v>
      </c>
    </row>
    <row r="40" spans="1:27" ht="12" customHeight="1" x14ac:dyDescent="0.45">
      <c r="A40" s="87">
        <v>17</v>
      </c>
      <c r="B40" s="87" t="s">
        <v>218</v>
      </c>
      <c r="C40" s="104" t="s">
        <v>216</v>
      </c>
      <c r="D40" s="104"/>
      <c r="E40" s="105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cm="1">
        <f t="array" ref="L40">Profile_SM(C40,O40*1000,12)/10^3</f>
        <v>225.8962072026724</v>
      </c>
      <c r="M40" s="88" cm="1">
        <f t="array" ref="M40">Profile_ShearArea(C40,O40,12)</f>
        <v>1800</v>
      </c>
      <c r="N40" s="105">
        <v>2.5099999999999998</v>
      </c>
      <c r="O40" s="105">
        <v>0.7</v>
      </c>
      <c r="P40" s="91">
        <v>1</v>
      </c>
      <c r="Q40" s="91">
        <v>355</v>
      </c>
      <c r="R40" s="106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07" t="str">
        <f t="shared" si="18"/>
        <v>OK</v>
      </c>
      <c r="AA40" s="108">
        <f t="shared" si="19"/>
        <v>1.4993738933483012</v>
      </c>
    </row>
    <row r="41" spans="1:27" ht="12" customHeight="1" x14ac:dyDescent="0.45">
      <c r="A41" s="87">
        <v>18</v>
      </c>
      <c r="B41" s="87" t="s">
        <v>219</v>
      </c>
      <c r="C41" s="104" t="s">
        <v>216</v>
      </c>
      <c r="D41" s="104"/>
      <c r="E41" s="105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cm="1">
        <f t="array" ref="L41">Profile_SM(C41,O41*1000,12)/10^3</f>
        <v>225.8962072026724</v>
      </c>
      <c r="M41" s="88" cm="1">
        <f t="array" ref="M41">Profile_ShearArea(C41,O41,12)</f>
        <v>1800</v>
      </c>
      <c r="N41" s="105">
        <v>2.5099999999999998</v>
      </c>
      <c r="O41" s="105">
        <v>0.7</v>
      </c>
      <c r="P41" s="91">
        <v>1</v>
      </c>
      <c r="Q41" s="91">
        <v>355</v>
      </c>
      <c r="R41" s="106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07" t="str">
        <f t="shared" si="18"/>
        <v>OK</v>
      </c>
      <c r="AA41" s="108">
        <f t="shared" si="19"/>
        <v>1.6039562448037681</v>
      </c>
    </row>
    <row r="42" spans="1:27" ht="12" customHeight="1" x14ac:dyDescent="0.45">
      <c r="A42" s="87">
        <v>19</v>
      </c>
      <c r="B42" s="87" t="s">
        <v>220</v>
      </c>
      <c r="C42" s="104" t="s">
        <v>216</v>
      </c>
      <c r="D42" s="104"/>
      <c r="E42" s="105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cm="1">
        <f t="array" ref="L42">Profile_SM(C42,O42*1000,12)/10^3</f>
        <v>225.8962072026724</v>
      </c>
      <c r="M42" s="88" cm="1">
        <f t="array" ref="M42">Profile_ShearArea(C42,O42,12)</f>
        <v>1800</v>
      </c>
      <c r="N42" s="105">
        <v>2.5099999999999998</v>
      </c>
      <c r="O42" s="105">
        <v>0.7</v>
      </c>
      <c r="P42" s="91">
        <v>1</v>
      </c>
      <c r="Q42" s="91">
        <v>355</v>
      </c>
      <c r="R42" s="106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07" t="str">
        <f t="shared" si="18"/>
        <v>OK</v>
      </c>
      <c r="AA42" s="108">
        <f t="shared" si="19"/>
        <v>1.7093145066226711</v>
      </c>
    </row>
    <row r="43" spans="1:27" ht="12" customHeight="1" x14ac:dyDescent="0.45">
      <c r="A43" s="87">
        <v>20</v>
      </c>
      <c r="B43" s="87" t="s">
        <v>221</v>
      </c>
      <c r="C43" s="104" t="s">
        <v>216</v>
      </c>
      <c r="D43" s="104"/>
      <c r="E43" s="105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cm="1">
        <f t="array" ref="L43">Profile_SM(C43,O43*1000,12)/10^3</f>
        <v>225.8962072026724</v>
      </c>
      <c r="M43" s="88" cm="1">
        <f t="array" ref="M43">Profile_ShearArea(C43,O43,12)</f>
        <v>1800</v>
      </c>
      <c r="N43" s="105">
        <v>2.5099999999999998</v>
      </c>
      <c r="O43" s="105">
        <v>0.7</v>
      </c>
      <c r="P43" s="91">
        <v>1</v>
      </c>
      <c r="Q43" s="91">
        <v>355</v>
      </c>
      <c r="R43" s="106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07" t="str">
        <f t="shared" si="18"/>
        <v>OK</v>
      </c>
      <c r="AA43" s="108">
        <f t="shared" si="19"/>
        <v>1.8192237527767485</v>
      </c>
    </row>
    <row r="44" spans="1:27" ht="12" customHeight="1" x14ac:dyDescent="0.45">
      <c r="A44" s="87">
        <v>21</v>
      </c>
      <c r="B44" s="87" t="s">
        <v>222</v>
      </c>
      <c r="C44" s="104" t="s">
        <v>216</v>
      </c>
      <c r="D44" s="104"/>
      <c r="E44" s="105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cm="1">
        <f t="array" ref="L44">Profile_SM(C44,O44*1000,12)/10^3</f>
        <v>225.8962072026724</v>
      </c>
      <c r="M44" s="88" cm="1">
        <f t="array" ref="M44">Profile_ShearArea(C44,O44,12)</f>
        <v>1800</v>
      </c>
      <c r="N44" s="105">
        <v>2.5099999999999998</v>
      </c>
      <c r="O44" s="105">
        <v>0.7</v>
      </c>
      <c r="P44" s="91">
        <v>1</v>
      </c>
      <c r="Q44" s="91">
        <v>355</v>
      </c>
      <c r="R44" s="106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07" t="str">
        <f t="shared" si="18"/>
        <v>OK</v>
      </c>
      <c r="AA44" s="108">
        <f t="shared" si="19"/>
        <v>1.9397597746128041</v>
      </c>
    </row>
    <row r="45" spans="1:27" ht="12" customHeight="1" x14ac:dyDescent="0.45">
      <c r="A45" s="109">
        <v>22</v>
      </c>
      <c r="B45" s="109" t="s">
        <v>223</v>
      </c>
      <c r="C45" s="117" t="s">
        <v>224</v>
      </c>
      <c r="D45" s="110"/>
      <c r="E45" s="111">
        <f t="shared" ref="E45" si="23">E44+0.7</f>
        <v>10.499999999999998</v>
      </c>
      <c r="F45" s="112">
        <v>0</v>
      </c>
      <c r="G45" s="112">
        <v>0</v>
      </c>
      <c r="H45" s="112">
        <v>0</v>
      </c>
      <c r="I45" s="112">
        <f t="shared" si="20"/>
        <v>32.641990000000014</v>
      </c>
      <c r="J45" s="112">
        <v>0</v>
      </c>
      <c r="K45" s="113">
        <f>I45*$F$19+J45*$F$18</f>
        <v>35.906189000000019</v>
      </c>
      <c r="L45" s="113" cm="1">
        <f t="array" ref="L45">Profile_SM(C45,O45*1000,12)/10^3</f>
        <v>926.93146753714063</v>
      </c>
      <c r="M45" s="113" cm="1">
        <f t="array" ref="M45">Profile_ShearArea(C45,O45,12)</f>
        <v>4200</v>
      </c>
      <c r="N45" s="111">
        <v>4</v>
      </c>
      <c r="O45" s="111">
        <v>0.75</v>
      </c>
      <c r="P45" s="112">
        <v>1</v>
      </c>
      <c r="Q45" s="112">
        <v>355</v>
      </c>
      <c r="R45" s="114">
        <f t="shared" si="2"/>
        <v>178.33497562227348</v>
      </c>
      <c r="S45" s="112">
        <v>0</v>
      </c>
      <c r="T45" s="112">
        <v>25.36903637</v>
      </c>
      <c r="U45" s="112">
        <f t="shared" si="10"/>
        <v>183.66852628913867</v>
      </c>
      <c r="V45" s="113">
        <f t="shared" si="14"/>
        <v>139.05874643813402</v>
      </c>
      <c r="W45" s="113">
        <f t="shared" si="22"/>
        <v>155.20069700559876</v>
      </c>
      <c r="X45" s="113">
        <f t="shared" si="17"/>
        <v>258.20877808627705</v>
      </c>
      <c r="Y45" s="113">
        <f t="shared" si="15"/>
        <v>347.0299073338382</v>
      </c>
      <c r="Z45" s="115" t="str">
        <f t="shared" si="18"/>
        <v>OK</v>
      </c>
      <c r="AA45" s="116">
        <f t="shared" si="19"/>
        <v>3.5898526549218195</v>
      </c>
    </row>
    <row r="46" spans="1:27" ht="12" customHeight="1" x14ac:dyDescent="0.45">
      <c r="A46" s="109">
        <v>23</v>
      </c>
      <c r="B46" s="109" t="s">
        <v>225</v>
      </c>
      <c r="C46" s="117" t="s">
        <v>224</v>
      </c>
      <c r="D46" s="110"/>
      <c r="E46" s="111">
        <v>10.5</v>
      </c>
      <c r="F46" s="112">
        <v>0</v>
      </c>
      <c r="G46" s="112">
        <v>0</v>
      </c>
      <c r="H46" s="112">
        <v>0</v>
      </c>
      <c r="I46" s="112">
        <f t="shared" si="20"/>
        <v>32.64199</v>
      </c>
      <c r="J46" s="112">
        <v>0</v>
      </c>
      <c r="K46" s="113">
        <f t="shared" si="21"/>
        <v>35.906189000000005</v>
      </c>
      <c r="L46" s="113" cm="1">
        <f t="array" ref="L46">Profile_SM(C46,O46*1000,12)/10^3</f>
        <v>926.93146753714063</v>
      </c>
      <c r="M46" s="113" cm="1">
        <f t="array" ref="M46">Profile_ShearArea(C46,O46,12)</f>
        <v>4200</v>
      </c>
      <c r="N46" s="111">
        <v>4</v>
      </c>
      <c r="O46" s="111">
        <v>0.75</v>
      </c>
      <c r="P46" s="112">
        <v>1</v>
      </c>
      <c r="Q46" s="112">
        <v>355</v>
      </c>
      <c r="R46" s="114">
        <f t="shared" si="2"/>
        <v>178.33497562227353</v>
      </c>
      <c r="S46" s="112">
        <v>0</v>
      </c>
      <c r="T46" s="112">
        <v>18.789742570000001</v>
      </c>
      <c r="U46" s="112">
        <f t="shared" si="10"/>
        <v>181.28024384288958</v>
      </c>
      <c r="V46" s="113">
        <f t="shared" si="14"/>
        <v>141.44702888438312</v>
      </c>
      <c r="W46" s="113">
        <f t="shared" si="22"/>
        <v>155.20069700559876</v>
      </c>
      <c r="X46" s="113">
        <f t="shared" si="17"/>
        <v>253.8490153041619</v>
      </c>
      <c r="Y46" s="113">
        <f t="shared" si="15"/>
        <v>347.02990733383803</v>
      </c>
      <c r="Z46" s="115" t="str">
        <f t="shared" si="18"/>
        <v>OK</v>
      </c>
      <c r="AA46" s="116">
        <f t="shared" si="19"/>
        <v>3.6515070441635999</v>
      </c>
    </row>
    <row r="47" spans="1:27" ht="12" customHeight="1" x14ac:dyDescent="0.45">
      <c r="A47" s="109">
        <v>24</v>
      </c>
      <c r="B47" s="109" t="s">
        <v>226</v>
      </c>
      <c r="C47" s="117" t="s">
        <v>224</v>
      </c>
      <c r="D47" s="110"/>
      <c r="E47" s="111">
        <v>10.5</v>
      </c>
      <c r="F47" s="112">
        <v>0</v>
      </c>
      <c r="G47" s="112">
        <v>0</v>
      </c>
      <c r="H47" s="112">
        <v>0</v>
      </c>
      <c r="I47" s="112">
        <f t="shared" si="20"/>
        <v>32.64199</v>
      </c>
      <c r="J47" s="112">
        <v>0</v>
      </c>
      <c r="K47" s="113">
        <f t="shared" si="21"/>
        <v>35.906189000000005</v>
      </c>
      <c r="L47" s="113" cm="1">
        <f t="array" ref="L47">Profile_SM(C47,O47*1000,12)/10^3</f>
        <v>926.93146753714063</v>
      </c>
      <c r="M47" s="113" cm="1">
        <f t="array" ref="M47">Profile_ShearArea(C47,O47,12)</f>
        <v>4200</v>
      </c>
      <c r="N47" s="111">
        <v>4</v>
      </c>
      <c r="O47" s="111">
        <v>0.75</v>
      </c>
      <c r="P47" s="112">
        <v>1</v>
      </c>
      <c r="Q47" s="112">
        <v>355</v>
      </c>
      <c r="R47" s="114">
        <f t="shared" si="2"/>
        <v>178.33497562227353</v>
      </c>
      <c r="S47" s="112">
        <v>0</v>
      </c>
      <c r="T47" s="112">
        <v>12.21044876</v>
      </c>
      <c r="U47" s="112">
        <f t="shared" si="10"/>
        <v>179.5846561011231</v>
      </c>
      <c r="V47" s="113">
        <f t="shared" si="14"/>
        <v>143.14261662614959</v>
      </c>
      <c r="W47" s="113">
        <f t="shared" si="22"/>
        <v>155.20069700559876</v>
      </c>
      <c r="X47" s="113">
        <f t="shared" si="17"/>
        <v>250.8420611995476</v>
      </c>
      <c r="Y47" s="113">
        <f t="shared" si="15"/>
        <v>347.02990733383803</v>
      </c>
      <c r="Z47" s="115" t="str">
        <f t="shared" si="18"/>
        <v>OK</v>
      </c>
      <c r="AA47" s="116">
        <f t="shared" si="19"/>
        <v>3.6952792649864112</v>
      </c>
    </row>
    <row r="48" spans="1:27" ht="12" customHeight="1" x14ac:dyDescent="0.45">
      <c r="A48" s="109">
        <v>25</v>
      </c>
      <c r="B48" s="109" t="s">
        <v>227</v>
      </c>
      <c r="C48" s="117" t="s">
        <v>224</v>
      </c>
      <c r="D48" s="110"/>
      <c r="E48" s="111">
        <v>10.5</v>
      </c>
      <c r="F48" s="112">
        <v>0</v>
      </c>
      <c r="G48" s="112">
        <v>0</v>
      </c>
      <c r="H48" s="112">
        <v>0</v>
      </c>
      <c r="I48" s="112">
        <f t="shared" si="20"/>
        <v>32.64199</v>
      </c>
      <c r="J48" s="112">
        <v>0</v>
      </c>
      <c r="K48" s="113">
        <f t="shared" si="21"/>
        <v>35.906189000000005</v>
      </c>
      <c r="L48" s="113" cm="1">
        <f t="array" ref="L48">Profile_SM(C48,O48*1000,12)/10^3</f>
        <v>926.93146753714063</v>
      </c>
      <c r="M48" s="113" cm="1">
        <f t="array" ref="M48">Profile_ShearArea(C48,O48,12)</f>
        <v>4200</v>
      </c>
      <c r="N48" s="111">
        <v>4</v>
      </c>
      <c r="O48" s="111">
        <v>0.75</v>
      </c>
      <c r="P48" s="112">
        <v>1</v>
      </c>
      <c r="Q48" s="112">
        <v>355</v>
      </c>
      <c r="R48" s="114">
        <f t="shared" si="2"/>
        <v>178.33497562227353</v>
      </c>
      <c r="S48" s="112">
        <v>0</v>
      </c>
      <c r="T48" s="112">
        <v>5.631154961</v>
      </c>
      <c r="U48" s="112">
        <f t="shared" si="10"/>
        <v>178.60149285149123</v>
      </c>
      <c r="V48" s="113">
        <f t="shared" si="14"/>
        <v>144.12577987578146</v>
      </c>
      <c r="W48" s="113">
        <f t="shared" si="22"/>
        <v>155.20069700559876</v>
      </c>
      <c r="X48" s="113">
        <f t="shared" si="17"/>
        <v>249.13092599357785</v>
      </c>
      <c r="Y48" s="113">
        <f t="shared" si="15"/>
        <v>347.02990733383803</v>
      </c>
      <c r="Z48" s="115" t="str">
        <f t="shared" si="18"/>
        <v>OK</v>
      </c>
      <c r="AA48" s="116">
        <f t="shared" si="19"/>
        <v>3.7206599856696849</v>
      </c>
    </row>
    <row r="49" spans="1:27" ht="12" customHeight="1" x14ac:dyDescent="0.45">
      <c r="A49" s="109">
        <v>26</v>
      </c>
      <c r="B49" s="109" t="s">
        <v>228</v>
      </c>
      <c r="C49" s="117" t="s">
        <v>224</v>
      </c>
      <c r="D49" s="110"/>
      <c r="E49" s="111">
        <v>10.5</v>
      </c>
      <c r="F49" s="112">
        <v>0</v>
      </c>
      <c r="G49" s="112">
        <v>0</v>
      </c>
      <c r="H49" s="112">
        <v>0</v>
      </c>
      <c r="I49" s="112">
        <f t="shared" si="20"/>
        <v>32.64199</v>
      </c>
      <c r="J49" s="112">
        <v>0</v>
      </c>
      <c r="K49" s="113">
        <f t="shared" si="21"/>
        <v>35.906189000000005</v>
      </c>
      <c r="L49" s="113" cm="1">
        <f t="array" ref="L49">Profile_SM(C49,O49*1000,12)/10^3</f>
        <v>926.93146753714063</v>
      </c>
      <c r="M49" s="113" cm="1">
        <f t="array" ref="M49">Profile_ShearArea(C49,O49,12)</f>
        <v>4200</v>
      </c>
      <c r="N49" s="111">
        <v>4</v>
      </c>
      <c r="O49" s="111">
        <v>0.75</v>
      </c>
      <c r="P49" s="112">
        <v>1</v>
      </c>
      <c r="Q49" s="112">
        <v>355</v>
      </c>
      <c r="R49" s="114">
        <f t="shared" si="2"/>
        <v>178.33497562227353</v>
      </c>
      <c r="S49" s="112">
        <v>0</v>
      </c>
      <c r="T49" s="112">
        <v>0.94813884299999995</v>
      </c>
      <c r="U49" s="112">
        <f>SQRT(R49^2+S49^2-R49*S49+3*T49^2)</f>
        <v>178.34253679925524</v>
      </c>
      <c r="V49" s="113">
        <f>(Q49/$F$7-U49)</f>
        <v>144.38473592801745</v>
      </c>
      <c r="W49" s="113">
        <f t="shared" si="22"/>
        <v>155.20069700559876</v>
      </c>
      <c r="X49" s="113">
        <f t="shared" si="17"/>
        <v>248.68410617796133</v>
      </c>
      <c r="Y49" s="113">
        <f t="shared" si="15"/>
        <v>347.02990733383803</v>
      </c>
      <c r="Z49" s="115" t="str">
        <f t="shared" si="18"/>
        <v>OK</v>
      </c>
      <c r="AA49" s="116">
        <f t="shared" si="19"/>
        <v>3.7273450313459815</v>
      </c>
    </row>
    <row r="50" spans="1:27" ht="12" customHeight="1" x14ac:dyDescent="0.45">
      <c r="A50" s="109">
        <v>27</v>
      </c>
      <c r="B50" s="109" t="s">
        <v>229</v>
      </c>
      <c r="C50" s="117" t="s">
        <v>224</v>
      </c>
      <c r="D50" s="110"/>
      <c r="E50" s="111">
        <v>10.5</v>
      </c>
      <c r="F50" s="112">
        <v>0</v>
      </c>
      <c r="G50" s="112">
        <v>0</v>
      </c>
      <c r="H50" s="112">
        <v>0</v>
      </c>
      <c r="I50" s="112">
        <f t="shared" si="20"/>
        <v>32.64199</v>
      </c>
      <c r="J50" s="112">
        <v>0</v>
      </c>
      <c r="K50" s="113">
        <f t="shared" si="21"/>
        <v>35.906189000000005</v>
      </c>
      <c r="L50" s="113" cm="1">
        <f t="array" ref="L50">Profile_SM(C50,O50*1000,12)/10^3</f>
        <v>926.93146753714063</v>
      </c>
      <c r="M50" s="113" cm="1">
        <f t="array" ref="M50">Profile_ShearArea(C50,O50,12)</f>
        <v>4200</v>
      </c>
      <c r="N50" s="111">
        <v>4</v>
      </c>
      <c r="O50" s="111">
        <v>0.75</v>
      </c>
      <c r="P50" s="112">
        <v>1</v>
      </c>
      <c r="Q50" s="112">
        <v>355</v>
      </c>
      <c r="R50" s="114">
        <f t="shared" si="2"/>
        <v>178.33497562227353</v>
      </c>
      <c r="S50" s="112">
        <v>0</v>
      </c>
      <c r="T50" s="112">
        <v>7.5274326470000004</v>
      </c>
      <c r="U50" s="112">
        <f>SQRT(R50^2+S50^2)</f>
        <v>178.33497562227353</v>
      </c>
      <c r="V50" s="113">
        <f t="shared" si="14"/>
        <v>144.39229710499916</v>
      </c>
      <c r="W50" s="113">
        <f t="shared" si="22"/>
        <v>155.20069700559876</v>
      </c>
      <c r="X50" s="113">
        <f t="shared" si="17"/>
        <v>248.67108370670039</v>
      </c>
      <c r="Y50" s="113">
        <f t="shared" si="15"/>
        <v>347.02990733383803</v>
      </c>
      <c r="Z50" s="115" t="str">
        <f t="shared" si="18"/>
        <v>OK</v>
      </c>
      <c r="AA50" s="116">
        <f t="shared" si="19"/>
        <v>3.7275402259091241</v>
      </c>
    </row>
    <row r="51" spans="1:27" ht="12" customHeight="1" x14ac:dyDescent="0.45">
      <c r="A51" s="109">
        <v>28</v>
      </c>
      <c r="B51" s="109" t="s">
        <v>230</v>
      </c>
      <c r="C51" s="117" t="s">
        <v>224</v>
      </c>
      <c r="D51" s="110"/>
      <c r="E51" s="111">
        <v>10.5</v>
      </c>
      <c r="F51" s="112">
        <v>0</v>
      </c>
      <c r="G51" s="112">
        <v>0</v>
      </c>
      <c r="H51" s="112">
        <v>0</v>
      </c>
      <c r="I51" s="112">
        <f t="shared" si="20"/>
        <v>32.64199</v>
      </c>
      <c r="J51" s="112">
        <v>0</v>
      </c>
      <c r="K51" s="113">
        <f t="shared" si="21"/>
        <v>35.906189000000005</v>
      </c>
      <c r="L51" s="113" cm="1">
        <f t="array" ref="L51">Profile_SM(C51,O51*1000,12)/10^3</f>
        <v>926.93146753714063</v>
      </c>
      <c r="M51" s="113" cm="1">
        <f t="array" ref="M51">Profile_ShearArea(C51,O51,12)</f>
        <v>4200</v>
      </c>
      <c r="N51" s="111">
        <v>4</v>
      </c>
      <c r="O51" s="111">
        <v>0.75</v>
      </c>
      <c r="P51" s="112">
        <v>1</v>
      </c>
      <c r="Q51" s="112">
        <v>355</v>
      </c>
      <c r="R51" s="114">
        <f t="shared" si="2"/>
        <v>178.33497562227353</v>
      </c>
      <c r="S51" s="112">
        <v>0</v>
      </c>
      <c r="T51" s="112">
        <v>14.10672645</v>
      </c>
      <c r="U51" s="112">
        <f>SQRT(R51^2+S51^2)</f>
        <v>178.33497562227353</v>
      </c>
      <c r="V51" s="113">
        <f t="shared" si="14"/>
        <v>144.39229710499916</v>
      </c>
      <c r="W51" s="113">
        <f t="shared" si="22"/>
        <v>155.20069700559876</v>
      </c>
      <c r="X51" s="113">
        <f t="shared" si="17"/>
        <v>248.67108370670039</v>
      </c>
      <c r="Y51" s="113">
        <f t="shared" si="15"/>
        <v>347.02990733383803</v>
      </c>
      <c r="Z51" s="115" t="str">
        <f t="shared" si="18"/>
        <v>OK</v>
      </c>
      <c r="AA51" s="116">
        <f t="shared" si="19"/>
        <v>3.7275402259091241</v>
      </c>
    </row>
    <row r="52" spans="1:27" ht="12" customHeight="1" x14ac:dyDescent="0.45">
      <c r="A52" s="118">
        <v>29</v>
      </c>
      <c r="B52" s="118" t="s">
        <v>231</v>
      </c>
      <c r="C52" s="145" t="s">
        <v>232</v>
      </c>
      <c r="D52" s="145"/>
      <c r="E52" s="120">
        <v>0.7</v>
      </c>
      <c r="F52" s="121">
        <v>0</v>
      </c>
      <c r="G52" s="121">
        <v>0</v>
      </c>
      <c r="H52" s="121">
        <v>0</v>
      </c>
      <c r="I52" s="121">
        <f t="shared" si="20"/>
        <v>131.18343999999999</v>
      </c>
      <c r="J52" s="121">
        <v>0</v>
      </c>
      <c r="K52" s="122">
        <f t="shared" si="21"/>
        <v>144.301784</v>
      </c>
      <c r="L52" s="122" cm="1">
        <f t="array" ref="L52">Profile_SM(C52,O52*1000,12)/10^3</f>
        <v>1173.9558953306662</v>
      </c>
      <c r="M52" s="122" cm="1">
        <f t="array" ref="M52">Profile_ShearArea(C52,O52,12)</f>
        <v>5200</v>
      </c>
      <c r="N52" s="120">
        <v>4</v>
      </c>
      <c r="O52" s="120">
        <v>0.7</v>
      </c>
      <c r="P52" s="121">
        <v>1</v>
      </c>
      <c r="Q52" s="121">
        <v>355</v>
      </c>
      <c r="R52" s="123">
        <f t="shared" si="2"/>
        <v>174.23366692327431</v>
      </c>
      <c r="S52" s="121">
        <v>0</v>
      </c>
      <c r="T52" s="121">
        <v>65.015895909999998</v>
      </c>
      <c r="U52" s="121">
        <f t="shared" ref="U52:U57" si="24">SQRT(R52^2+S52^2-R52*S52+3*T52^2)</f>
        <v>207.4573952706202</v>
      </c>
      <c r="V52" s="122">
        <f t="shared" ref="V52:V57" si="25">(Q52/$F$7-U52)</f>
        <v>115.26987745665249</v>
      </c>
      <c r="W52" s="122">
        <f t="shared" ref="W52:W57" si="26">0.577*SQRT((Q52/$F$7)^2-R52^2)</f>
        <v>156.74396097289963</v>
      </c>
      <c r="X52" s="122">
        <f t="shared" si="17"/>
        <v>1168.40295173658</v>
      </c>
      <c r="Y52" s="122">
        <f t="shared" si="15"/>
        <v>1288.8694170165115</v>
      </c>
      <c r="Z52" s="124" t="str">
        <f t="shared" si="18"/>
        <v>OK</v>
      </c>
      <c r="AA52" s="125">
        <f t="shared" si="19"/>
        <v>1.0047525929182504</v>
      </c>
    </row>
    <row r="53" spans="1:27" ht="12" customHeight="1" x14ac:dyDescent="0.45">
      <c r="A53" s="118">
        <v>30</v>
      </c>
      <c r="B53" s="118" t="s">
        <v>233</v>
      </c>
      <c r="C53" s="145" t="s">
        <v>232</v>
      </c>
      <c r="D53" s="145"/>
      <c r="E53" s="120">
        <f>E52+0.7</f>
        <v>1.4</v>
      </c>
      <c r="F53" s="121">
        <v>0</v>
      </c>
      <c r="G53" s="121">
        <v>0</v>
      </c>
      <c r="H53" s="121">
        <v>0</v>
      </c>
      <c r="I53" s="121">
        <f t="shared" si="20"/>
        <v>124.14476499999999</v>
      </c>
      <c r="J53" s="121">
        <v>0</v>
      </c>
      <c r="K53" s="122">
        <f t="shared" si="21"/>
        <v>136.55924150000001</v>
      </c>
      <c r="L53" s="122" cm="1">
        <f t="array" ref="L53">Profile_SM(C53,O53*1000,12)/10^3</f>
        <v>1173.9558953306662</v>
      </c>
      <c r="M53" s="122" cm="1">
        <f t="array" ref="M53">Profile_ShearArea(C53,O53,12)</f>
        <v>5200</v>
      </c>
      <c r="N53" s="120">
        <v>4</v>
      </c>
      <c r="O53" s="120">
        <v>0.7</v>
      </c>
      <c r="P53" s="121">
        <v>1</v>
      </c>
      <c r="Q53" s="121">
        <v>355</v>
      </c>
      <c r="R53" s="123">
        <f t="shared" si="2"/>
        <v>149.05019245573521</v>
      </c>
      <c r="S53" s="121">
        <v>0</v>
      </c>
      <c r="T53" s="121">
        <v>69.155420669999998</v>
      </c>
      <c r="U53" s="121">
        <f t="shared" si="24"/>
        <v>191.21552367740881</v>
      </c>
      <c r="V53" s="122">
        <f t="shared" si="25"/>
        <v>131.51174904986388</v>
      </c>
      <c r="W53" s="122">
        <f t="shared" si="26"/>
        <v>165.16410343608533</v>
      </c>
      <c r="X53" s="122">
        <f t="shared" si="17"/>
        <v>969.15517425246026</v>
      </c>
      <c r="Y53" s="122">
        <f t="shared" si="15"/>
        <v>1157.5332298157834</v>
      </c>
      <c r="Z53" s="124" t="str">
        <f t="shared" si="18"/>
        <v>OK</v>
      </c>
      <c r="AA53" s="125">
        <f t="shared" si="19"/>
        <v>1.2113188130437162</v>
      </c>
    </row>
    <row r="54" spans="1:27" ht="12" customHeight="1" x14ac:dyDescent="0.45">
      <c r="A54" s="118">
        <v>31</v>
      </c>
      <c r="B54" s="118" t="s">
        <v>234</v>
      </c>
      <c r="C54" s="145" t="s">
        <v>224</v>
      </c>
      <c r="D54" s="145"/>
      <c r="E54" s="120">
        <f t="shared" ref="E54:E64" si="27">E53+0.7</f>
        <v>2.0999999999999996</v>
      </c>
      <c r="F54" s="121">
        <v>0</v>
      </c>
      <c r="G54" s="121">
        <v>0</v>
      </c>
      <c r="H54" s="121">
        <v>0</v>
      </c>
      <c r="I54" s="121">
        <f t="shared" si="20"/>
        <v>117.10608999999999</v>
      </c>
      <c r="J54" s="121">
        <v>0</v>
      </c>
      <c r="K54" s="122">
        <f t="shared" si="21"/>
        <v>128.816699</v>
      </c>
      <c r="L54" s="122" cm="1">
        <f t="array" ref="L54">Profile_SM(C54,O54*1000,12)/10^3</f>
        <v>921.80062112577377</v>
      </c>
      <c r="M54" s="122" cm="1">
        <f t="array" ref="M54">Profile_ShearArea(C54,O54,12)</f>
        <v>4200</v>
      </c>
      <c r="N54" s="120">
        <v>4</v>
      </c>
      <c r="O54" s="120">
        <v>0.7</v>
      </c>
      <c r="P54" s="121">
        <v>1</v>
      </c>
      <c r="Q54" s="121">
        <v>355</v>
      </c>
      <c r="R54" s="123">
        <f t="shared" si="2"/>
        <v>123.86671798819607</v>
      </c>
      <c r="S54" s="121">
        <v>0</v>
      </c>
      <c r="T54" s="121">
        <v>72.655460079999997</v>
      </c>
      <c r="U54" s="121">
        <f t="shared" si="24"/>
        <v>176.57692789115094</v>
      </c>
      <c r="V54" s="122">
        <f t="shared" si="25"/>
        <v>146.15034483612175</v>
      </c>
      <c r="W54" s="122">
        <f t="shared" si="26"/>
        <v>171.95173963766536</v>
      </c>
      <c r="X54" s="122">
        <f t="shared" si="17"/>
        <v>822.63862737702902</v>
      </c>
      <c r="Y54" s="122">
        <f t="shared" si="15"/>
        <v>1048.8022917361429</v>
      </c>
      <c r="Z54" s="124" t="str">
        <f t="shared" si="18"/>
        <v>OK</v>
      </c>
      <c r="AA54" s="125">
        <f t="shared" si="19"/>
        <v>1.1205413780105626</v>
      </c>
    </row>
    <row r="55" spans="1:27" ht="12" customHeight="1" x14ac:dyDescent="0.45">
      <c r="A55" s="118">
        <v>32</v>
      </c>
      <c r="B55" s="118" t="s">
        <v>235</v>
      </c>
      <c r="C55" s="145" t="s">
        <v>236</v>
      </c>
      <c r="D55" s="145"/>
      <c r="E55" s="120">
        <f t="shared" si="27"/>
        <v>2.8</v>
      </c>
      <c r="F55" s="121">
        <v>0</v>
      </c>
      <c r="G55" s="121">
        <v>0</v>
      </c>
      <c r="H55" s="121">
        <v>0</v>
      </c>
      <c r="I55" s="121">
        <f t="shared" si="20"/>
        <v>110.067415</v>
      </c>
      <c r="J55" s="121">
        <v>0</v>
      </c>
      <c r="K55" s="122">
        <f t="shared" si="21"/>
        <v>121.0741565</v>
      </c>
      <c r="L55" s="122" cm="1">
        <f t="array" ref="L55">Profile_SM(C55,O55*1000,12)/10^3</f>
        <v>714.81266231145048</v>
      </c>
      <c r="M55" s="122" cm="1">
        <f t="array" ref="M55">Profile_ShearArea(C55,O55,12)</f>
        <v>3900</v>
      </c>
      <c r="N55" s="120">
        <v>4</v>
      </c>
      <c r="O55" s="120">
        <v>0.7</v>
      </c>
      <c r="P55" s="121">
        <v>1</v>
      </c>
      <c r="Q55" s="121">
        <v>355</v>
      </c>
      <c r="R55" s="123">
        <f t="shared" si="2"/>
        <v>98.683243520656916</v>
      </c>
      <c r="S55" s="121">
        <v>0</v>
      </c>
      <c r="T55" s="121">
        <v>75.516014130000002</v>
      </c>
      <c r="U55" s="121">
        <f t="shared" si="24"/>
        <v>163.8486732384622</v>
      </c>
      <c r="V55" s="122">
        <f t="shared" si="25"/>
        <v>158.87859948881049</v>
      </c>
      <c r="W55" s="122">
        <f t="shared" si="26"/>
        <v>177.29446805581551</v>
      </c>
      <c r="X55" s="122">
        <f t="shared" si="17"/>
        <v>711.25089489868787</v>
      </c>
      <c r="Y55" s="122">
        <f t="shared" si="15"/>
        <v>956.05813852374183</v>
      </c>
      <c r="Z55" s="124" t="str">
        <f t="shared" si="18"/>
        <v>OK</v>
      </c>
      <c r="AA55" s="125">
        <f t="shared" si="19"/>
        <v>1.0050077510458106</v>
      </c>
    </row>
    <row r="56" spans="1:27" ht="12" customHeight="1" x14ac:dyDescent="0.45">
      <c r="A56" s="118">
        <v>33</v>
      </c>
      <c r="B56" s="118" t="s">
        <v>237</v>
      </c>
      <c r="C56" s="145" t="s">
        <v>238</v>
      </c>
      <c r="D56" s="145"/>
      <c r="E56" s="120">
        <f t="shared" si="27"/>
        <v>3.5</v>
      </c>
      <c r="F56" s="121">
        <v>0</v>
      </c>
      <c r="G56" s="121">
        <v>0</v>
      </c>
      <c r="H56" s="121">
        <v>0</v>
      </c>
      <c r="I56" s="121">
        <f t="shared" si="20"/>
        <v>103.02873999999998</v>
      </c>
      <c r="J56" s="121">
        <v>0</v>
      </c>
      <c r="K56" s="122">
        <f t="shared" si="21"/>
        <v>113.33161399999999</v>
      </c>
      <c r="L56" s="122" cm="1">
        <f t="array" ref="L56">Profile_SM(C56,O56*1000,12)/10^3</f>
        <v>658.37622081916322</v>
      </c>
      <c r="M56" s="122" cm="1">
        <f t="array" ref="M56">Profile_ShearArea(C56,O56,12)</f>
        <v>3300</v>
      </c>
      <c r="N56" s="120">
        <v>4</v>
      </c>
      <c r="O56" s="120">
        <v>0.7</v>
      </c>
      <c r="P56" s="121">
        <v>1</v>
      </c>
      <c r="Q56" s="121">
        <v>355</v>
      </c>
      <c r="R56" s="123">
        <f t="shared" si="2"/>
        <v>73.499769053117788</v>
      </c>
      <c r="S56" s="121">
        <v>0</v>
      </c>
      <c r="T56" s="121">
        <v>77.737082839999999</v>
      </c>
      <c r="U56" s="121">
        <f t="shared" si="24"/>
        <v>153.39940741828411</v>
      </c>
      <c r="V56" s="122">
        <f t="shared" si="25"/>
        <v>169.32786530898858</v>
      </c>
      <c r="W56" s="122">
        <f t="shared" si="26"/>
        <v>181.32005950851456</v>
      </c>
      <c r="X56" s="122">
        <f t="shared" si="17"/>
        <v>624.6826112975964</v>
      </c>
      <c r="Y56" s="122">
        <f t="shared" si="15"/>
        <v>875.05078053732564</v>
      </c>
      <c r="Z56" s="124" t="str">
        <f t="shared" si="18"/>
        <v>OK</v>
      </c>
      <c r="AA56" s="125">
        <f t="shared" si="19"/>
        <v>1.0539371657097645</v>
      </c>
    </row>
    <row r="57" spans="1:27" ht="12" customHeight="1" x14ac:dyDescent="0.45">
      <c r="A57" s="118">
        <v>34</v>
      </c>
      <c r="B57" s="118" t="s">
        <v>239</v>
      </c>
      <c r="C57" s="145" t="s">
        <v>238</v>
      </c>
      <c r="D57" s="145"/>
      <c r="E57" s="120">
        <f t="shared" si="27"/>
        <v>4.2</v>
      </c>
      <c r="F57" s="121">
        <v>0</v>
      </c>
      <c r="G57" s="121">
        <v>0</v>
      </c>
      <c r="H57" s="121">
        <v>0</v>
      </c>
      <c r="I57" s="121">
        <f t="shared" si="20"/>
        <v>95.990064999999987</v>
      </c>
      <c r="J57" s="121">
        <v>0</v>
      </c>
      <c r="K57" s="122">
        <f t="shared" si="21"/>
        <v>105.58907149999999</v>
      </c>
      <c r="L57" s="122" cm="1">
        <f t="array" ref="L57">Profile_SM(C57,O57*1000,12)/10^3</f>
        <v>658.37622081916322</v>
      </c>
      <c r="M57" s="122" cm="1">
        <f t="array" ref="M57">Profile_ShearArea(C57,O57,12)</f>
        <v>3300</v>
      </c>
      <c r="N57" s="120">
        <v>4</v>
      </c>
      <c r="O57" s="120">
        <v>0.7</v>
      </c>
      <c r="P57" s="121">
        <v>1</v>
      </c>
      <c r="Q57" s="121">
        <v>355</v>
      </c>
      <c r="R57" s="123">
        <f t="shared" si="2"/>
        <v>48.316294585578646</v>
      </c>
      <c r="S57" s="121">
        <v>0</v>
      </c>
      <c r="T57" s="121">
        <v>79.318666199999996</v>
      </c>
      <c r="U57" s="121">
        <f t="shared" si="24"/>
        <v>145.6324714674632</v>
      </c>
      <c r="V57" s="122">
        <f t="shared" si="25"/>
        <v>177.09480125980949</v>
      </c>
      <c r="W57" s="122">
        <f t="shared" si="26"/>
        <v>184.11493012612937</v>
      </c>
      <c r="X57" s="122">
        <f t="shared" si="17"/>
        <v>556.48048031679787</v>
      </c>
      <c r="Y57" s="122">
        <f t="shared" si="15"/>
        <v>802.8936056338913</v>
      </c>
      <c r="Z57" s="124" t="str">
        <f t="shared" si="18"/>
        <v>OK</v>
      </c>
      <c r="AA57" s="125">
        <f t="shared" si="19"/>
        <v>1.1831074837420303</v>
      </c>
    </row>
    <row r="58" spans="1:27" ht="12" customHeight="1" x14ac:dyDescent="0.45">
      <c r="A58" s="118">
        <v>35</v>
      </c>
      <c r="B58" s="118" t="s">
        <v>240</v>
      </c>
      <c r="C58" s="119" t="s">
        <v>214</v>
      </c>
      <c r="D58" s="119"/>
      <c r="E58" s="120">
        <f t="shared" si="27"/>
        <v>4.9000000000000004</v>
      </c>
      <c r="F58" s="121">
        <v>0</v>
      </c>
      <c r="G58" s="121">
        <v>0</v>
      </c>
      <c r="H58" s="121">
        <v>0</v>
      </c>
      <c r="I58" s="121">
        <f t="shared" si="20"/>
        <v>88.951389999999989</v>
      </c>
      <c r="J58" s="121">
        <v>0</v>
      </c>
      <c r="K58" s="122">
        <f t="shared" si="21"/>
        <v>97.84652899999999</v>
      </c>
      <c r="L58" s="122"/>
      <c r="M58" s="122"/>
      <c r="N58" s="120"/>
      <c r="O58" s="120"/>
      <c r="P58" s="121"/>
      <c r="Q58" s="121"/>
      <c r="R58" s="123"/>
      <c r="S58" s="121"/>
      <c r="T58" s="121"/>
      <c r="U58" s="121"/>
      <c r="V58" s="122"/>
      <c r="W58" s="122"/>
      <c r="X58" s="122"/>
      <c r="Y58" s="122"/>
      <c r="Z58" s="124"/>
      <c r="AA58" s="125"/>
    </row>
    <row r="59" spans="1:27" ht="12" customHeight="1" x14ac:dyDescent="0.45">
      <c r="A59" s="118">
        <v>36</v>
      </c>
      <c r="B59" s="118" t="s">
        <v>241</v>
      </c>
      <c r="C59" s="119" t="s">
        <v>207</v>
      </c>
      <c r="D59" s="119"/>
      <c r="E59" s="120">
        <f t="shared" si="27"/>
        <v>5.6000000000000005</v>
      </c>
      <c r="F59" s="121">
        <v>0</v>
      </c>
      <c r="G59" s="121">
        <v>0</v>
      </c>
      <c r="H59" s="121">
        <v>0</v>
      </c>
      <c r="I59" s="121">
        <f t="shared" si="20"/>
        <v>81.912714999999992</v>
      </c>
      <c r="J59" s="121">
        <v>0</v>
      </c>
      <c r="K59" s="122">
        <f t="shared" si="21"/>
        <v>90.103986500000005</v>
      </c>
      <c r="L59" s="122" cm="1">
        <f t="array" ref="L59">Profile_SM(C59,O59*1000,12)/10^3</f>
        <v>482.64811540310143</v>
      </c>
      <c r="M59" s="122" cm="1">
        <f t="array" ref="M59">Profile_ShearArea(C59,O59,12)</f>
        <v>2500</v>
      </c>
      <c r="N59" s="120">
        <v>4</v>
      </c>
      <c r="O59" s="120">
        <v>0.7</v>
      </c>
      <c r="P59" s="121">
        <v>1</v>
      </c>
      <c r="Q59" s="121">
        <v>355</v>
      </c>
      <c r="R59" s="123">
        <f t="shared" ref="R59:R65" si="28">$M$11/ABS(($M$12/(E59-$M$13)))/1000</f>
        <v>2.050654349499629</v>
      </c>
      <c r="S59" s="121">
        <v>0</v>
      </c>
      <c r="T59" s="121">
        <v>81.791546440000005</v>
      </c>
      <c r="U59" s="121">
        <f t="shared" ref="U59:U65" si="29">SQRT(R59^2+S59^2-R59*S59+3*T59^2)</f>
        <v>141.6819550627431</v>
      </c>
      <c r="V59" s="122">
        <f t="shared" ref="V59:V65" si="30">(Q59/$F$7-U59)</f>
        <v>181.04531766452959</v>
      </c>
      <c r="W59" s="122">
        <f t="shared" ref="W59:W63" si="31">0.577*SQRT((Q59/$F$7)^2-R59^2)</f>
        <v>186.20987712876735</v>
      </c>
      <c r="X59" s="122">
        <f t="shared" ref="X59:X65" si="32">N59^2*O59*K59*1000000/($F$8*V59*P59)/10^3</f>
        <v>464.50830737581111</v>
      </c>
      <c r="Y59" s="122">
        <f t="shared" si="15"/>
        <v>677.43764748186879</v>
      </c>
      <c r="Z59" s="124" t="str">
        <f t="shared" ref="Z59:Z65" si="33">IF(AND(L59&gt;=X59,M59&gt;=Y59),"OK","N.G")</f>
        <v>OK</v>
      </c>
      <c r="AA59" s="125">
        <f t="shared" ref="AA59:AA65" si="34">L59/X59</f>
        <v>1.039051633176959</v>
      </c>
    </row>
    <row r="60" spans="1:27" ht="12" customHeight="1" x14ac:dyDescent="0.45">
      <c r="A60" s="118">
        <v>37</v>
      </c>
      <c r="B60" s="118" t="s">
        <v>242</v>
      </c>
      <c r="C60" s="119" t="s">
        <v>243</v>
      </c>
      <c r="D60" s="119"/>
      <c r="E60" s="120">
        <f t="shared" si="27"/>
        <v>6.3000000000000007</v>
      </c>
      <c r="F60" s="121">
        <v>0</v>
      </c>
      <c r="G60" s="121">
        <v>0</v>
      </c>
      <c r="H60" s="121">
        <v>0</v>
      </c>
      <c r="I60" s="121">
        <f t="shared" si="20"/>
        <v>74.874039999999979</v>
      </c>
      <c r="J60" s="121">
        <v>0</v>
      </c>
      <c r="K60" s="122">
        <f t="shared" si="21"/>
        <v>82.361443999999977</v>
      </c>
      <c r="L60" s="122" cm="1">
        <f t="array" ref="L60">Profile_SM(C60,O60*1000,12)/10^3</f>
        <v>482.64811540310143</v>
      </c>
      <c r="M60" s="122" cm="1">
        <f t="array" ref="M60">Profile_ShearArea(C60,O60,12)</f>
        <v>2500</v>
      </c>
      <c r="N60" s="120">
        <v>4</v>
      </c>
      <c r="O60" s="120">
        <v>0.7</v>
      </c>
      <c r="P60" s="121">
        <v>1</v>
      </c>
      <c r="Q60" s="121">
        <v>355</v>
      </c>
      <c r="R60" s="123">
        <f t="shared" si="28"/>
        <v>27.234128817038766</v>
      </c>
      <c r="S60" s="121">
        <v>0</v>
      </c>
      <c r="T60" s="121">
        <v>81.454673740000004</v>
      </c>
      <c r="U60" s="121">
        <f t="shared" si="29"/>
        <v>143.68816720486276</v>
      </c>
      <c r="V60" s="122">
        <f t="shared" si="30"/>
        <v>179.03910552240993</v>
      </c>
      <c r="W60" s="122">
        <f t="shared" si="31"/>
        <v>185.54941570938331</v>
      </c>
      <c r="X60" s="122">
        <f t="shared" si="32"/>
        <v>429.35134669249629</v>
      </c>
      <c r="Y60" s="122">
        <f t="shared" si="15"/>
        <v>621.43025974599652</v>
      </c>
      <c r="Z60" s="124" t="str">
        <f t="shared" si="33"/>
        <v>OK</v>
      </c>
      <c r="AA60" s="125">
        <f t="shared" si="34"/>
        <v>1.124133228231788</v>
      </c>
    </row>
    <row r="61" spans="1:27" ht="12" customHeight="1" x14ac:dyDescent="0.45">
      <c r="A61" s="118">
        <v>38</v>
      </c>
      <c r="B61" s="118" t="s">
        <v>244</v>
      </c>
      <c r="C61" s="119" t="s">
        <v>207</v>
      </c>
      <c r="D61" s="119"/>
      <c r="E61" s="120">
        <f t="shared" si="27"/>
        <v>7.0000000000000009</v>
      </c>
      <c r="F61" s="121">
        <v>0</v>
      </c>
      <c r="G61" s="121">
        <v>0</v>
      </c>
      <c r="H61" s="121">
        <v>0</v>
      </c>
      <c r="I61" s="121">
        <f t="shared" si="20"/>
        <v>67.835364999999982</v>
      </c>
      <c r="J61" s="121">
        <v>0</v>
      </c>
      <c r="K61" s="122">
        <f t="shared" si="21"/>
        <v>74.618901499999993</v>
      </c>
      <c r="L61" s="122" cm="1">
        <f t="array" ref="L61">Profile_SM(C61,O61*1000,12)/10^3</f>
        <v>482.64811540310143</v>
      </c>
      <c r="M61" s="122" cm="1">
        <f t="array" ref="M61">Profile_ShearArea(C61,O61,12)</f>
        <v>2500</v>
      </c>
      <c r="N61" s="120">
        <v>4</v>
      </c>
      <c r="O61" s="120">
        <v>0.7</v>
      </c>
      <c r="P61" s="121">
        <v>1</v>
      </c>
      <c r="Q61" s="121">
        <v>355</v>
      </c>
      <c r="R61" s="123">
        <f t="shared" si="28"/>
        <v>52.417603284577908</v>
      </c>
      <c r="S61" s="121">
        <v>0</v>
      </c>
      <c r="T61" s="121">
        <v>80.478315690000002</v>
      </c>
      <c r="U61" s="121">
        <f t="shared" si="29"/>
        <v>148.92240604756995</v>
      </c>
      <c r="V61" s="122">
        <f t="shared" si="30"/>
        <v>173.80486667970274</v>
      </c>
      <c r="W61" s="122">
        <f t="shared" si="31"/>
        <v>183.7410159384072</v>
      </c>
      <c r="X61" s="122">
        <f t="shared" si="32"/>
        <v>400.70401592960604</v>
      </c>
      <c r="Y61" s="122">
        <f t="shared" si="15"/>
        <v>568.55276197568617</v>
      </c>
      <c r="Z61" s="124" t="str">
        <f t="shared" si="33"/>
        <v>OK</v>
      </c>
      <c r="AA61" s="125">
        <f t="shared" si="34"/>
        <v>1.2045003199765558</v>
      </c>
    </row>
    <row r="62" spans="1:27" ht="12" customHeight="1" x14ac:dyDescent="0.45">
      <c r="A62" s="118">
        <v>39</v>
      </c>
      <c r="B62" s="118" t="s">
        <v>245</v>
      </c>
      <c r="C62" s="119" t="s">
        <v>207</v>
      </c>
      <c r="D62" s="119"/>
      <c r="E62" s="120">
        <f t="shared" si="27"/>
        <v>7.7000000000000011</v>
      </c>
      <c r="F62" s="121">
        <v>0</v>
      </c>
      <c r="G62" s="121">
        <v>0</v>
      </c>
      <c r="H62" s="121">
        <v>0</v>
      </c>
      <c r="I62" s="121">
        <f t="shared" si="20"/>
        <v>60.796689999999984</v>
      </c>
      <c r="J62" s="121">
        <v>0</v>
      </c>
      <c r="K62" s="122">
        <f t="shared" si="21"/>
        <v>66.876358999999994</v>
      </c>
      <c r="L62" s="122" cm="1">
        <f t="array" ref="L62">Profile_SM(C62,O62*1000,12)/10^3</f>
        <v>482.64811540310143</v>
      </c>
      <c r="M62" s="122" cm="1">
        <f t="array" ref="M62">Profile_ShearArea(C62,O62,12)</f>
        <v>2500</v>
      </c>
      <c r="N62" s="120">
        <v>4</v>
      </c>
      <c r="O62" s="120">
        <v>0.7</v>
      </c>
      <c r="P62" s="121">
        <v>1</v>
      </c>
      <c r="Q62" s="121">
        <v>355</v>
      </c>
      <c r="R62" s="123">
        <f t="shared" si="28"/>
        <v>77.601077752117035</v>
      </c>
      <c r="S62" s="121">
        <v>0</v>
      </c>
      <c r="T62" s="121">
        <v>78.862472289999999</v>
      </c>
      <c r="U62" s="121">
        <f t="shared" si="29"/>
        <v>157.0980454218421</v>
      </c>
      <c r="V62" s="122">
        <f t="shared" si="30"/>
        <v>165.62922730543059</v>
      </c>
      <c r="W62" s="122">
        <f t="shared" si="31"/>
        <v>180.75022584844541</v>
      </c>
      <c r="X62" s="122">
        <f t="shared" si="32"/>
        <v>376.85338561390563</v>
      </c>
      <c r="Y62" s="122">
        <f t="shared" si="15"/>
        <v>517.99051514604378</v>
      </c>
      <c r="Z62" s="124" t="str">
        <f t="shared" si="33"/>
        <v>OK</v>
      </c>
      <c r="AA62" s="125">
        <f t="shared" si="34"/>
        <v>1.2807318013525417</v>
      </c>
    </row>
    <row r="63" spans="1:27" ht="12" customHeight="1" x14ac:dyDescent="0.45">
      <c r="A63" s="118">
        <v>40</v>
      </c>
      <c r="B63" s="118" t="s">
        <v>246</v>
      </c>
      <c r="C63" s="119" t="s">
        <v>207</v>
      </c>
      <c r="D63" s="119"/>
      <c r="E63" s="120">
        <f t="shared" si="27"/>
        <v>8.4</v>
      </c>
      <c r="F63" s="121">
        <v>0</v>
      </c>
      <c r="G63" s="121">
        <v>0</v>
      </c>
      <c r="H63" s="121">
        <v>0</v>
      </c>
      <c r="I63" s="121">
        <f t="shared" si="20"/>
        <v>53.758014999999993</v>
      </c>
      <c r="J63" s="121">
        <v>0</v>
      </c>
      <c r="K63" s="122">
        <f t="shared" si="21"/>
        <v>59.133816499999995</v>
      </c>
      <c r="L63" s="122" cm="1">
        <f t="array" ref="L63">Profile_SM(C63,O63*1000,12)/10^3</f>
        <v>482.64811540310143</v>
      </c>
      <c r="M63" s="122" cm="1">
        <f t="array" ref="M63">Profile_ShearArea(C63,O63,12)</f>
        <v>2500</v>
      </c>
      <c r="N63" s="120">
        <v>4</v>
      </c>
      <c r="O63" s="120">
        <v>0.7</v>
      </c>
      <c r="P63" s="121">
        <v>1</v>
      </c>
      <c r="Q63" s="121">
        <v>355</v>
      </c>
      <c r="R63" s="123">
        <f t="shared" si="28"/>
        <v>102.78455221965616</v>
      </c>
      <c r="S63" s="121">
        <v>0</v>
      </c>
      <c r="T63" s="121">
        <v>76.607143539999996</v>
      </c>
      <c r="U63" s="121">
        <f t="shared" si="29"/>
        <v>167.84107810387096</v>
      </c>
      <c r="V63" s="122">
        <f t="shared" si="30"/>
        <v>154.88619462340174</v>
      </c>
      <c r="W63" s="122">
        <f t="shared" si="31"/>
        <v>176.5169546775935</v>
      </c>
      <c r="X63" s="122">
        <f t="shared" si="32"/>
        <v>356.33622609724688</v>
      </c>
      <c r="Y63" s="122">
        <f t="shared" si="15"/>
        <v>469.00504969174352</v>
      </c>
      <c r="Z63" s="124" t="str">
        <f t="shared" si="33"/>
        <v>OK</v>
      </c>
      <c r="AA63" s="125">
        <f t="shared" si="34"/>
        <v>1.3544738930680122</v>
      </c>
    </row>
    <row r="64" spans="1:27" ht="12" customHeight="1" x14ac:dyDescent="0.45">
      <c r="A64" s="118">
        <v>41</v>
      </c>
      <c r="B64" s="118" t="s">
        <v>247</v>
      </c>
      <c r="C64" s="119" t="s">
        <v>207</v>
      </c>
      <c r="D64" s="119"/>
      <c r="E64" s="120">
        <f t="shared" si="27"/>
        <v>9.1</v>
      </c>
      <c r="F64" s="121">
        <v>0</v>
      </c>
      <c r="G64" s="121">
        <v>0</v>
      </c>
      <c r="H64" s="121">
        <v>0</v>
      </c>
      <c r="I64" s="121">
        <f t="shared" ref="I64:I65" si="35">1.025*9.81*(($F$10+0.76)-E64)+25</f>
        <v>46.719340000000003</v>
      </c>
      <c r="J64" s="121">
        <v>0</v>
      </c>
      <c r="K64" s="122">
        <f t="shared" ref="K64:K65" si="36">I64*$F$19+J64*$F$18</f>
        <v>51.39127400000001</v>
      </c>
      <c r="L64" s="122" cm="1">
        <f t="array" ref="L64">Profile_SM(C64,O64*1000,12)/10^3</f>
        <v>482.64811540310143</v>
      </c>
      <c r="M64" s="122" cm="1">
        <f t="array" ref="M64">Profile_ShearArea(C64,O64,12)</f>
        <v>2500</v>
      </c>
      <c r="N64" s="120">
        <v>4</v>
      </c>
      <c r="O64" s="120">
        <v>0.7</v>
      </c>
      <c r="P64" s="121">
        <v>1</v>
      </c>
      <c r="Q64" s="121">
        <v>355</v>
      </c>
      <c r="R64" s="123">
        <f t="shared" si="28"/>
        <v>127.96802668719526</v>
      </c>
      <c r="S64" s="121">
        <v>0</v>
      </c>
      <c r="T64" s="121">
        <v>73.712329429999997</v>
      </c>
      <c r="U64" s="121">
        <f t="shared" si="29"/>
        <v>180.76597684355661</v>
      </c>
      <c r="V64" s="122">
        <f t="shared" si="30"/>
        <v>141.96129588371608</v>
      </c>
      <c r="W64" s="122">
        <f>0.577*SQRT((Q64/$F$7)^2-R64^2)</f>
        <v>170.9489232818994</v>
      </c>
      <c r="X64" s="122">
        <f t="shared" si="32"/>
        <v>337.87511425618516</v>
      </c>
      <c r="Y64" s="122">
        <f t="shared" si="15"/>
        <v>420.8729848585017</v>
      </c>
      <c r="Z64" s="124" t="str">
        <f t="shared" si="33"/>
        <v>OK</v>
      </c>
      <c r="AA64" s="125">
        <f t="shared" si="34"/>
        <v>1.4284808055947733</v>
      </c>
    </row>
    <row r="65" spans="1:27" ht="12" customHeight="1" x14ac:dyDescent="0.45">
      <c r="A65" s="118">
        <v>42</v>
      </c>
      <c r="B65" s="118" t="s">
        <v>248</v>
      </c>
      <c r="C65" s="119" t="s">
        <v>207</v>
      </c>
      <c r="D65" s="119"/>
      <c r="E65" s="120">
        <f>E64+0.7</f>
        <v>9.7999999999999989</v>
      </c>
      <c r="F65" s="121">
        <v>0</v>
      </c>
      <c r="G65" s="121">
        <v>0</v>
      </c>
      <c r="H65" s="121">
        <v>0</v>
      </c>
      <c r="I65" s="121">
        <f t="shared" si="35"/>
        <v>39.680665000000005</v>
      </c>
      <c r="J65" s="121">
        <v>0</v>
      </c>
      <c r="K65" s="122">
        <f t="shared" si="36"/>
        <v>43.648731500000011</v>
      </c>
      <c r="L65" s="122" cm="1">
        <f t="array" ref="L65">Profile_SM(C65,O65*1000,12)/10^3</f>
        <v>482.64811540310143</v>
      </c>
      <c r="M65" s="122" cm="1">
        <f t="array" ref="M65">Profile_ShearArea(C65,O65,12)</f>
        <v>2500</v>
      </c>
      <c r="N65" s="120">
        <v>4</v>
      </c>
      <c r="O65" s="120">
        <v>0.7</v>
      </c>
      <c r="P65" s="121">
        <v>1</v>
      </c>
      <c r="Q65" s="121">
        <v>355</v>
      </c>
      <c r="R65" s="123">
        <f t="shared" si="28"/>
        <v>153.15150115473438</v>
      </c>
      <c r="S65" s="121">
        <v>0</v>
      </c>
      <c r="T65" s="121">
        <v>70.178029969999997</v>
      </c>
      <c r="U65" s="121">
        <f t="shared" si="29"/>
        <v>195.52557371699299</v>
      </c>
      <c r="V65" s="122">
        <f t="shared" si="30"/>
        <v>127.2016990102797</v>
      </c>
      <c r="W65" s="122">
        <f>0.577*SQRT((Q65/$F$7)^2-R65^2)</f>
        <v>163.91016256483738</v>
      </c>
      <c r="X65" s="122">
        <f t="shared" si="32"/>
        <v>320.26943337741426</v>
      </c>
      <c r="Y65" s="122">
        <f t="shared" si="15"/>
        <v>372.81534679600867</v>
      </c>
      <c r="Z65" s="124" t="str">
        <f t="shared" si="33"/>
        <v>OK</v>
      </c>
      <c r="AA65" s="125">
        <f t="shared" si="34"/>
        <v>1.5070064923565019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5" type="noConversion"/>
  <conditionalFormatting sqref="Z24:Z65">
    <cfRule type="cellIs" dxfId="5" priority="2" operator="equal">
      <formula>"N.G"</formula>
    </cfRule>
  </conditionalFormatting>
  <conditionalFormatting sqref="Y24:Y30">
    <cfRule type="cellIs" dxfId="4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opLeftCell="A15" zoomScale="175" zoomScaleNormal="175" workbookViewId="0">
      <selection activeCell="L20" sqref="L20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03" t="s">
        <v>175</v>
      </c>
      <c r="G4" s="203"/>
      <c r="H4" s="203"/>
      <c r="I4" s="203"/>
      <c r="J4" s="203"/>
      <c r="K4" s="203"/>
      <c r="L4" s="203"/>
      <c r="M4" s="203"/>
      <c r="N4" s="204"/>
    </row>
    <row r="5" spans="1:29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4">
        <v>4.29</v>
      </c>
      <c r="G11" s="137" t="s">
        <v>37</v>
      </c>
      <c r="I11" s="4" t="s">
        <v>78</v>
      </c>
      <c r="M11" s="97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4">
        <v>10.5</v>
      </c>
      <c r="G12" s="137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9">
        <v>10.46</v>
      </c>
      <c r="G13" s="138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40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29"/>
      <c r="F17" s="140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07"/>
      <c r="B22" s="207"/>
      <c r="C22" s="207"/>
      <c r="D22" s="207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7" t="s">
        <v>124</v>
      </c>
      <c r="AA22" s="50"/>
    </row>
    <row r="23" spans="1:28" ht="12" customHeight="1" x14ac:dyDescent="0.45">
      <c r="A23" s="207"/>
      <c r="B23" s="207"/>
      <c r="C23" s="207"/>
      <c r="D23" s="207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7"/>
      <c r="AA23" s="50"/>
    </row>
    <row r="24" spans="1:28" ht="12" customHeight="1" x14ac:dyDescent="0.45">
      <c r="A24" s="92">
        <v>1</v>
      </c>
      <c r="B24" s="92" t="s">
        <v>198</v>
      </c>
      <c r="C24" s="100" t="s">
        <v>207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cm="1">
        <f t="array" ref="L24">Profile_SM(C24,O24*1000,12)/10^3</f>
        <v>484.51804264951164</v>
      </c>
      <c r="M24" s="93" cm="1">
        <f t="array" ref="M24">Profile_ShearArea(C24,O24,12)</f>
        <v>2500</v>
      </c>
      <c r="N24" s="101">
        <v>2</v>
      </c>
      <c r="O24" s="101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02" t="str">
        <f t="shared" ref="Z24:Z36" si="6">IF(AND(L24&gt;=X24,M24&gt;=Y24),"OK","N.G")</f>
        <v>OK</v>
      </c>
      <c r="AA24" s="103">
        <f t="shared" ref="AA24:AA36" si="7">L24/X24</f>
        <v>1.5669145659794605</v>
      </c>
    </row>
    <row r="25" spans="1:28" ht="12" customHeight="1" x14ac:dyDescent="0.45">
      <c r="A25" s="92">
        <v>2</v>
      </c>
      <c r="B25" s="92" t="s">
        <v>200</v>
      </c>
      <c r="C25" s="100" t="s">
        <v>199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cm="1">
        <f t="array" ref="L25">Profile_SM(C25,O25*1000,12)/10^3</f>
        <v>1526.3433459874498</v>
      </c>
      <c r="M25" s="93" cm="1">
        <f t="array" ref="M25">Profile_ShearArea(C25,O25,12)</f>
        <v>5175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02" t="str">
        <f t="shared" si="6"/>
        <v>OK</v>
      </c>
      <c r="AA25" s="103">
        <f t="shared" si="7"/>
        <v>1.2964623455650457</v>
      </c>
    </row>
    <row r="26" spans="1:28" ht="12" customHeight="1" x14ac:dyDescent="0.45">
      <c r="A26" s="92">
        <v>3</v>
      </c>
      <c r="B26" s="92" t="s">
        <v>201</v>
      </c>
      <c r="C26" s="100" t="s">
        <v>199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cm="1">
        <f t="array" ref="L26">Profile_SM(C26,O26*1000,12)/10^3</f>
        <v>1526.3433459874498</v>
      </c>
      <c r="M26" s="93" cm="1">
        <f t="array" ref="M26">Profile_ShearArea(C26,O26,12)</f>
        <v>5175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02" t="str">
        <f t="shared" si="6"/>
        <v>OK</v>
      </c>
      <c r="AA26" s="103">
        <f t="shared" si="7"/>
        <v>1.3247487907573354</v>
      </c>
    </row>
    <row r="27" spans="1:28" ht="12" customHeight="1" x14ac:dyDescent="0.45">
      <c r="A27" s="92">
        <v>4</v>
      </c>
      <c r="B27" s="92" t="s">
        <v>202</v>
      </c>
      <c r="C27" s="100" t="s">
        <v>199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cm="1">
        <f t="array" ref="L27">Profile_SM(C27,O27*1000,12)/10^3</f>
        <v>1526.3433459874498</v>
      </c>
      <c r="M27" s="93" cm="1">
        <f t="array" ref="M27">Profile_ShearArea(C27,O27,12)</f>
        <v>5175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02" t="str">
        <f t="shared" si="6"/>
        <v>OK</v>
      </c>
      <c r="AA27" s="103">
        <f t="shared" si="7"/>
        <v>1.3036089316793018</v>
      </c>
    </row>
    <row r="28" spans="1:28" ht="12" customHeight="1" x14ac:dyDescent="0.45">
      <c r="A28" s="92">
        <v>5</v>
      </c>
      <c r="B28" s="92" t="s">
        <v>203</v>
      </c>
      <c r="C28" s="100" t="s">
        <v>199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cm="1">
        <f t="array" ref="L28">Profile_SM(C28,O28*1000,12)/10^3</f>
        <v>1526.3433459874498</v>
      </c>
      <c r="M28" s="93" cm="1">
        <f t="array" ref="M28">Profile_ShearArea(C28,O28,12)</f>
        <v>5175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02" t="str">
        <f t="shared" si="6"/>
        <v>OK</v>
      </c>
      <c r="AA28" s="103">
        <f t="shared" si="7"/>
        <v>1.2466936469069299</v>
      </c>
    </row>
    <row r="29" spans="1:28" ht="12" customHeight="1" x14ac:dyDescent="0.45">
      <c r="A29" s="92">
        <v>6</v>
      </c>
      <c r="B29" s="92" t="s">
        <v>204</v>
      </c>
      <c r="C29" s="100" t="s">
        <v>199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cm="1">
        <f t="array" ref="L29">Profile_SM(C29,O29*1000,12)/10^3</f>
        <v>1526.3433459874498</v>
      </c>
      <c r="M29" s="93" cm="1">
        <f t="array" ref="M29">Profile_ShearArea(C29,O29,12)</f>
        <v>5175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02" t="str">
        <f t="shared" si="6"/>
        <v>OK</v>
      </c>
      <c r="AA29" s="103">
        <f t="shared" si="7"/>
        <v>1.1580938784345969</v>
      </c>
    </row>
    <row r="30" spans="1:28" ht="12" customHeight="1" x14ac:dyDescent="0.45">
      <c r="A30" s="92">
        <v>7</v>
      </c>
      <c r="B30" s="92" t="s">
        <v>205</v>
      </c>
      <c r="C30" s="100" t="s">
        <v>207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cm="1">
        <f t="array" ref="L30">Profile_SM(C30,O30*1000,12)/10^3</f>
        <v>484.51804264951164</v>
      </c>
      <c r="M30" s="93" cm="1">
        <f t="array" ref="M30">Profile_ShearArea(C30,O30,12)</f>
        <v>2500</v>
      </c>
      <c r="N30" s="101">
        <v>2</v>
      </c>
      <c r="O30" s="101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02" t="str">
        <f t="shared" si="6"/>
        <v>OK</v>
      </c>
      <c r="AA30" s="103">
        <f t="shared" si="7"/>
        <v>1.3226177165640449</v>
      </c>
    </row>
    <row r="31" spans="1:28" ht="12" customHeight="1" x14ac:dyDescent="0.45">
      <c r="A31" s="87">
        <v>8</v>
      </c>
      <c r="B31" s="87" t="s">
        <v>206</v>
      </c>
      <c r="C31" s="104" t="s">
        <v>243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cm="1">
        <f t="array" ref="L31">Profile_SM(C31,O31*1000,12)/10^3</f>
        <v>482.64811540310143</v>
      </c>
      <c r="M31" s="88" cm="1">
        <f t="array" ref="M31">Profile_ShearArea(C31,O31,12)</f>
        <v>2500</v>
      </c>
      <c r="N31" s="105">
        <v>2</v>
      </c>
      <c r="O31" s="105">
        <v>0.7</v>
      </c>
      <c r="P31" s="91">
        <v>1</v>
      </c>
      <c r="Q31" s="91">
        <v>355</v>
      </c>
      <c r="R31" s="141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07" t="str">
        <f t="shared" si="6"/>
        <v>OK</v>
      </c>
      <c r="AA31" s="108">
        <f t="shared" si="7"/>
        <v>1.4633865886498212</v>
      </c>
    </row>
    <row r="32" spans="1:28" ht="12" customHeight="1" x14ac:dyDescent="0.45">
      <c r="A32" s="87">
        <v>9</v>
      </c>
      <c r="B32" s="87" t="s">
        <v>208</v>
      </c>
      <c r="C32" s="104" t="s">
        <v>249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cm="1">
        <f t="array" ref="L32">Profile_SM(C32,O32*1000,12)/10^3</f>
        <v>1173.9558953306662</v>
      </c>
      <c r="M32" s="88" cm="1">
        <f t="array" ref="M32">Profile_ShearArea(C32,O32,12)</f>
        <v>5200</v>
      </c>
      <c r="N32" s="105">
        <v>4</v>
      </c>
      <c r="O32" s="105">
        <v>0.7</v>
      </c>
      <c r="P32" s="91">
        <v>1</v>
      </c>
      <c r="Q32" s="91">
        <v>355</v>
      </c>
      <c r="R32" s="141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07" t="str">
        <f t="shared" si="6"/>
        <v>OK</v>
      </c>
      <c r="AA32" s="108">
        <f t="shared" si="7"/>
        <v>1.0043321629998248</v>
      </c>
    </row>
    <row r="33" spans="1:27" ht="12" customHeight="1" x14ac:dyDescent="0.45">
      <c r="A33" s="87">
        <v>10</v>
      </c>
      <c r="B33" s="87" t="s">
        <v>209</v>
      </c>
      <c r="C33" s="104" t="s">
        <v>249</v>
      </c>
      <c r="D33" s="104"/>
      <c r="E33" s="105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cm="1">
        <f t="array" ref="L33">Profile_SM(C33,O33*1000,12)/10^3</f>
        <v>1173.9558953306662</v>
      </c>
      <c r="M33" s="88" cm="1">
        <f t="array" ref="M33">Profile_ShearArea(C33,O33,12)</f>
        <v>5200</v>
      </c>
      <c r="N33" s="105">
        <v>4</v>
      </c>
      <c r="O33" s="105">
        <v>0.7</v>
      </c>
      <c r="P33" s="91">
        <v>1</v>
      </c>
      <c r="Q33" s="91">
        <v>355</v>
      </c>
      <c r="R33" s="141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07" t="str">
        <f t="shared" si="6"/>
        <v>OK</v>
      </c>
      <c r="AA33" s="108">
        <f t="shared" si="7"/>
        <v>1.1174888066408839</v>
      </c>
    </row>
    <row r="34" spans="1:27" ht="12" customHeight="1" x14ac:dyDescent="0.45">
      <c r="A34" s="87">
        <v>11</v>
      </c>
      <c r="B34" s="87" t="s">
        <v>210</v>
      </c>
      <c r="C34" s="104" t="s">
        <v>249</v>
      </c>
      <c r="D34" s="104"/>
      <c r="E34" s="105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cm="1">
        <f t="array" ref="L34">Profile_SM(C34,O34*1000,12)/10^3</f>
        <v>1173.9558953306662</v>
      </c>
      <c r="M34" s="88" cm="1">
        <f t="array" ref="M34">Profile_ShearArea(C34,O34,12)</f>
        <v>5200</v>
      </c>
      <c r="N34" s="105">
        <v>4</v>
      </c>
      <c r="O34" s="105">
        <v>0.7</v>
      </c>
      <c r="P34" s="91">
        <v>1</v>
      </c>
      <c r="Q34" s="91">
        <v>355</v>
      </c>
      <c r="R34" s="141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07" t="str">
        <f t="shared" si="6"/>
        <v>OK</v>
      </c>
      <c r="AA34" s="108">
        <f t="shared" si="7"/>
        <v>1.2330352329746903</v>
      </c>
    </row>
    <row r="35" spans="1:27" ht="12" customHeight="1" x14ac:dyDescent="0.45">
      <c r="A35" s="87">
        <v>12</v>
      </c>
      <c r="B35" s="87" t="s">
        <v>211</v>
      </c>
      <c r="C35" s="104" t="s">
        <v>224</v>
      </c>
      <c r="D35" s="104"/>
      <c r="E35" s="105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cm="1">
        <f t="array" ref="L35">Profile_SM(C35,O35*1000,12)/10^3</f>
        <v>921.80062112577377</v>
      </c>
      <c r="M35" s="88" cm="1">
        <f t="array" ref="M35">Profile_ShearArea(C35,O35,12)</f>
        <v>4200</v>
      </c>
      <c r="N35" s="105">
        <v>4</v>
      </c>
      <c r="O35" s="105">
        <v>0.7</v>
      </c>
      <c r="P35" s="91">
        <v>1</v>
      </c>
      <c r="Q35" s="91">
        <v>355</v>
      </c>
      <c r="R35" s="141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07" t="str">
        <f t="shared" si="6"/>
        <v>OK</v>
      </c>
      <c r="AA35" s="108">
        <f t="shared" si="7"/>
        <v>1.0587973623607947</v>
      </c>
    </row>
    <row r="36" spans="1:27" ht="12" customHeight="1" x14ac:dyDescent="0.45">
      <c r="A36" s="87">
        <v>13</v>
      </c>
      <c r="B36" s="87" t="s">
        <v>212</v>
      </c>
      <c r="C36" s="104" t="s">
        <v>224</v>
      </c>
      <c r="D36" s="104"/>
      <c r="E36" s="105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cm="1">
        <f t="array" ref="L36">Profile_SM(C36,O36*1000,12)/10^3</f>
        <v>921.80062112577377</v>
      </c>
      <c r="M36" s="88" cm="1">
        <f t="array" ref="M36">Profile_ShearArea(C36,O36,12)</f>
        <v>4200</v>
      </c>
      <c r="N36" s="105">
        <v>4</v>
      </c>
      <c r="O36" s="105">
        <v>0.7</v>
      </c>
      <c r="P36" s="91">
        <v>1</v>
      </c>
      <c r="Q36" s="91">
        <v>355</v>
      </c>
      <c r="R36" s="141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07" t="str">
        <f t="shared" si="6"/>
        <v>OK</v>
      </c>
      <c r="AA36" s="108">
        <f t="shared" si="7"/>
        <v>1.1504985106286771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05"/>
      <c r="O37" s="105"/>
      <c r="P37" s="91"/>
      <c r="Q37" s="91"/>
      <c r="R37" s="141"/>
      <c r="S37" s="91"/>
      <c r="T37" s="91"/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207</v>
      </c>
      <c r="D38" s="104"/>
      <c r="E38" s="105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cm="1">
        <f t="array" ref="L38">Profile_SM(C38,O38*1000,12)/10^3</f>
        <v>482.64811540310143</v>
      </c>
      <c r="M38" s="88" cm="1">
        <f t="array" ref="M38">Profile_ShearArea(C38,O38,12)</f>
        <v>2500</v>
      </c>
      <c r="N38" s="105">
        <v>4</v>
      </c>
      <c r="O38" s="105">
        <v>0.7</v>
      </c>
      <c r="P38" s="91">
        <v>1</v>
      </c>
      <c r="Q38" s="91">
        <v>355</v>
      </c>
      <c r="R38" s="141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07" t="str">
        <f t="shared" ref="Z38:Z54" si="21">IF(AND(L38&gt;=X38,M38&gt;=Y38),"OK","N.G")</f>
        <v>OK</v>
      </c>
      <c r="AA38" s="108">
        <f t="shared" ref="AA38:AA54" si="22">L38/X38</f>
        <v>1.0584944120198339</v>
      </c>
    </row>
    <row r="39" spans="1:27" ht="12" customHeight="1" x14ac:dyDescent="0.45">
      <c r="A39" s="87">
        <v>16</v>
      </c>
      <c r="B39" s="87" t="s">
        <v>217</v>
      </c>
      <c r="C39" s="104" t="s">
        <v>243</v>
      </c>
      <c r="D39" s="104"/>
      <c r="E39" s="105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cm="1">
        <f t="array" ref="L39">Profile_SM(C39,O39*1000,12)/10^3</f>
        <v>482.64811540310143</v>
      </c>
      <c r="M39" s="88" cm="1">
        <f t="array" ref="M39">Profile_ShearArea(C39,O39,12)</f>
        <v>2500</v>
      </c>
      <c r="N39" s="105">
        <v>4</v>
      </c>
      <c r="O39" s="105">
        <v>0.7</v>
      </c>
      <c r="P39" s="91">
        <v>1</v>
      </c>
      <c r="Q39" s="91">
        <v>355</v>
      </c>
      <c r="R39" s="141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07" t="str">
        <f t="shared" si="21"/>
        <v>OK</v>
      </c>
      <c r="AA39" s="108">
        <f t="shared" si="22"/>
        <v>1.1032009751952689</v>
      </c>
    </row>
    <row r="40" spans="1:27" ht="12" customHeight="1" x14ac:dyDescent="0.45">
      <c r="A40" s="87">
        <v>17</v>
      </c>
      <c r="B40" s="87" t="s">
        <v>218</v>
      </c>
      <c r="C40" s="104" t="s">
        <v>207</v>
      </c>
      <c r="D40" s="104"/>
      <c r="E40" s="105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cm="1">
        <f t="array" ref="L40">Profile_SM(C40,O40*1000,12)/10^3</f>
        <v>482.64811540310143</v>
      </c>
      <c r="M40" s="88" cm="1">
        <f t="array" ref="M40">Profile_ShearArea(C40,O40,12)</f>
        <v>2500</v>
      </c>
      <c r="N40" s="105">
        <v>4</v>
      </c>
      <c r="O40" s="105">
        <v>0.7</v>
      </c>
      <c r="P40" s="91">
        <v>1</v>
      </c>
      <c r="Q40" s="91">
        <v>355</v>
      </c>
      <c r="R40" s="141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07" t="str">
        <f t="shared" si="21"/>
        <v>OK</v>
      </c>
      <c r="AA40" s="108">
        <f t="shared" si="22"/>
        <v>1.1111121544812925</v>
      </c>
    </row>
    <row r="41" spans="1:27" ht="12" customHeight="1" x14ac:dyDescent="0.45">
      <c r="A41" s="87">
        <v>18</v>
      </c>
      <c r="B41" s="87" t="s">
        <v>219</v>
      </c>
      <c r="C41" s="104" t="s">
        <v>207</v>
      </c>
      <c r="D41" s="104"/>
      <c r="E41" s="105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cm="1">
        <f t="array" ref="L41">Profile_SM(C41,O41*1000,12)/10^3</f>
        <v>482.64811540310143</v>
      </c>
      <c r="M41" s="88" cm="1">
        <f t="array" ref="M41">Profile_ShearArea(C41,O41,12)</f>
        <v>2500</v>
      </c>
      <c r="N41" s="105">
        <v>4</v>
      </c>
      <c r="O41" s="105">
        <v>0.7</v>
      </c>
      <c r="P41" s="91">
        <v>1</v>
      </c>
      <c r="Q41" s="91">
        <v>355</v>
      </c>
      <c r="R41" s="141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07" t="str">
        <f t="shared" si="21"/>
        <v>OK</v>
      </c>
      <c r="AA41" s="108">
        <f t="shared" si="22"/>
        <v>1.1099441409518322</v>
      </c>
    </row>
    <row r="42" spans="1:27" ht="12" customHeight="1" x14ac:dyDescent="0.45">
      <c r="A42" s="109">
        <v>22</v>
      </c>
      <c r="B42" s="109" t="s">
        <v>223</v>
      </c>
      <c r="C42" s="117" t="s">
        <v>224</v>
      </c>
      <c r="D42" s="110"/>
      <c r="E42" s="111">
        <v>8.75</v>
      </c>
      <c r="F42" s="112">
        <v>0</v>
      </c>
      <c r="G42" s="112">
        <v>0</v>
      </c>
      <c r="H42" s="112">
        <v>0</v>
      </c>
      <c r="I42" s="112">
        <f t="shared" si="8"/>
        <v>50.238677499999994</v>
      </c>
      <c r="J42" s="112">
        <v>0</v>
      </c>
      <c r="K42" s="113">
        <f>I42*$F$19+J42*$F$18</f>
        <v>55.262545249999995</v>
      </c>
      <c r="L42" s="113" cm="1">
        <f t="array" ref="L42">Profile_SM(C42,O42*1000,12)/10^3</f>
        <v>926.93146753714063</v>
      </c>
      <c r="M42" s="113" cm="1">
        <f t="array" ref="M42">Profile_ShearArea(C42,O42,12)</f>
        <v>4200</v>
      </c>
      <c r="N42" s="111">
        <v>4</v>
      </c>
      <c r="O42" s="111">
        <v>0.75</v>
      </c>
      <c r="P42" s="112">
        <v>1</v>
      </c>
      <c r="Q42" s="112">
        <v>355</v>
      </c>
      <c r="R42" s="142">
        <f t="shared" si="15"/>
        <v>167.2178913738019</v>
      </c>
      <c r="S42" s="112">
        <v>0</v>
      </c>
      <c r="T42" s="112">
        <v>42.361750790000002</v>
      </c>
      <c r="U42" s="112">
        <f>SQRT(R42^2+S42^2-R42*S42+3*T42^2)</f>
        <v>182.60716575611926</v>
      </c>
      <c r="V42" s="113">
        <f t="shared" si="17"/>
        <v>140.12010697115343</v>
      </c>
      <c r="W42" s="113">
        <f t="shared" ref="W42:W48" si="23">0.577*SQRT((Q42/$F$7)^2-R42^2)</f>
        <v>159.26775107696398</v>
      </c>
      <c r="X42" s="113">
        <f t="shared" si="19"/>
        <v>394.39411262636929</v>
      </c>
      <c r="Y42" s="113">
        <f t="shared" si="20"/>
        <v>520.46831398368079</v>
      </c>
      <c r="Z42" s="115" t="str">
        <f t="shared" si="21"/>
        <v>OK</v>
      </c>
      <c r="AA42" s="116">
        <f t="shared" si="22"/>
        <v>2.3502669990798584</v>
      </c>
    </row>
    <row r="43" spans="1:27" ht="12" customHeight="1" x14ac:dyDescent="0.45">
      <c r="A43" s="109">
        <v>23</v>
      </c>
      <c r="B43" s="109" t="s">
        <v>225</v>
      </c>
      <c r="C43" s="117" t="s">
        <v>224</v>
      </c>
      <c r="D43" s="110"/>
      <c r="E43" s="111">
        <v>8.75</v>
      </c>
      <c r="F43" s="112">
        <v>0</v>
      </c>
      <c r="G43" s="112">
        <v>0</v>
      </c>
      <c r="H43" s="112">
        <v>0</v>
      </c>
      <c r="I43" s="112">
        <f t="shared" si="8"/>
        <v>50.238677499999994</v>
      </c>
      <c r="J43" s="112">
        <v>0</v>
      </c>
      <c r="K43" s="113">
        <f t="shared" ref="K43:K59" si="24">I43*$F$19+J43*$F$18</f>
        <v>55.262545249999995</v>
      </c>
      <c r="L43" s="113" cm="1">
        <f t="array" ref="L43">Profile_SM(C43,O43*1000,12)/10^3</f>
        <v>926.93146753714063</v>
      </c>
      <c r="M43" s="113" cm="1">
        <f t="array" ref="M43">Profile_ShearArea(C43,O43,12)</f>
        <v>4200</v>
      </c>
      <c r="N43" s="111">
        <v>4</v>
      </c>
      <c r="O43" s="111">
        <v>0.75</v>
      </c>
      <c r="P43" s="112">
        <v>1</v>
      </c>
      <c r="Q43" s="112">
        <v>355</v>
      </c>
      <c r="R43" s="142">
        <f t="shared" si="15"/>
        <v>167.2178913738019</v>
      </c>
      <c r="S43" s="112">
        <v>0</v>
      </c>
      <c r="T43" s="112">
        <v>32.072781079999999</v>
      </c>
      <c r="U43" s="112">
        <f t="shared" si="16"/>
        <v>176.20389625123909</v>
      </c>
      <c r="V43" s="113">
        <f t="shared" si="17"/>
        <v>146.5233764760336</v>
      </c>
      <c r="W43" s="113">
        <f t="shared" si="23"/>
        <v>159.26775107696398</v>
      </c>
      <c r="X43" s="113">
        <f t="shared" si="19"/>
        <v>377.1585570787002</v>
      </c>
      <c r="Y43" s="113">
        <f t="shared" si="20"/>
        <v>520.46831398368079</v>
      </c>
      <c r="Z43" s="115" t="str">
        <f t="shared" si="21"/>
        <v>OK</v>
      </c>
      <c r="AA43" s="116">
        <f t="shared" si="22"/>
        <v>2.4576705211641836</v>
      </c>
    </row>
    <row r="44" spans="1:27" ht="12" customHeight="1" x14ac:dyDescent="0.45">
      <c r="A44" s="109">
        <v>24</v>
      </c>
      <c r="B44" s="109" t="s">
        <v>226</v>
      </c>
      <c r="C44" s="117" t="s">
        <v>224</v>
      </c>
      <c r="D44" s="110"/>
      <c r="E44" s="111">
        <v>8.75</v>
      </c>
      <c r="F44" s="112">
        <v>0</v>
      </c>
      <c r="G44" s="112">
        <v>0</v>
      </c>
      <c r="H44" s="112">
        <v>0</v>
      </c>
      <c r="I44" s="112">
        <f t="shared" si="8"/>
        <v>50.238677499999994</v>
      </c>
      <c r="J44" s="112">
        <v>0</v>
      </c>
      <c r="K44" s="113">
        <f t="shared" si="24"/>
        <v>55.262545249999995</v>
      </c>
      <c r="L44" s="113" cm="1">
        <f t="array" ref="L44">Profile_SM(C44,O44*1000,12)/10^3</f>
        <v>926.93146753714063</v>
      </c>
      <c r="M44" s="113" cm="1">
        <f t="array" ref="M44">Profile_ShearArea(C44,O44,12)</f>
        <v>4200</v>
      </c>
      <c r="N44" s="111">
        <v>4</v>
      </c>
      <c r="O44" s="111">
        <v>0.75</v>
      </c>
      <c r="P44" s="112">
        <v>1</v>
      </c>
      <c r="Q44" s="112">
        <v>355</v>
      </c>
      <c r="R44" s="142">
        <f t="shared" si="15"/>
        <v>167.2178913738019</v>
      </c>
      <c r="S44" s="112">
        <v>0</v>
      </c>
      <c r="T44" s="112">
        <v>21.783811369999999</v>
      </c>
      <c r="U44" s="112">
        <f t="shared" si="16"/>
        <v>171.42177956406775</v>
      </c>
      <c r="V44" s="113">
        <f t="shared" si="17"/>
        <v>151.30549316320494</v>
      </c>
      <c r="W44" s="113">
        <f t="shared" si="23"/>
        <v>159.26775107696398</v>
      </c>
      <c r="X44" s="113">
        <f t="shared" si="19"/>
        <v>365.23819522131504</v>
      </c>
      <c r="Y44" s="113">
        <f t="shared" si="20"/>
        <v>520.46831398368079</v>
      </c>
      <c r="Z44" s="115" t="str">
        <f t="shared" si="21"/>
        <v>OK</v>
      </c>
      <c r="AA44" s="116">
        <f t="shared" si="22"/>
        <v>2.5378820716586588</v>
      </c>
    </row>
    <row r="45" spans="1:27" ht="12" customHeight="1" x14ac:dyDescent="0.45">
      <c r="A45" s="109">
        <v>25</v>
      </c>
      <c r="B45" s="109" t="s">
        <v>227</v>
      </c>
      <c r="C45" s="117" t="s">
        <v>224</v>
      </c>
      <c r="D45" s="110"/>
      <c r="E45" s="111">
        <v>8.75</v>
      </c>
      <c r="F45" s="112">
        <v>0</v>
      </c>
      <c r="G45" s="112">
        <v>0</v>
      </c>
      <c r="H45" s="112">
        <v>0</v>
      </c>
      <c r="I45" s="112">
        <f t="shared" si="8"/>
        <v>50.238677499999994</v>
      </c>
      <c r="J45" s="112">
        <v>0</v>
      </c>
      <c r="K45" s="113">
        <f t="shared" si="24"/>
        <v>55.262545249999995</v>
      </c>
      <c r="L45" s="113" cm="1">
        <f t="array" ref="L45">Profile_SM(C45,O45*1000,12)/10^3</f>
        <v>926.93146753714063</v>
      </c>
      <c r="M45" s="113" cm="1">
        <f t="array" ref="M45">Profile_ShearArea(C45,O45,12)</f>
        <v>4200</v>
      </c>
      <c r="N45" s="111">
        <v>4</v>
      </c>
      <c r="O45" s="111">
        <v>0.75</v>
      </c>
      <c r="P45" s="112">
        <v>1</v>
      </c>
      <c r="Q45" s="112">
        <v>355</v>
      </c>
      <c r="R45" s="142">
        <f t="shared" si="15"/>
        <v>167.2178913738019</v>
      </c>
      <c r="S45" s="112">
        <v>0</v>
      </c>
      <c r="T45" s="112">
        <v>11.49484167</v>
      </c>
      <c r="U45" s="112">
        <f t="shared" si="16"/>
        <v>168.39898262921815</v>
      </c>
      <c r="V45" s="113">
        <f t="shared" si="17"/>
        <v>154.32829009805454</v>
      </c>
      <c r="W45" s="113">
        <f t="shared" si="23"/>
        <v>159.26775107696398</v>
      </c>
      <c r="X45" s="113">
        <f t="shared" si="19"/>
        <v>358.08434872756123</v>
      </c>
      <c r="Y45" s="113">
        <f t="shared" si="20"/>
        <v>520.46831398368079</v>
      </c>
      <c r="Z45" s="115" t="str">
        <f t="shared" si="21"/>
        <v>OK</v>
      </c>
      <c r="AA45" s="116">
        <f t="shared" si="22"/>
        <v>2.5885841445764259</v>
      </c>
    </row>
    <row r="46" spans="1:27" ht="12" customHeight="1" x14ac:dyDescent="0.45">
      <c r="A46" s="109">
        <v>26</v>
      </c>
      <c r="B46" s="109" t="s">
        <v>228</v>
      </c>
      <c r="C46" s="117" t="s">
        <v>224</v>
      </c>
      <c r="D46" s="110"/>
      <c r="E46" s="111">
        <v>8.75</v>
      </c>
      <c r="F46" s="112">
        <v>0</v>
      </c>
      <c r="G46" s="112">
        <v>0</v>
      </c>
      <c r="H46" s="112">
        <v>0</v>
      </c>
      <c r="I46" s="112">
        <f t="shared" si="8"/>
        <v>50.238677499999994</v>
      </c>
      <c r="J46" s="112">
        <v>0</v>
      </c>
      <c r="K46" s="113">
        <f t="shared" si="24"/>
        <v>55.262545249999995</v>
      </c>
      <c r="L46" s="113" cm="1">
        <f t="array" ref="L46">Profile_SM(C46,O46*1000,12)/10^3</f>
        <v>926.93146753714063</v>
      </c>
      <c r="M46" s="113" cm="1">
        <f t="array" ref="M46">Profile_ShearArea(C46,O46,12)</f>
        <v>4200</v>
      </c>
      <c r="N46" s="111">
        <v>4</v>
      </c>
      <c r="O46" s="111">
        <v>0.75</v>
      </c>
      <c r="P46" s="112">
        <v>1</v>
      </c>
      <c r="Q46" s="112">
        <v>355</v>
      </c>
      <c r="R46" s="142">
        <f t="shared" si="15"/>
        <v>167.2178913738019</v>
      </c>
      <c r="S46" s="112">
        <v>0</v>
      </c>
      <c r="T46" s="112">
        <v>1.5539955910000001</v>
      </c>
      <c r="U46" s="112">
        <f>SQRT(R46^2+S46^2-R46*S46+3*T46^2)</f>
        <v>167.23955244615777</v>
      </c>
      <c r="V46" s="113">
        <f>(Q46/$F$7-U46)</f>
        <v>155.48772028111492</v>
      </c>
      <c r="W46" s="113">
        <f t="shared" si="23"/>
        <v>159.26775107696398</v>
      </c>
      <c r="X46" s="113">
        <f t="shared" si="19"/>
        <v>355.41420988157626</v>
      </c>
      <c r="Y46" s="113">
        <f t="shared" si="20"/>
        <v>520.46831398368079</v>
      </c>
      <c r="Z46" s="115" t="str">
        <f t="shared" si="21"/>
        <v>OK</v>
      </c>
      <c r="AA46" s="116">
        <f t="shared" si="22"/>
        <v>2.6080315355033035</v>
      </c>
    </row>
    <row r="47" spans="1:27" ht="12" customHeight="1" x14ac:dyDescent="0.45">
      <c r="A47" s="109">
        <v>27</v>
      </c>
      <c r="B47" s="109" t="s">
        <v>229</v>
      </c>
      <c r="C47" s="117" t="s">
        <v>224</v>
      </c>
      <c r="D47" s="110"/>
      <c r="E47" s="111">
        <v>8.75</v>
      </c>
      <c r="F47" s="112">
        <v>0</v>
      </c>
      <c r="G47" s="112">
        <v>0</v>
      </c>
      <c r="H47" s="112">
        <v>0</v>
      </c>
      <c r="I47" s="112">
        <f t="shared" si="8"/>
        <v>50.238677499999994</v>
      </c>
      <c r="J47" s="112">
        <v>0</v>
      </c>
      <c r="K47" s="113">
        <f t="shared" si="24"/>
        <v>55.262545249999995</v>
      </c>
      <c r="L47" s="113" cm="1">
        <f t="array" ref="L47">Profile_SM(C47,O47*1000,12)/10^3</f>
        <v>926.93146753714063</v>
      </c>
      <c r="M47" s="113" cm="1">
        <f t="array" ref="M47">Profile_ShearArea(C47,O47,12)</f>
        <v>4200</v>
      </c>
      <c r="N47" s="111">
        <v>4</v>
      </c>
      <c r="O47" s="111">
        <v>0.75</v>
      </c>
      <c r="P47" s="112">
        <v>1</v>
      </c>
      <c r="Q47" s="112">
        <v>355</v>
      </c>
      <c r="R47" s="142">
        <f t="shared" si="15"/>
        <v>167.2178913738019</v>
      </c>
      <c r="S47" s="112">
        <v>0</v>
      </c>
      <c r="T47" s="112">
        <v>11.842965299999999</v>
      </c>
      <c r="U47" s="112">
        <f>SQRT(R47^2+S47^2)</f>
        <v>167.2178913738019</v>
      </c>
      <c r="V47" s="113">
        <f t="shared" ref="V47:V54" si="25">(Q47/$F$7-U47)</f>
        <v>155.50938135347079</v>
      </c>
      <c r="W47" s="113">
        <f t="shared" si="23"/>
        <v>159.26775107696398</v>
      </c>
      <c r="X47" s="113">
        <f t="shared" si="19"/>
        <v>355.36470384631622</v>
      </c>
      <c r="Y47" s="113">
        <f t="shared" si="20"/>
        <v>520.46831398368079</v>
      </c>
      <c r="Z47" s="115" t="str">
        <f t="shared" si="21"/>
        <v>OK</v>
      </c>
      <c r="AA47" s="116">
        <f t="shared" si="22"/>
        <v>2.6083948616855563</v>
      </c>
    </row>
    <row r="48" spans="1:27" ht="12" customHeight="1" x14ac:dyDescent="0.45">
      <c r="A48" s="109">
        <v>28</v>
      </c>
      <c r="B48" s="109" t="s">
        <v>230</v>
      </c>
      <c r="C48" s="117" t="s">
        <v>224</v>
      </c>
      <c r="D48" s="110"/>
      <c r="E48" s="111">
        <v>8.75</v>
      </c>
      <c r="F48" s="112">
        <v>0</v>
      </c>
      <c r="G48" s="112">
        <v>0</v>
      </c>
      <c r="H48" s="112">
        <v>0</v>
      </c>
      <c r="I48" s="112">
        <f t="shared" si="8"/>
        <v>50.238677499999994</v>
      </c>
      <c r="J48" s="112">
        <v>0</v>
      </c>
      <c r="K48" s="113">
        <f t="shared" si="24"/>
        <v>55.262545249999995</v>
      </c>
      <c r="L48" s="113" cm="1">
        <f t="array" ref="L48">Profile_SM(C48,O48*1000,12)/10^3</f>
        <v>926.93146753714063</v>
      </c>
      <c r="M48" s="113" cm="1">
        <f t="array" ref="M48">Profile_ShearArea(C48,O48,12)</f>
        <v>4200</v>
      </c>
      <c r="N48" s="111">
        <v>4</v>
      </c>
      <c r="O48" s="111">
        <v>0.75</v>
      </c>
      <c r="P48" s="112">
        <v>1</v>
      </c>
      <c r="Q48" s="112">
        <v>355</v>
      </c>
      <c r="R48" s="142">
        <f t="shared" si="15"/>
        <v>167.2178913738019</v>
      </c>
      <c r="S48" s="112">
        <v>0</v>
      </c>
      <c r="T48" s="112">
        <v>22.131934999999999</v>
      </c>
      <c r="U48" s="112">
        <f>SQRT(R48^2+S48^2)</f>
        <v>167.2178913738019</v>
      </c>
      <c r="V48" s="113">
        <f t="shared" si="25"/>
        <v>155.50938135347079</v>
      </c>
      <c r="W48" s="113">
        <f t="shared" si="23"/>
        <v>159.26775107696398</v>
      </c>
      <c r="X48" s="113">
        <f t="shared" si="19"/>
        <v>355.36470384631622</v>
      </c>
      <c r="Y48" s="113">
        <f t="shared" si="20"/>
        <v>520.46831398368079</v>
      </c>
      <c r="Z48" s="115" t="str">
        <f t="shared" si="21"/>
        <v>OK</v>
      </c>
      <c r="AA48" s="116">
        <f t="shared" si="22"/>
        <v>2.6083948616855563</v>
      </c>
    </row>
    <row r="49" spans="1:27" ht="12" customHeight="1" x14ac:dyDescent="0.45">
      <c r="A49" s="118">
        <v>29</v>
      </c>
      <c r="B49" s="118" t="s">
        <v>231</v>
      </c>
      <c r="C49" s="119" t="s">
        <v>207</v>
      </c>
      <c r="D49" s="119"/>
      <c r="E49" s="120">
        <v>0.7</v>
      </c>
      <c r="F49" s="121">
        <v>0</v>
      </c>
      <c r="G49" s="121">
        <v>0</v>
      </c>
      <c r="H49" s="121">
        <v>0</v>
      </c>
      <c r="I49" s="121">
        <f t="shared" si="8"/>
        <v>131.18343999999999</v>
      </c>
      <c r="J49" s="121">
        <v>0</v>
      </c>
      <c r="K49" s="122">
        <f t="shared" si="24"/>
        <v>144.301784</v>
      </c>
      <c r="L49" s="122" cm="1">
        <f t="array" ref="L49">Profile_SM(C49,O49*1000,12)/10^3</f>
        <v>482.64811540310143</v>
      </c>
      <c r="M49" s="122" cm="1">
        <f t="array" ref="M49">Profile_ShearArea(C49,O49,12)</f>
        <v>2500</v>
      </c>
      <c r="N49" s="120">
        <v>2</v>
      </c>
      <c r="O49" s="120">
        <v>0.7</v>
      </c>
      <c r="P49" s="121">
        <v>1</v>
      </c>
      <c r="Q49" s="121">
        <v>355</v>
      </c>
      <c r="R49" s="143">
        <f t="shared" si="15"/>
        <v>161.98338658146963</v>
      </c>
      <c r="S49" s="121">
        <v>0</v>
      </c>
      <c r="T49" s="121">
        <v>102.8806201</v>
      </c>
      <c r="U49" s="121">
        <f t="shared" ref="U49:U54" si="26">SQRT(R49^2+S49^2-R49*S49+3*T49^2)</f>
        <v>240.81504003048357</v>
      </c>
      <c r="V49" s="122">
        <f t="shared" si="25"/>
        <v>81.912232696789118</v>
      </c>
      <c r="W49" s="122">
        <f t="shared" ref="W49:W54" si="27">0.577*SQRT((Q49/$F$7)^2-R49^2)</f>
        <v>161.0587522386017</v>
      </c>
      <c r="X49" s="122">
        <f t="shared" si="19"/>
        <v>411.05479802147443</v>
      </c>
      <c r="Y49" s="122">
        <f t="shared" si="20"/>
        <v>627.17019346055849</v>
      </c>
      <c r="Z49" s="124" t="str">
        <f t="shared" si="21"/>
        <v>OK</v>
      </c>
      <c r="AA49" s="125">
        <f t="shared" si="22"/>
        <v>1.1741697645331628</v>
      </c>
    </row>
    <row r="50" spans="1:27" ht="12" customHeight="1" x14ac:dyDescent="0.45">
      <c r="A50" s="118">
        <v>30</v>
      </c>
      <c r="B50" s="118" t="s">
        <v>233</v>
      </c>
      <c r="C50" s="119" t="s">
        <v>199</v>
      </c>
      <c r="D50" s="119"/>
      <c r="E50" s="120">
        <f>E49+0.7</f>
        <v>1.4</v>
      </c>
      <c r="F50" s="121">
        <v>0</v>
      </c>
      <c r="G50" s="121">
        <v>0</v>
      </c>
      <c r="H50" s="121">
        <v>0</v>
      </c>
      <c r="I50" s="121">
        <f t="shared" si="8"/>
        <v>124.14476499999999</v>
      </c>
      <c r="J50" s="121">
        <v>0</v>
      </c>
      <c r="K50" s="122">
        <f t="shared" si="24"/>
        <v>136.55924150000001</v>
      </c>
      <c r="L50" s="122" cm="1">
        <f t="array" ref="L50">Profile_SM(C50,O50*1000,12)/10^3</f>
        <v>1516.9758574108816</v>
      </c>
      <c r="M50" s="122" cm="1">
        <f t="array" ref="M50">Profile_ShearArea(C50,O50,12)</f>
        <v>5175</v>
      </c>
      <c r="N50" s="120">
        <v>4</v>
      </c>
      <c r="O50" s="120">
        <v>0.7</v>
      </c>
      <c r="P50" s="121">
        <v>1</v>
      </c>
      <c r="Q50" s="121">
        <v>355</v>
      </c>
      <c r="R50" s="143">
        <f t="shared" si="15"/>
        <v>133.35718849840254</v>
      </c>
      <c r="S50" s="121">
        <v>0</v>
      </c>
      <c r="T50" s="121">
        <v>112.7872694</v>
      </c>
      <c r="U50" s="121">
        <f t="shared" si="26"/>
        <v>236.53127518432524</v>
      </c>
      <c r="V50" s="122">
        <f t="shared" si="25"/>
        <v>86.195997542947453</v>
      </c>
      <c r="W50" s="122">
        <f t="shared" si="27"/>
        <v>169.57199802305485</v>
      </c>
      <c r="X50" s="122">
        <f t="shared" si="19"/>
        <v>1478.6683337954482</v>
      </c>
      <c r="Y50" s="122">
        <f t="shared" si="20"/>
        <v>1127.4440375114702</v>
      </c>
      <c r="Z50" s="124" t="str">
        <f t="shared" si="21"/>
        <v>OK</v>
      </c>
      <c r="AA50" s="125">
        <f t="shared" si="22"/>
        <v>1.0259067721543111</v>
      </c>
    </row>
    <row r="51" spans="1:27" ht="12" customHeight="1" x14ac:dyDescent="0.45">
      <c r="A51" s="118">
        <v>31</v>
      </c>
      <c r="B51" s="118" t="s">
        <v>234</v>
      </c>
      <c r="C51" s="119" t="s">
        <v>199</v>
      </c>
      <c r="D51" s="119"/>
      <c r="E51" s="120">
        <f t="shared" ref="E51:E56" si="28">E50+0.7</f>
        <v>2.0999999999999996</v>
      </c>
      <c r="F51" s="121">
        <v>0</v>
      </c>
      <c r="G51" s="121">
        <v>0</v>
      </c>
      <c r="H51" s="121">
        <v>0</v>
      </c>
      <c r="I51" s="121">
        <f t="shared" si="8"/>
        <v>117.10608999999999</v>
      </c>
      <c r="J51" s="121">
        <v>0</v>
      </c>
      <c r="K51" s="122">
        <f t="shared" si="24"/>
        <v>128.816699</v>
      </c>
      <c r="L51" s="122" cm="1">
        <f t="array" ref="L51">Profile_SM(C51,O51*1000,12)/10^3</f>
        <v>1516.9758574108816</v>
      </c>
      <c r="M51" s="122" cm="1">
        <f t="array" ref="M51">Profile_ShearArea(C51,O51,12)</f>
        <v>5175</v>
      </c>
      <c r="N51" s="120">
        <v>4</v>
      </c>
      <c r="O51" s="120">
        <v>0.7</v>
      </c>
      <c r="P51" s="121">
        <v>1</v>
      </c>
      <c r="Q51" s="121">
        <v>355</v>
      </c>
      <c r="R51" s="143">
        <f t="shared" si="15"/>
        <v>104.73099041533546</v>
      </c>
      <c r="S51" s="121">
        <v>0</v>
      </c>
      <c r="T51" s="121">
        <v>120.3313127</v>
      </c>
      <c r="U51" s="121">
        <f t="shared" si="26"/>
        <v>233.25405634563492</v>
      </c>
      <c r="V51" s="122">
        <f t="shared" si="25"/>
        <v>89.473216381637769</v>
      </c>
      <c r="W51" s="122">
        <f t="shared" si="27"/>
        <v>176.13562921595138</v>
      </c>
      <c r="X51" s="122">
        <f t="shared" si="19"/>
        <v>1343.7420037952359</v>
      </c>
      <c r="Y51" s="122">
        <f t="shared" si="20"/>
        <v>1023.8892574022584</v>
      </c>
      <c r="Z51" s="124" t="str">
        <f t="shared" si="21"/>
        <v>OK</v>
      </c>
      <c r="AA51" s="125">
        <f t="shared" si="22"/>
        <v>1.1289189837977587</v>
      </c>
    </row>
    <row r="52" spans="1:27" ht="12" customHeight="1" x14ac:dyDescent="0.45">
      <c r="A52" s="118">
        <v>32</v>
      </c>
      <c r="B52" s="118" t="s">
        <v>235</v>
      </c>
      <c r="C52" s="119" t="s">
        <v>199</v>
      </c>
      <c r="D52" s="119"/>
      <c r="E52" s="120">
        <f t="shared" si="28"/>
        <v>2.8</v>
      </c>
      <c r="F52" s="121">
        <v>0</v>
      </c>
      <c r="G52" s="121">
        <v>0</v>
      </c>
      <c r="H52" s="121">
        <v>0</v>
      </c>
      <c r="I52" s="121">
        <f t="shared" si="8"/>
        <v>110.067415</v>
      </c>
      <c r="J52" s="121">
        <v>0</v>
      </c>
      <c r="K52" s="122">
        <f t="shared" si="24"/>
        <v>121.0741565</v>
      </c>
      <c r="L52" s="122" cm="1">
        <f t="array" ref="L52">Profile_SM(C52,O52*1000,12)/10^3</f>
        <v>1516.9758574108816</v>
      </c>
      <c r="M52" s="122" cm="1">
        <f t="array" ref="M52">Profile_ShearArea(C52,O52,12)</f>
        <v>5175</v>
      </c>
      <c r="N52" s="120">
        <v>4</v>
      </c>
      <c r="O52" s="120">
        <v>0.7</v>
      </c>
      <c r="P52" s="121">
        <v>1</v>
      </c>
      <c r="Q52" s="121">
        <v>355</v>
      </c>
      <c r="R52" s="143">
        <f t="shared" si="15"/>
        <v>76.10479233226836</v>
      </c>
      <c r="S52" s="121">
        <v>0</v>
      </c>
      <c r="T52" s="121">
        <v>125.68822489999999</v>
      </c>
      <c r="U52" s="121">
        <f t="shared" si="26"/>
        <v>230.61771192056483</v>
      </c>
      <c r="V52" s="122">
        <f t="shared" si="25"/>
        <v>92.109560806707862</v>
      </c>
      <c r="W52" s="122">
        <f t="shared" si="27"/>
        <v>180.96191248425694</v>
      </c>
      <c r="X52" s="122">
        <f t="shared" si="19"/>
        <v>1226.8275418640069</v>
      </c>
      <c r="Y52" s="122">
        <f t="shared" si="20"/>
        <v>936.68229282637719</v>
      </c>
      <c r="Z52" s="124" t="str">
        <f t="shared" si="21"/>
        <v>OK</v>
      </c>
      <c r="AA52" s="125">
        <f t="shared" si="22"/>
        <v>1.2365029359432473</v>
      </c>
    </row>
    <row r="53" spans="1:27" ht="12" customHeight="1" x14ac:dyDescent="0.45">
      <c r="A53" s="118">
        <v>33</v>
      </c>
      <c r="B53" s="118" t="s">
        <v>237</v>
      </c>
      <c r="C53" s="119" t="s">
        <v>249</v>
      </c>
      <c r="D53" s="119"/>
      <c r="E53" s="120">
        <f t="shared" si="28"/>
        <v>3.5</v>
      </c>
      <c r="F53" s="121">
        <v>0</v>
      </c>
      <c r="G53" s="121">
        <v>0</v>
      </c>
      <c r="H53" s="121">
        <v>0</v>
      </c>
      <c r="I53" s="121">
        <f t="shared" si="8"/>
        <v>103.02873999999998</v>
      </c>
      <c r="J53" s="121">
        <v>0</v>
      </c>
      <c r="K53" s="122">
        <f t="shared" si="24"/>
        <v>113.33161399999999</v>
      </c>
      <c r="L53" s="122" cm="1">
        <f t="array" ref="L53">Profile_SM(C53,O53*1000,12)/10^3</f>
        <v>1173.9558953306662</v>
      </c>
      <c r="M53" s="122" cm="1">
        <f t="array" ref="M53">Profile_ShearArea(C53,O53,12)</f>
        <v>5200</v>
      </c>
      <c r="N53" s="120">
        <v>4</v>
      </c>
      <c r="O53" s="120">
        <v>0.7</v>
      </c>
      <c r="P53" s="121">
        <v>1</v>
      </c>
      <c r="Q53" s="121">
        <v>355</v>
      </c>
      <c r="R53" s="143">
        <f t="shared" si="15"/>
        <v>47.478594249201265</v>
      </c>
      <c r="S53" s="121">
        <v>0</v>
      </c>
      <c r="T53" s="121">
        <v>130.1707069</v>
      </c>
      <c r="U53" s="121">
        <f t="shared" si="26"/>
        <v>230.40715205135757</v>
      </c>
      <c r="V53" s="122">
        <f t="shared" si="25"/>
        <v>92.320120675915121</v>
      </c>
      <c r="W53" s="122">
        <f t="shared" si="27"/>
        <v>184.18747021856072</v>
      </c>
      <c r="X53" s="122">
        <f t="shared" si="19"/>
        <v>1145.7542764484494</v>
      </c>
      <c r="Y53" s="122">
        <f t="shared" si="20"/>
        <v>861.4280841781781</v>
      </c>
      <c r="Z53" s="124" t="str">
        <f t="shared" si="21"/>
        <v>OK</v>
      </c>
      <c r="AA53" s="125">
        <f t="shared" si="22"/>
        <v>1.0246140201803433</v>
      </c>
    </row>
    <row r="54" spans="1:27" ht="12" customHeight="1" x14ac:dyDescent="0.45">
      <c r="A54" s="118">
        <v>34</v>
      </c>
      <c r="B54" s="118" t="s">
        <v>239</v>
      </c>
      <c r="C54" s="119" t="s">
        <v>249</v>
      </c>
      <c r="D54" s="119"/>
      <c r="E54" s="120">
        <f t="shared" si="28"/>
        <v>4.2</v>
      </c>
      <c r="F54" s="121">
        <v>0</v>
      </c>
      <c r="G54" s="121">
        <v>0</v>
      </c>
      <c r="H54" s="121">
        <v>0</v>
      </c>
      <c r="I54" s="121">
        <f t="shared" si="8"/>
        <v>95.990064999999987</v>
      </c>
      <c r="J54" s="121">
        <v>0</v>
      </c>
      <c r="K54" s="122">
        <f t="shared" si="24"/>
        <v>105.58907149999999</v>
      </c>
      <c r="L54" s="122" cm="1">
        <f t="array" ref="L54">Profile_SM(C54,O54*1000,12)/10^3</f>
        <v>1173.9558953306662</v>
      </c>
      <c r="M54" s="122" cm="1">
        <f t="array" ref="M54">Profile_ShearArea(C54,O54,12)</f>
        <v>5200</v>
      </c>
      <c r="N54" s="120">
        <v>4</v>
      </c>
      <c r="O54" s="120">
        <v>0.7</v>
      </c>
      <c r="P54" s="121">
        <v>1</v>
      </c>
      <c r="Q54" s="121">
        <v>355</v>
      </c>
      <c r="R54" s="143">
        <f t="shared" si="15"/>
        <v>18.852396166134159</v>
      </c>
      <c r="S54" s="121">
        <v>0</v>
      </c>
      <c r="T54" s="121">
        <v>131.4085092</v>
      </c>
      <c r="U54" s="121">
        <f t="shared" si="26"/>
        <v>228.38564252532234</v>
      </c>
      <c r="V54" s="122">
        <f t="shared" si="25"/>
        <v>94.341630201950352</v>
      </c>
      <c r="W54" s="122">
        <f t="shared" si="27"/>
        <v>185.89564579612693</v>
      </c>
      <c r="X54" s="122">
        <f t="shared" si="19"/>
        <v>1044.605651351457</v>
      </c>
      <c r="Y54" s="122">
        <f t="shared" si="20"/>
        <v>795.20259588070371</v>
      </c>
      <c r="Z54" s="124" t="str">
        <f t="shared" si="21"/>
        <v>OK</v>
      </c>
      <c r="AA54" s="125">
        <f t="shared" si="22"/>
        <v>1.1238268659679014</v>
      </c>
    </row>
    <row r="55" spans="1:27" ht="12" customHeight="1" x14ac:dyDescent="0.45">
      <c r="A55" s="118">
        <v>35</v>
      </c>
      <c r="B55" s="118" t="s">
        <v>240</v>
      </c>
      <c r="C55" s="119" t="s">
        <v>250</v>
      </c>
      <c r="D55" s="119"/>
      <c r="E55" s="120">
        <f t="shared" si="28"/>
        <v>4.9000000000000004</v>
      </c>
      <c r="F55" s="121">
        <v>0</v>
      </c>
      <c r="G55" s="121">
        <v>0</v>
      </c>
      <c r="H55" s="121">
        <v>0</v>
      </c>
      <c r="I55" s="121">
        <f t="shared" si="8"/>
        <v>88.951389999999989</v>
      </c>
      <c r="J55" s="121">
        <v>0</v>
      </c>
      <c r="K55" s="122">
        <f t="shared" si="24"/>
        <v>97.84652899999999</v>
      </c>
      <c r="L55" s="122"/>
      <c r="M55" s="122"/>
      <c r="N55" s="120"/>
      <c r="O55" s="120"/>
      <c r="P55" s="121"/>
      <c r="Q55" s="121"/>
      <c r="R55" s="143"/>
      <c r="S55" s="121"/>
      <c r="T55" s="121">
        <v>130.3439305</v>
      </c>
      <c r="U55" s="121"/>
      <c r="V55" s="122"/>
      <c r="W55" s="122"/>
      <c r="X55" s="122"/>
      <c r="Y55" s="122"/>
      <c r="Z55" s="124"/>
      <c r="AA55" s="125"/>
    </row>
    <row r="56" spans="1:27" ht="12" customHeight="1" x14ac:dyDescent="0.45">
      <c r="A56" s="118">
        <v>36</v>
      </c>
      <c r="B56" s="118" t="s">
        <v>241</v>
      </c>
      <c r="C56" s="119" t="s">
        <v>224</v>
      </c>
      <c r="D56" s="119"/>
      <c r="E56" s="120">
        <f t="shared" si="28"/>
        <v>5.6000000000000005</v>
      </c>
      <c r="F56" s="121">
        <v>0</v>
      </c>
      <c r="G56" s="121">
        <v>0</v>
      </c>
      <c r="H56" s="121">
        <v>0</v>
      </c>
      <c r="I56" s="121">
        <f t="shared" si="8"/>
        <v>81.912714999999992</v>
      </c>
      <c r="J56" s="121">
        <v>0</v>
      </c>
      <c r="K56" s="122">
        <f t="shared" si="24"/>
        <v>90.103986500000005</v>
      </c>
      <c r="L56" s="122" cm="1">
        <f t="array" ref="L56">Profile_SM(C56,O56*1000,12)/10^3</f>
        <v>921.80062112577377</v>
      </c>
      <c r="M56" s="122" cm="1">
        <f t="array" ref="M56">Profile_ShearArea(C56,O56,12)</f>
        <v>4200</v>
      </c>
      <c r="N56" s="120">
        <v>4</v>
      </c>
      <c r="O56" s="120">
        <v>0.7</v>
      </c>
      <c r="P56" s="121">
        <v>1</v>
      </c>
      <c r="Q56" s="121">
        <v>355</v>
      </c>
      <c r="R56" s="143">
        <f t="shared" ref="R56:R59" si="29">$M$11/ABS(($M$12/(E56-$M$13)))/1000</f>
        <v>38.400000000000041</v>
      </c>
      <c r="S56" s="121">
        <v>0</v>
      </c>
      <c r="T56" s="121">
        <v>127.486794</v>
      </c>
      <c r="U56" s="121">
        <f t="shared" ref="U56:U59" si="30">SQRT(R56^2+S56^2-R56*S56+3*T56^2)</f>
        <v>224.12765990210872</v>
      </c>
      <c r="V56" s="122">
        <f t="shared" ref="V56:V59" si="31">(Q56/$F$7-U56)</f>
        <v>98.599612825163973</v>
      </c>
      <c r="W56" s="122">
        <f t="shared" ref="W56:W59" si="32">0.577*SQRT((Q56/$F$7)^2-R56^2)</f>
        <v>184.89076391623399</v>
      </c>
      <c r="X56" s="122">
        <f>N56^2*O56*K56*1000000/($F$8*V56*P56)/10^3</f>
        <v>852.91464800969209</v>
      </c>
      <c r="Y56" s="122">
        <f>N56*O56*K56*1000/(2*W56)</f>
        <v>682.27086322792798</v>
      </c>
      <c r="Z56" s="124" t="str">
        <f>IF(AND(L56&gt;=X56,M56&gt;=Y56),"OK","N.G")</f>
        <v>OK</v>
      </c>
      <c r="AA56" s="125">
        <f>L56/X56</f>
        <v>1.0807653770243362</v>
      </c>
    </row>
    <row r="57" spans="1:27" ht="12" customHeight="1" x14ac:dyDescent="0.45">
      <c r="A57" s="118">
        <v>37</v>
      </c>
      <c r="B57" s="118" t="s">
        <v>242</v>
      </c>
      <c r="C57" s="119" t="s">
        <v>224</v>
      </c>
      <c r="D57" s="119"/>
      <c r="E57" s="120">
        <v>6.65</v>
      </c>
      <c r="F57" s="121">
        <v>0</v>
      </c>
      <c r="G57" s="121">
        <v>0</v>
      </c>
      <c r="H57" s="121">
        <v>0</v>
      </c>
      <c r="I57" s="121">
        <f t="shared" si="8"/>
        <v>71.354702499999988</v>
      </c>
      <c r="J57" s="121">
        <v>0</v>
      </c>
      <c r="K57" s="122">
        <f t="shared" si="24"/>
        <v>78.490172749999999</v>
      </c>
      <c r="L57" s="122" cm="1">
        <f t="array" ref="L57">Profile_SM(C57,O57*1000,12)/10^3</f>
        <v>921.80062112577377</v>
      </c>
      <c r="M57" s="122" cm="1">
        <f t="array" ref="M57">Profile_ShearArea(C57,O57,12)</f>
        <v>4200</v>
      </c>
      <c r="N57" s="120">
        <v>4</v>
      </c>
      <c r="O57" s="120">
        <v>0.7</v>
      </c>
      <c r="P57" s="121">
        <v>1</v>
      </c>
      <c r="Q57" s="121">
        <v>355</v>
      </c>
      <c r="R57" s="143">
        <f t="shared" si="29"/>
        <v>81.339297124600662</v>
      </c>
      <c r="S57" s="121">
        <v>0</v>
      </c>
      <c r="T57" s="121">
        <v>125.3</v>
      </c>
      <c r="U57" s="121">
        <f t="shared" si="30"/>
        <v>231.76788228036273</v>
      </c>
      <c r="V57" s="122">
        <f t="shared" si="31"/>
        <v>90.959390446909964</v>
      </c>
      <c r="W57" s="122">
        <f t="shared" si="32"/>
        <v>180.20220046117277</v>
      </c>
      <c r="X57" s="122">
        <f>N57^2*O57*K57*1000000/($F$8*V57*P57)/10^3</f>
        <v>805.3868237983047</v>
      </c>
      <c r="Y57" s="122">
        <f>N57*O57*K57*1000/(2*W57)</f>
        <v>609.79411776759412</v>
      </c>
      <c r="Z57" s="124" t="str">
        <f>IF(AND(L57&gt;=X57,M57&gt;=Y57),"OK","N.G")</f>
        <v>OK</v>
      </c>
      <c r="AA57" s="125">
        <f>L57/X57</f>
        <v>1.1445439556341972</v>
      </c>
    </row>
    <row r="58" spans="1:27" ht="12" customHeight="1" x14ac:dyDescent="0.45">
      <c r="A58" s="118">
        <v>38</v>
      </c>
      <c r="B58" s="118" t="s">
        <v>244</v>
      </c>
      <c r="C58" s="119" t="s">
        <v>224</v>
      </c>
      <c r="D58" s="119"/>
      <c r="E58" s="120">
        <v>7.35</v>
      </c>
      <c r="F58" s="121">
        <v>0</v>
      </c>
      <c r="G58" s="121">
        <v>0</v>
      </c>
      <c r="H58" s="121">
        <v>0</v>
      </c>
      <c r="I58" s="121">
        <f t="shared" si="8"/>
        <v>64.31602749999999</v>
      </c>
      <c r="J58" s="121">
        <v>0</v>
      </c>
      <c r="K58" s="122">
        <f t="shared" si="24"/>
        <v>70.74763025</v>
      </c>
      <c r="L58" s="122" cm="1">
        <f t="array" ref="L58">Profile_SM(C58,O58*1000,12)/10^3</f>
        <v>921.80062112577377</v>
      </c>
      <c r="M58" s="122" cm="1">
        <f t="array" ref="M58">Profile_ShearArea(C58,O58,12)</f>
        <v>4200</v>
      </c>
      <c r="N58" s="120">
        <v>4</v>
      </c>
      <c r="O58" s="120">
        <v>0.7</v>
      </c>
      <c r="P58" s="121">
        <v>1</v>
      </c>
      <c r="Q58" s="121">
        <v>355</v>
      </c>
      <c r="R58" s="143">
        <f t="shared" si="29"/>
        <v>109.96549520766773</v>
      </c>
      <c r="S58" s="121">
        <v>0</v>
      </c>
      <c r="T58" s="121">
        <v>119.8</v>
      </c>
      <c r="U58" s="121">
        <f t="shared" si="30"/>
        <v>234.83724180007647</v>
      </c>
      <c r="V58" s="122">
        <f t="shared" si="31"/>
        <v>87.890030927196221</v>
      </c>
      <c r="W58" s="122">
        <f t="shared" si="32"/>
        <v>175.07028403904289</v>
      </c>
      <c r="X58" s="122">
        <f>N58^2*O58*K58*1000000/($F$8*V58*P58)/10^3</f>
        <v>751.29250576056347</v>
      </c>
      <c r="Y58" s="122">
        <f>N58*O58*K58*1000/(2*W58)</f>
        <v>565.75382220726476</v>
      </c>
      <c r="Z58" s="124" t="str">
        <f>IF(AND(L58&gt;=X58,M58&gt;=Y58),"OK","N.G")</f>
        <v>OK</v>
      </c>
      <c r="AA58" s="125">
        <f>L58/X58</f>
        <v>1.2269530363444769</v>
      </c>
    </row>
    <row r="59" spans="1:27" ht="12" customHeight="1" x14ac:dyDescent="0.45">
      <c r="A59" s="118">
        <v>39</v>
      </c>
      <c r="B59" s="118" t="s">
        <v>245</v>
      </c>
      <c r="C59" s="119" t="s">
        <v>236</v>
      </c>
      <c r="D59" s="119"/>
      <c r="E59" s="120">
        <v>8.0500000000000007</v>
      </c>
      <c r="F59" s="121">
        <v>0</v>
      </c>
      <c r="G59" s="121">
        <v>0</v>
      </c>
      <c r="H59" s="121">
        <v>0</v>
      </c>
      <c r="I59" s="121">
        <f t="shared" si="8"/>
        <v>57.277352499999985</v>
      </c>
      <c r="J59" s="121">
        <v>0</v>
      </c>
      <c r="K59" s="122">
        <f t="shared" si="24"/>
        <v>63.005087749999987</v>
      </c>
      <c r="L59" s="122" cm="1">
        <f t="array" ref="L59">Profile_SM(C59,O59*1000,12)/10^3</f>
        <v>714.81266231145048</v>
      </c>
      <c r="M59" s="122" cm="1">
        <f t="array" ref="M59">Profile_ShearArea(C59,O59,12)</f>
        <v>3900</v>
      </c>
      <c r="N59" s="120">
        <v>4</v>
      </c>
      <c r="O59" s="120">
        <v>0.7</v>
      </c>
      <c r="P59" s="121">
        <v>1</v>
      </c>
      <c r="Q59" s="121">
        <v>355</v>
      </c>
      <c r="R59" s="143">
        <f t="shared" si="29"/>
        <v>138.59169329073487</v>
      </c>
      <c r="S59" s="121">
        <v>0</v>
      </c>
      <c r="T59" s="121">
        <v>112.5</v>
      </c>
      <c r="U59" s="121">
        <f t="shared" si="30"/>
        <v>239.11588706983298</v>
      </c>
      <c r="V59" s="122">
        <f t="shared" si="31"/>
        <v>83.611385657439712</v>
      </c>
      <c r="W59" s="122">
        <f t="shared" si="32"/>
        <v>168.16876101365011</v>
      </c>
      <c r="X59" s="122">
        <f>N59^2*O59*K59*1000000/($F$8*V59*P59)/10^3</f>
        <v>703.31029804472837</v>
      </c>
      <c r="Y59" s="122">
        <f>N59*O59*K59*1000/(2*W59)</f>
        <v>524.5155064372525</v>
      </c>
      <c r="Z59" s="124" t="str">
        <f>IF(AND(L59&gt;=X59,M59&gt;=Y59),"OK","N.G")</f>
        <v>OK</v>
      </c>
      <c r="AA59" s="125">
        <f>L59/X59</f>
        <v>1.0163546080566428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9">
    <cfRule type="cellIs" dxfId="3" priority="2" operator="equal">
      <formula>"N.G"</formula>
    </cfRule>
  </conditionalFormatting>
  <conditionalFormatting sqref="Y24:Y30">
    <cfRule type="cellIs" dxfId="2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03" t="s">
        <v>175</v>
      </c>
      <c r="G4" s="203"/>
      <c r="H4" s="203"/>
      <c r="I4" s="203"/>
      <c r="J4" s="203"/>
      <c r="K4" s="203"/>
      <c r="L4" s="203"/>
      <c r="M4" s="203"/>
      <c r="N4" s="204"/>
    </row>
    <row r="5" spans="1:29" ht="12" customHeight="1" thickBot="1" x14ac:dyDescent="0.5">
      <c r="A5" s="70"/>
      <c r="B5" s="71"/>
      <c r="C5" s="71"/>
      <c r="D5" s="71"/>
      <c r="E5" s="71"/>
      <c r="F5" s="205"/>
      <c r="G5" s="205"/>
      <c r="H5" s="205"/>
      <c r="I5" s="205"/>
      <c r="J5" s="205"/>
      <c r="K5" s="205"/>
      <c r="L5" s="205"/>
      <c r="M5" s="205"/>
      <c r="N5" s="206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4">
        <v>4.29</v>
      </c>
      <c r="G11" s="137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4">
        <v>10.5</v>
      </c>
      <c r="G12" s="137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9">
        <v>10.46</v>
      </c>
      <c r="G13" s="138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40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29"/>
      <c r="F17" s="140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44"/>
      <c r="R18" s="14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44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207"/>
      <c r="B22" s="207"/>
      <c r="C22" s="207"/>
      <c r="D22" s="207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7" t="s">
        <v>124</v>
      </c>
      <c r="AA22" s="50"/>
    </row>
    <row r="23" spans="1:28" ht="12" customHeight="1" x14ac:dyDescent="0.45">
      <c r="A23" s="207"/>
      <c r="B23" s="207"/>
      <c r="C23" s="207"/>
      <c r="D23" s="207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7"/>
      <c r="AA23" s="50"/>
    </row>
    <row r="24" spans="1:28" ht="12" customHeight="1" x14ac:dyDescent="0.45">
      <c r="A24" s="92">
        <v>1</v>
      </c>
      <c r="B24" s="92" t="s">
        <v>198</v>
      </c>
      <c r="C24" s="100" t="s">
        <v>251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cm="1">
        <f t="array" ref="L24">Profile_SM(C24,O24*1000,12)/10^3</f>
        <v>528.00834254962876</v>
      </c>
      <c r="M24" s="93" cm="1">
        <f t="array" ref="M24">Profile_ShearArea(C24,O24,12)</f>
        <v>3000</v>
      </c>
      <c r="N24" s="101">
        <v>2</v>
      </c>
      <c r="O24" s="101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02" t="str">
        <f t="shared" ref="Z24:Z36" si="5">IF(AND(L24&gt;=X24,M24&gt;=Y24),"OK","N.G")</f>
        <v>OK</v>
      </c>
      <c r="AA24" s="103">
        <f t="shared" ref="AA24:AA36" si="6">L24/X24</f>
        <v>1.2952749278632403</v>
      </c>
    </row>
    <row r="25" spans="1:28" ht="12" customHeight="1" x14ac:dyDescent="0.45">
      <c r="A25" s="92">
        <v>2</v>
      </c>
      <c r="B25" s="92" t="s">
        <v>200</v>
      </c>
      <c r="C25" s="100" t="s">
        <v>199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cm="1">
        <f t="array" ref="L25">Profile_SM(C25,O25*1000,12)/10^3</f>
        <v>1526.3433459874498</v>
      </c>
      <c r="M25" s="93" cm="1">
        <f t="array" ref="M25">Profile_ShearArea(C25,O25,12)</f>
        <v>5175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02" t="str">
        <f t="shared" si="5"/>
        <v>OK</v>
      </c>
      <c r="AA25" s="103">
        <f t="shared" si="6"/>
        <v>1.162614361336469</v>
      </c>
    </row>
    <row r="26" spans="1:28" ht="12" customHeight="1" x14ac:dyDescent="0.45">
      <c r="A26" s="92">
        <v>3</v>
      </c>
      <c r="B26" s="92" t="s">
        <v>201</v>
      </c>
      <c r="C26" s="100" t="s">
        <v>199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cm="1">
        <f t="array" ref="L26">Profile_SM(C26,O26*1000,12)/10^3</f>
        <v>1526.3433459874498</v>
      </c>
      <c r="M26" s="93" cm="1">
        <f t="array" ref="M26">Profile_ShearArea(C26,O26,12)</f>
        <v>5175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02" t="str">
        <f t="shared" si="5"/>
        <v>OK</v>
      </c>
      <c r="AA26" s="103">
        <f t="shared" si="6"/>
        <v>1.3182411320423757</v>
      </c>
    </row>
    <row r="27" spans="1:28" ht="12" customHeight="1" x14ac:dyDescent="0.45">
      <c r="A27" s="92">
        <v>4</v>
      </c>
      <c r="B27" s="92" t="s">
        <v>202</v>
      </c>
      <c r="C27" s="100" t="s">
        <v>199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cm="1">
        <f t="array" ref="L27">Profile_SM(C27,O27*1000,12)/10^3</f>
        <v>1526.3433459874498</v>
      </c>
      <c r="M27" s="93" cm="1">
        <f t="array" ref="M27">Profile_ShearArea(C27,O27,12)</f>
        <v>5175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02" t="str">
        <f t="shared" si="5"/>
        <v>OK</v>
      </c>
      <c r="AA27" s="103">
        <f t="shared" si="6"/>
        <v>1.3837781832200962</v>
      </c>
    </row>
    <row r="28" spans="1:28" ht="12" customHeight="1" x14ac:dyDescent="0.45">
      <c r="A28" s="92">
        <v>5</v>
      </c>
      <c r="B28" s="92" t="s">
        <v>203</v>
      </c>
      <c r="C28" s="100" t="s">
        <v>199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cm="1">
        <f t="array" ref="L28">Profile_SM(C28,O28*1000,12)/10^3</f>
        <v>1526.3433459874498</v>
      </c>
      <c r="M28" s="93" cm="1">
        <f t="array" ref="M28">Profile_ShearArea(C28,O28,12)</f>
        <v>5175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02" t="str">
        <f t="shared" si="5"/>
        <v>OK</v>
      </c>
      <c r="AA28" s="103">
        <f t="shared" si="6"/>
        <v>1.3113398861342311</v>
      </c>
    </row>
    <row r="29" spans="1:28" ht="12" customHeight="1" x14ac:dyDescent="0.45">
      <c r="A29" s="92">
        <v>6</v>
      </c>
      <c r="B29" s="92" t="s">
        <v>204</v>
      </c>
      <c r="C29" s="100" t="s">
        <v>199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cm="1">
        <f t="array" ref="L29">Profile_SM(C29,O29*1000,12)/10^3</f>
        <v>1526.3433459874498</v>
      </c>
      <c r="M29" s="93" cm="1">
        <f t="array" ref="M29">Profile_ShearArea(C29,O29,12)</f>
        <v>5175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02" t="str">
        <f t="shared" si="5"/>
        <v>OK</v>
      </c>
      <c r="AA29" s="103">
        <f t="shared" si="6"/>
        <v>1.1509703233098578</v>
      </c>
    </row>
    <row r="30" spans="1:28" ht="12" customHeight="1" x14ac:dyDescent="0.45">
      <c r="A30" s="92">
        <v>7</v>
      </c>
      <c r="B30" s="92" t="s">
        <v>205</v>
      </c>
      <c r="C30" s="100" t="s">
        <v>251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cm="1">
        <f t="array" ref="L30">Profile_SM(C30,O30*1000,12)/10^3</f>
        <v>528.00834254962876</v>
      </c>
      <c r="M30" s="93" cm="1">
        <f t="array" ref="M30">Profile_ShearArea(C30,O30,12)</f>
        <v>3000</v>
      </c>
      <c r="N30" s="101">
        <v>2</v>
      </c>
      <c r="O30" s="101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02" t="str">
        <f>IF(AND(L30&gt;=X30,M30&gt;=Y30),"OK","N.G")</f>
        <v>OK</v>
      </c>
      <c r="AA30" s="103">
        <f t="shared" si="6"/>
        <v>1.2741873382808251</v>
      </c>
    </row>
    <row r="31" spans="1:28" ht="12" customHeight="1" x14ac:dyDescent="0.45">
      <c r="A31" s="87">
        <v>8</v>
      </c>
      <c r="B31" s="87" t="s">
        <v>206</v>
      </c>
      <c r="C31" s="104" t="s">
        <v>251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cm="1">
        <f t="array" ref="L31">Profile_SM(C31,O31*1000,12)/10^3</f>
        <v>525.6335977958513</v>
      </c>
      <c r="M31" s="88" cm="1">
        <f t="array" ref="M31">Profile_ShearArea(C31,O31,12)</f>
        <v>3000</v>
      </c>
      <c r="N31" s="105">
        <v>2</v>
      </c>
      <c r="O31" s="105">
        <v>0.7</v>
      </c>
      <c r="P31" s="91">
        <v>1</v>
      </c>
      <c r="Q31" s="91">
        <v>355</v>
      </c>
      <c r="R31" s="141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07" t="str">
        <f t="shared" si="5"/>
        <v>OK</v>
      </c>
      <c r="AA31" s="108">
        <f t="shared" si="6"/>
        <v>1.0777076244795019</v>
      </c>
    </row>
    <row r="32" spans="1:28" ht="12" customHeight="1" x14ac:dyDescent="0.45">
      <c r="A32" s="87">
        <v>9</v>
      </c>
      <c r="B32" s="87" t="s">
        <v>208</v>
      </c>
      <c r="C32" s="104" t="s">
        <v>207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cm="1">
        <f t="array" ref="L32">Profile_SM(C32,O32*1000,12)/10^3</f>
        <v>482.64811540310143</v>
      </c>
      <c r="M32" s="88" cm="1">
        <f t="array" ref="M32">Profile_ShearArea(C32,O32,12)</f>
        <v>2500</v>
      </c>
      <c r="N32" s="105">
        <v>2</v>
      </c>
      <c r="O32" s="105">
        <v>0.7</v>
      </c>
      <c r="P32" s="91">
        <v>1</v>
      </c>
      <c r="Q32" s="91">
        <v>355</v>
      </c>
      <c r="R32" s="141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07" t="str">
        <f t="shared" si="5"/>
        <v>OK</v>
      </c>
      <c r="AA32" s="108">
        <f t="shared" si="6"/>
        <v>1.0069813732353379</v>
      </c>
    </row>
    <row r="33" spans="1:27" ht="12" customHeight="1" x14ac:dyDescent="0.45">
      <c r="A33" s="87">
        <v>10</v>
      </c>
      <c r="B33" s="87" t="s">
        <v>209</v>
      </c>
      <c r="C33" s="104" t="s">
        <v>207</v>
      </c>
      <c r="D33" s="104"/>
      <c r="E33" s="105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cm="1">
        <f t="array" ref="L33">Profile_SM(C33,O33*1000,12)/10^3</f>
        <v>482.64811540310143</v>
      </c>
      <c r="M33" s="88" cm="1">
        <f t="array" ref="M33">Profile_ShearArea(C33,O33,12)</f>
        <v>2500</v>
      </c>
      <c r="N33" s="105">
        <v>2</v>
      </c>
      <c r="O33" s="105">
        <v>0.7</v>
      </c>
      <c r="P33" s="91">
        <v>1</v>
      </c>
      <c r="Q33" s="91">
        <v>355</v>
      </c>
      <c r="R33" s="141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07" t="str">
        <f t="shared" si="5"/>
        <v>OK</v>
      </c>
      <c r="AA33" s="108">
        <f t="shared" si="6"/>
        <v>1.0238772567996652</v>
      </c>
    </row>
    <row r="34" spans="1:27" ht="12" customHeight="1" x14ac:dyDescent="0.45">
      <c r="A34" s="87">
        <v>11</v>
      </c>
      <c r="B34" s="87" t="s">
        <v>210</v>
      </c>
      <c r="C34" s="104" t="s">
        <v>207</v>
      </c>
      <c r="D34" s="104"/>
      <c r="E34" s="105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cm="1">
        <f t="array" ref="L34">Profile_SM(C34,O34*1000,12)/10^3</f>
        <v>482.64811540310143</v>
      </c>
      <c r="M34" s="88" cm="1">
        <f t="array" ref="M34">Profile_ShearArea(C34,O34,12)</f>
        <v>2500</v>
      </c>
      <c r="N34" s="105">
        <v>2</v>
      </c>
      <c r="O34" s="105">
        <v>0.7</v>
      </c>
      <c r="P34" s="91">
        <v>1</v>
      </c>
      <c r="Q34" s="91">
        <v>355</v>
      </c>
      <c r="R34" s="141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07" t="str">
        <f t="shared" si="5"/>
        <v>OK</v>
      </c>
      <c r="AA34" s="108">
        <f t="shared" si="6"/>
        <v>1.0561574271544896</v>
      </c>
    </row>
    <row r="35" spans="1:27" ht="12" customHeight="1" x14ac:dyDescent="0.45">
      <c r="A35" s="87">
        <v>12</v>
      </c>
      <c r="B35" s="87" t="s">
        <v>211</v>
      </c>
      <c r="C35" s="104" t="s">
        <v>207</v>
      </c>
      <c r="D35" s="104"/>
      <c r="E35" s="105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cm="1">
        <f t="array" ref="L35">Profile_SM(C35,O35*1000,12)/10^3</f>
        <v>482.64811540310143</v>
      </c>
      <c r="M35" s="88" cm="1">
        <f t="array" ref="M35">Profile_ShearArea(C35,O35,12)</f>
        <v>2500</v>
      </c>
      <c r="N35" s="105">
        <v>2</v>
      </c>
      <c r="O35" s="105">
        <v>0.7</v>
      </c>
      <c r="P35" s="91">
        <v>1</v>
      </c>
      <c r="Q35" s="91">
        <v>355</v>
      </c>
      <c r="R35" s="141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07" t="str">
        <f t="shared" si="5"/>
        <v>OK</v>
      </c>
      <c r="AA35" s="108">
        <f t="shared" si="6"/>
        <v>1.1213610912153653</v>
      </c>
    </row>
    <row r="36" spans="1:27" ht="12" customHeight="1" x14ac:dyDescent="0.45">
      <c r="A36" s="87">
        <v>13</v>
      </c>
      <c r="B36" s="87" t="s">
        <v>212</v>
      </c>
      <c r="C36" s="104" t="s">
        <v>207</v>
      </c>
      <c r="D36" s="104"/>
      <c r="E36" s="105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cm="1">
        <f t="array" ref="L36">Profile_SM(C36,O36*1000,12)/10^3</f>
        <v>482.64811540310143</v>
      </c>
      <c r="M36" s="88" cm="1">
        <f t="array" ref="M36">Profile_ShearArea(C36,O36,12)</f>
        <v>2500</v>
      </c>
      <c r="N36" s="105">
        <v>2</v>
      </c>
      <c r="O36" s="105">
        <v>0.7</v>
      </c>
      <c r="P36" s="91">
        <v>1</v>
      </c>
      <c r="Q36" s="91">
        <v>355</v>
      </c>
      <c r="R36" s="141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07" t="str">
        <f t="shared" si="5"/>
        <v>OK</v>
      </c>
      <c r="AA36" s="108">
        <f t="shared" si="6"/>
        <v>1.2006408806787665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05"/>
      <c r="O37" s="105"/>
      <c r="P37" s="91"/>
      <c r="Q37" s="91"/>
      <c r="R37" s="141"/>
      <c r="S37" s="91"/>
      <c r="T37" s="91">
        <v>146.119517</v>
      </c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249</v>
      </c>
      <c r="D38" s="104"/>
      <c r="E38" s="105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cm="1">
        <f t="array" ref="L38">Profile_SM(C38,O38*1000,12)/10^3</f>
        <v>1173.9558953306662</v>
      </c>
      <c r="M38" s="88" cm="1">
        <f t="array" ref="M38">Profile_ShearArea(C38,O38,12)</f>
        <v>5200</v>
      </c>
      <c r="N38" s="105">
        <v>4</v>
      </c>
      <c r="O38" s="105">
        <v>0.7</v>
      </c>
      <c r="P38" s="91">
        <v>1</v>
      </c>
      <c r="Q38" s="91">
        <v>355</v>
      </c>
      <c r="R38" s="141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07" t="str">
        <f t="shared" ref="Z38:Z52" si="21">IF(AND(L38&gt;=X38,M38&gt;=Y38),"OK","N.G")</f>
        <v>OK</v>
      </c>
      <c r="AA38" s="108">
        <f t="shared" ref="AA38:AA52" si="22">L38/X38</f>
        <v>1.0763899569364401</v>
      </c>
    </row>
    <row r="39" spans="1:27" ht="12" customHeight="1" x14ac:dyDescent="0.45">
      <c r="A39" s="87">
        <v>16</v>
      </c>
      <c r="B39" s="87" t="s">
        <v>217</v>
      </c>
      <c r="C39" s="104" t="s">
        <v>249</v>
      </c>
      <c r="D39" s="104"/>
      <c r="E39" s="105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cm="1">
        <f t="array" ref="L39">Profile_SM(C39,O39*1000,12)/10^3</f>
        <v>1173.9558953306662</v>
      </c>
      <c r="M39" s="88" cm="1">
        <f t="array" ref="M39">Profile_ShearArea(C39,O39,12)</f>
        <v>5200</v>
      </c>
      <c r="N39" s="105">
        <v>4</v>
      </c>
      <c r="O39" s="105">
        <v>0.7</v>
      </c>
      <c r="P39" s="91">
        <v>1</v>
      </c>
      <c r="Q39" s="91">
        <v>355</v>
      </c>
      <c r="R39" s="141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07" t="str">
        <f t="shared" si="21"/>
        <v>OK</v>
      </c>
      <c r="AA39" s="108">
        <f t="shared" si="22"/>
        <v>1.1911306375690509</v>
      </c>
    </row>
    <row r="40" spans="1:27" ht="12" customHeight="1" x14ac:dyDescent="0.45">
      <c r="A40" s="109">
        <v>22</v>
      </c>
      <c r="B40" s="109" t="s">
        <v>223</v>
      </c>
      <c r="C40" s="117" t="s">
        <v>224</v>
      </c>
      <c r="D40" s="110"/>
      <c r="E40" s="111">
        <v>7</v>
      </c>
      <c r="F40" s="112">
        <v>0</v>
      </c>
      <c r="G40" s="112">
        <v>0</v>
      </c>
      <c r="H40" s="112">
        <v>0</v>
      </c>
      <c r="I40" s="112">
        <f t="shared" si="7"/>
        <v>67.835364999999996</v>
      </c>
      <c r="J40" s="112">
        <v>0</v>
      </c>
      <c r="K40" s="113">
        <f>I40*$F$19+J40*$F$18</f>
        <v>74.618901500000007</v>
      </c>
      <c r="L40" s="113" cm="1">
        <f t="array" ref="L40">Profile_SM(C40,O40*1000,12)/10^3</f>
        <v>926.93146753714063</v>
      </c>
      <c r="M40" s="113" cm="1">
        <f t="array" ref="M40">Profile_ShearArea(C40,O40,12)</f>
        <v>4200</v>
      </c>
      <c r="N40" s="111">
        <v>4</v>
      </c>
      <c r="O40" s="111">
        <v>0.75</v>
      </c>
      <c r="P40" s="112">
        <v>1</v>
      </c>
      <c r="Q40" s="112">
        <v>355</v>
      </c>
      <c r="R40" s="142">
        <f>$M$11/ABS(($M$12/(E40-$M$13)))/1000</f>
        <v>166.72900347564453</v>
      </c>
      <c r="S40" s="112">
        <v>0</v>
      </c>
      <c r="T40" s="112">
        <v>60.600591909999999</v>
      </c>
      <c r="U40" s="112">
        <f>SQRT(R40^2+S40^2-R40*S40+3*T40^2)</f>
        <v>197.01739978872058</v>
      </c>
      <c r="V40" s="113">
        <f t="shared" si="17"/>
        <v>125.70987293855211</v>
      </c>
      <c r="W40" s="113">
        <f t="shared" ref="W40:W46" si="23">0.577*SQRT((Q40/$F$7)^2-R40^2)</f>
        <v>159.43829962018958</v>
      </c>
      <c r="X40" s="113">
        <f t="shared" si="19"/>
        <v>593.58027938246551</v>
      </c>
      <c r="Y40" s="113">
        <f t="shared" si="20"/>
        <v>702.01672067899165</v>
      </c>
      <c r="Z40" s="115" t="str">
        <f t="shared" si="21"/>
        <v>OK</v>
      </c>
      <c r="AA40" s="116">
        <f t="shared" si="22"/>
        <v>1.5615941090588099</v>
      </c>
    </row>
    <row r="41" spans="1:27" ht="12" customHeight="1" x14ac:dyDescent="0.45">
      <c r="A41" s="109">
        <v>23</v>
      </c>
      <c r="B41" s="109" t="s">
        <v>225</v>
      </c>
      <c r="C41" s="117" t="s">
        <v>224</v>
      </c>
      <c r="D41" s="110"/>
      <c r="E41" s="111">
        <v>7</v>
      </c>
      <c r="F41" s="112">
        <v>0</v>
      </c>
      <c r="G41" s="112">
        <v>0</v>
      </c>
      <c r="H41" s="112">
        <v>0</v>
      </c>
      <c r="I41" s="112">
        <f t="shared" si="7"/>
        <v>67.835364999999996</v>
      </c>
      <c r="J41" s="112">
        <v>0</v>
      </c>
      <c r="K41" s="113">
        <f t="shared" ref="K41:K55" si="24">I41*$F$19+J41*$F$18</f>
        <v>74.618901500000007</v>
      </c>
      <c r="L41" s="113" cm="1">
        <f t="array" ref="L41">Profile_SM(C41,O41*1000,12)/10^3</f>
        <v>926.93146753714063</v>
      </c>
      <c r="M41" s="113" cm="1">
        <f t="array" ref="M41">Profile_ShearArea(C41,O41,12)</f>
        <v>4200</v>
      </c>
      <c r="N41" s="111">
        <v>4</v>
      </c>
      <c r="O41" s="111">
        <v>0.75</v>
      </c>
      <c r="P41" s="112">
        <v>1</v>
      </c>
      <c r="Q41" s="112">
        <v>355</v>
      </c>
      <c r="R41" s="142">
        <f t="shared" si="15"/>
        <v>166.72900347564453</v>
      </c>
      <c r="S41" s="112">
        <v>0</v>
      </c>
      <c r="T41" s="112">
        <v>41.978815330000003</v>
      </c>
      <c r="U41" s="112">
        <f t="shared" ref="U41:U43" si="25">SQRT(R41^2+S41^2-R41*S41+3*T41^2)</f>
        <v>181.89343970993627</v>
      </c>
      <c r="V41" s="113">
        <f t="shared" si="17"/>
        <v>140.83383301733642</v>
      </c>
      <c r="W41" s="113">
        <f t="shared" si="23"/>
        <v>159.43829962018958</v>
      </c>
      <c r="X41" s="113">
        <f t="shared" si="19"/>
        <v>529.83647395874357</v>
      </c>
      <c r="Y41" s="113">
        <f t="shared" si="20"/>
        <v>702.01672067899165</v>
      </c>
      <c r="Z41" s="115" t="str">
        <f t="shared" si="21"/>
        <v>OK</v>
      </c>
      <c r="AA41" s="116">
        <f t="shared" si="22"/>
        <v>1.7494670772879208</v>
      </c>
    </row>
    <row r="42" spans="1:27" ht="12" customHeight="1" x14ac:dyDescent="0.45">
      <c r="A42" s="109">
        <v>24</v>
      </c>
      <c r="B42" s="109" t="s">
        <v>226</v>
      </c>
      <c r="C42" s="117" t="s">
        <v>224</v>
      </c>
      <c r="D42" s="110"/>
      <c r="E42" s="111">
        <v>7</v>
      </c>
      <c r="F42" s="112">
        <v>0</v>
      </c>
      <c r="G42" s="112">
        <v>0</v>
      </c>
      <c r="H42" s="112">
        <v>0</v>
      </c>
      <c r="I42" s="112">
        <f t="shared" si="7"/>
        <v>67.835364999999996</v>
      </c>
      <c r="J42" s="112">
        <v>0</v>
      </c>
      <c r="K42" s="113">
        <f t="shared" si="24"/>
        <v>74.618901500000007</v>
      </c>
      <c r="L42" s="113" cm="1">
        <f t="array" ref="L42">Profile_SM(C42,O42*1000,12)/10^3</f>
        <v>926.93146753714063</v>
      </c>
      <c r="M42" s="113" cm="1">
        <f t="array" ref="M42">Profile_ShearArea(C42,O42,12)</f>
        <v>4200</v>
      </c>
      <c r="N42" s="111">
        <v>4</v>
      </c>
      <c r="O42" s="111">
        <v>0.75</v>
      </c>
      <c r="P42" s="112">
        <v>1</v>
      </c>
      <c r="Q42" s="112">
        <v>355</v>
      </c>
      <c r="R42" s="142">
        <f t="shared" si="15"/>
        <v>166.72900347564453</v>
      </c>
      <c r="S42" s="112">
        <v>0</v>
      </c>
      <c r="T42" s="112">
        <v>23.35703874</v>
      </c>
      <c r="U42" s="112">
        <f t="shared" si="25"/>
        <v>171.56693847034478</v>
      </c>
      <c r="V42" s="113">
        <f t="shared" si="17"/>
        <v>151.16033425692791</v>
      </c>
      <c r="W42" s="113">
        <f t="shared" si="23"/>
        <v>159.43829962018958</v>
      </c>
      <c r="X42" s="113">
        <f t="shared" si="19"/>
        <v>493.64075481051742</v>
      </c>
      <c r="Y42" s="113">
        <f t="shared" si="20"/>
        <v>702.01672067899165</v>
      </c>
      <c r="Z42" s="115" t="str">
        <f t="shared" si="21"/>
        <v>OK</v>
      </c>
      <c r="AA42" s="116">
        <f t="shared" si="22"/>
        <v>1.8777450170072376</v>
      </c>
    </row>
    <row r="43" spans="1:27" ht="12" customHeight="1" x14ac:dyDescent="0.45">
      <c r="A43" s="109">
        <v>25</v>
      </c>
      <c r="B43" s="109" t="s">
        <v>227</v>
      </c>
      <c r="C43" s="117" t="s">
        <v>224</v>
      </c>
      <c r="D43" s="110"/>
      <c r="E43" s="111">
        <v>7</v>
      </c>
      <c r="F43" s="112">
        <v>0</v>
      </c>
      <c r="G43" s="112">
        <v>0</v>
      </c>
      <c r="H43" s="112">
        <v>0</v>
      </c>
      <c r="I43" s="112">
        <f t="shared" si="7"/>
        <v>67.835364999999996</v>
      </c>
      <c r="J43" s="112">
        <v>0</v>
      </c>
      <c r="K43" s="113">
        <f t="shared" si="24"/>
        <v>74.618901500000007</v>
      </c>
      <c r="L43" s="113" cm="1">
        <f t="array" ref="L43">Profile_SM(C43,O43*1000,12)/10^3</f>
        <v>926.93146753714063</v>
      </c>
      <c r="M43" s="113" cm="1">
        <f t="array" ref="M43">Profile_ShearArea(C43,O43,12)</f>
        <v>4200</v>
      </c>
      <c r="N43" s="111">
        <v>4</v>
      </c>
      <c r="O43" s="111">
        <v>0.75</v>
      </c>
      <c r="P43" s="112">
        <v>1</v>
      </c>
      <c r="Q43" s="112">
        <v>355</v>
      </c>
      <c r="R43" s="142">
        <f t="shared" si="15"/>
        <v>166.72900347564453</v>
      </c>
      <c r="S43" s="112">
        <v>0</v>
      </c>
      <c r="T43" s="112">
        <v>4.7352621560000001</v>
      </c>
      <c r="U43" s="112">
        <f t="shared" si="25"/>
        <v>166.93061050340535</v>
      </c>
      <c r="V43" s="113">
        <f t="shared" si="17"/>
        <v>155.79666222386734</v>
      </c>
      <c r="W43" s="113">
        <f t="shared" si="23"/>
        <v>159.43829962018958</v>
      </c>
      <c r="X43" s="113">
        <f t="shared" si="19"/>
        <v>478.95057849685259</v>
      </c>
      <c r="Y43" s="113">
        <f t="shared" si="20"/>
        <v>702.01672067899165</v>
      </c>
      <c r="Z43" s="115" t="str">
        <f t="shared" si="21"/>
        <v>OK</v>
      </c>
      <c r="AA43" s="116">
        <f t="shared" si="22"/>
        <v>1.9353384444095247</v>
      </c>
    </row>
    <row r="44" spans="1:27" ht="12" customHeight="1" x14ac:dyDescent="0.45">
      <c r="A44" s="109">
        <v>26</v>
      </c>
      <c r="B44" s="109" t="s">
        <v>228</v>
      </c>
      <c r="C44" s="117" t="s">
        <v>224</v>
      </c>
      <c r="D44" s="110"/>
      <c r="E44" s="111">
        <v>7</v>
      </c>
      <c r="F44" s="112">
        <v>0</v>
      </c>
      <c r="G44" s="112">
        <v>0</v>
      </c>
      <c r="H44" s="112">
        <v>0</v>
      </c>
      <c r="I44" s="112">
        <f t="shared" si="7"/>
        <v>67.835364999999996</v>
      </c>
      <c r="J44" s="112">
        <v>0</v>
      </c>
      <c r="K44" s="113">
        <f t="shared" si="24"/>
        <v>74.618901500000007</v>
      </c>
      <c r="L44" s="113" cm="1">
        <f t="array" ref="L44">Profile_SM(C44,O44*1000,12)/10^3</f>
        <v>926.93146753714063</v>
      </c>
      <c r="M44" s="113" cm="1">
        <f t="array" ref="M44">Profile_ShearArea(C44,O44,12)</f>
        <v>4200</v>
      </c>
      <c r="N44" s="111">
        <v>4</v>
      </c>
      <c r="O44" s="111">
        <v>0.75</v>
      </c>
      <c r="P44" s="112">
        <v>1</v>
      </c>
      <c r="Q44" s="112">
        <v>355</v>
      </c>
      <c r="R44" s="142">
        <f t="shared" si="15"/>
        <v>166.72900347564453</v>
      </c>
      <c r="S44" s="112">
        <v>0</v>
      </c>
      <c r="T44" s="112">
        <v>19.671781630000002</v>
      </c>
      <c r="U44" s="112">
        <f>SQRT(R44^2+S44^2-R44*S44+3*T44^2)</f>
        <v>170.17490290132886</v>
      </c>
      <c r="V44" s="113">
        <f>(Q44/$F$7-U44)</f>
        <v>152.55236982594383</v>
      </c>
      <c r="W44" s="113">
        <f t="shared" si="23"/>
        <v>159.43829962018958</v>
      </c>
      <c r="X44" s="113">
        <f t="shared" si="19"/>
        <v>489.13629847335187</v>
      </c>
      <c r="Y44" s="113">
        <f t="shared" si="20"/>
        <v>702.01672067899165</v>
      </c>
      <c r="Z44" s="115" t="str">
        <f t="shared" si="21"/>
        <v>OK</v>
      </c>
      <c r="AA44" s="116">
        <f t="shared" si="22"/>
        <v>1.8950371715004501</v>
      </c>
    </row>
    <row r="45" spans="1:27" ht="12" customHeight="1" x14ac:dyDescent="0.45">
      <c r="A45" s="109">
        <v>27</v>
      </c>
      <c r="B45" s="109" t="s">
        <v>229</v>
      </c>
      <c r="C45" s="117" t="s">
        <v>224</v>
      </c>
      <c r="D45" s="110"/>
      <c r="E45" s="111">
        <v>7</v>
      </c>
      <c r="F45" s="112">
        <v>0</v>
      </c>
      <c r="G45" s="112">
        <v>0</v>
      </c>
      <c r="H45" s="112">
        <v>0</v>
      </c>
      <c r="I45" s="112">
        <f t="shared" si="7"/>
        <v>67.835364999999996</v>
      </c>
      <c r="J45" s="112">
        <v>0</v>
      </c>
      <c r="K45" s="113">
        <f t="shared" si="24"/>
        <v>74.618901500000007</v>
      </c>
      <c r="L45" s="113" cm="1">
        <f t="array" ref="L45">Profile_SM(C45,O45*1000,12)/10^3</f>
        <v>926.93146753714063</v>
      </c>
      <c r="M45" s="113" cm="1">
        <f t="array" ref="M45">Profile_ShearArea(C45,O45,12)</f>
        <v>4200</v>
      </c>
      <c r="N45" s="111">
        <v>4</v>
      </c>
      <c r="O45" s="111">
        <v>0.75</v>
      </c>
      <c r="P45" s="112">
        <v>1</v>
      </c>
      <c r="Q45" s="112">
        <v>355</v>
      </c>
      <c r="R45" s="142">
        <f t="shared" si="15"/>
        <v>166.72900347564453</v>
      </c>
      <c r="S45" s="112">
        <v>0</v>
      </c>
      <c r="T45" s="112">
        <v>38.293558220000001</v>
      </c>
      <c r="U45" s="112">
        <f>SQRT(R45^2+S45^2)</f>
        <v>166.72900347564453</v>
      </c>
      <c r="V45" s="113">
        <f t="shared" ref="V45:V52" si="26">(Q45/$F$7-U45)</f>
        <v>155.99826925162816</v>
      </c>
      <c r="W45" s="113">
        <f t="shared" si="23"/>
        <v>159.43829962018958</v>
      </c>
      <c r="X45" s="113">
        <f t="shared" si="19"/>
        <v>478.33159853612415</v>
      </c>
      <c r="Y45" s="113">
        <f t="shared" si="20"/>
        <v>702.01672067899165</v>
      </c>
      <c r="Z45" s="115" t="str">
        <f t="shared" si="21"/>
        <v>OK</v>
      </c>
      <c r="AA45" s="116">
        <f t="shared" si="22"/>
        <v>1.9378428487139507</v>
      </c>
    </row>
    <row r="46" spans="1:27" ht="12" customHeight="1" x14ac:dyDescent="0.45">
      <c r="A46" s="109">
        <v>28</v>
      </c>
      <c r="B46" s="109" t="s">
        <v>230</v>
      </c>
      <c r="C46" s="117" t="s">
        <v>224</v>
      </c>
      <c r="D46" s="110"/>
      <c r="E46" s="111">
        <v>7</v>
      </c>
      <c r="F46" s="112">
        <v>0</v>
      </c>
      <c r="G46" s="112">
        <v>0</v>
      </c>
      <c r="H46" s="112">
        <v>0</v>
      </c>
      <c r="I46" s="112">
        <f t="shared" si="7"/>
        <v>67.835364999999996</v>
      </c>
      <c r="J46" s="112">
        <v>0</v>
      </c>
      <c r="K46" s="113">
        <f t="shared" si="24"/>
        <v>74.618901500000007</v>
      </c>
      <c r="L46" s="113" cm="1">
        <f t="array" ref="L46">Profile_SM(C46,O46*1000,12)/10^3</f>
        <v>926.93146753714063</v>
      </c>
      <c r="M46" s="113" cm="1">
        <f t="array" ref="M46">Profile_ShearArea(C46,O46,12)</f>
        <v>4200</v>
      </c>
      <c r="N46" s="111">
        <v>4</v>
      </c>
      <c r="O46" s="111">
        <v>0.75</v>
      </c>
      <c r="P46" s="112">
        <v>1</v>
      </c>
      <c r="Q46" s="112">
        <v>355</v>
      </c>
      <c r="R46" s="142">
        <f>$M$11/ABS(($M$12/(E46-$M$13)))/1000</f>
        <v>166.72900347564453</v>
      </c>
      <c r="S46" s="112">
        <v>0</v>
      </c>
      <c r="T46" s="112">
        <v>56.915334799999997</v>
      </c>
      <c r="U46" s="112">
        <f>SQRT(R46^2+S46^2)</f>
        <v>166.72900347564453</v>
      </c>
      <c r="V46" s="113">
        <f t="shared" si="26"/>
        <v>155.99826925162816</v>
      </c>
      <c r="W46" s="113">
        <f t="shared" si="23"/>
        <v>159.43829962018958</v>
      </c>
      <c r="X46" s="113">
        <f t="shared" si="19"/>
        <v>478.33159853612415</v>
      </c>
      <c r="Y46" s="113">
        <f t="shared" si="20"/>
        <v>702.01672067899165</v>
      </c>
      <c r="Z46" s="115" t="str">
        <f t="shared" si="21"/>
        <v>OK</v>
      </c>
      <c r="AA46" s="116">
        <f t="shared" si="22"/>
        <v>1.9378428487139507</v>
      </c>
    </row>
    <row r="47" spans="1:27" ht="12" customHeight="1" x14ac:dyDescent="0.45">
      <c r="A47" s="118">
        <v>29</v>
      </c>
      <c r="B47" s="118" t="s">
        <v>231</v>
      </c>
      <c r="C47" s="119" t="s">
        <v>252</v>
      </c>
      <c r="D47" s="119"/>
      <c r="E47" s="120">
        <v>0.7</v>
      </c>
      <c r="F47" s="121">
        <v>0</v>
      </c>
      <c r="G47" s="121">
        <v>0</v>
      </c>
      <c r="H47" s="121">
        <v>0</v>
      </c>
      <c r="I47" s="121">
        <f t="shared" si="7"/>
        <v>131.18343999999999</v>
      </c>
      <c r="J47" s="121">
        <v>0</v>
      </c>
      <c r="K47" s="122">
        <f t="shared" si="24"/>
        <v>144.301784</v>
      </c>
      <c r="L47" s="122" cm="1">
        <f t="array" ref="L47">Profile_SM(C47,O47*1000,12)/10^3</f>
        <v>658.37622081916322</v>
      </c>
      <c r="M47" s="122" cm="1">
        <f t="array" ref="M47">Profile_ShearArea(C47,O47,12)</f>
        <v>3300</v>
      </c>
      <c r="N47" s="120">
        <v>2</v>
      </c>
      <c r="O47" s="120">
        <v>0.7</v>
      </c>
      <c r="P47" s="121">
        <v>1</v>
      </c>
      <c r="Q47" s="121">
        <v>355</v>
      </c>
      <c r="R47" s="143">
        <f>$M$11/ABS(($M$12/(E47-$M$13)))/1000</f>
        <v>149.46386885926233</v>
      </c>
      <c r="S47" s="121">
        <v>0</v>
      </c>
      <c r="T47" s="121">
        <v>123.6853545</v>
      </c>
      <c r="U47" s="121">
        <f t="shared" ref="U47:U52" si="27">SQRT(R47^2+S47^2-R47*S47+3*T47^2)</f>
        <v>261.21571324817114</v>
      </c>
      <c r="V47" s="122">
        <f t="shared" si="26"/>
        <v>61.51155947910155</v>
      </c>
      <c r="W47" s="122">
        <f t="shared" ref="W47:W52" si="28">0.577*SQRT((Q47/$F$7)^2-R47^2)</f>
        <v>165.03959601609293</v>
      </c>
      <c r="X47" s="122">
        <f t="shared" si="19"/>
        <v>547.38355768895974</v>
      </c>
      <c r="Y47" s="122">
        <f t="shared" si="20"/>
        <v>612.04251124166854</v>
      </c>
      <c r="Z47" s="124" t="str">
        <f t="shared" si="21"/>
        <v>OK</v>
      </c>
      <c r="AA47" s="125">
        <f t="shared" si="22"/>
        <v>1.2027694503627617</v>
      </c>
    </row>
    <row r="48" spans="1:27" ht="12" customHeight="1" x14ac:dyDescent="0.45">
      <c r="A48" s="118">
        <v>30</v>
      </c>
      <c r="B48" s="118" t="s">
        <v>233</v>
      </c>
      <c r="C48" s="119" t="s">
        <v>252</v>
      </c>
      <c r="D48" s="119"/>
      <c r="E48" s="120">
        <f>E47+0.7</f>
        <v>1.4</v>
      </c>
      <c r="F48" s="121">
        <v>0</v>
      </c>
      <c r="G48" s="121">
        <v>0</v>
      </c>
      <c r="H48" s="121">
        <v>0</v>
      </c>
      <c r="I48" s="121">
        <f t="shared" si="7"/>
        <v>124.14476499999999</v>
      </c>
      <c r="J48" s="121">
        <v>0</v>
      </c>
      <c r="K48" s="122">
        <f t="shared" si="24"/>
        <v>136.55924150000001</v>
      </c>
      <c r="L48" s="122" cm="1">
        <f t="array" ref="L48">Profile_SM(C48,O48*1000,12)/10^3</f>
        <v>658.37622081916322</v>
      </c>
      <c r="M48" s="122" cm="1">
        <f t="array" ref="M48">Profile_ShearArea(C48,O48,12)</f>
        <v>3300</v>
      </c>
      <c r="N48" s="120">
        <v>2</v>
      </c>
      <c r="O48" s="120">
        <v>0.7</v>
      </c>
      <c r="P48" s="121">
        <v>1</v>
      </c>
      <c r="Q48" s="121">
        <v>355</v>
      </c>
      <c r="R48" s="143">
        <f t="shared" si="15"/>
        <v>114.33132748871712</v>
      </c>
      <c r="S48" s="121">
        <v>0</v>
      </c>
      <c r="T48" s="121">
        <v>133.23035730000001</v>
      </c>
      <c r="U48" s="121">
        <f t="shared" si="27"/>
        <v>257.53181699391877</v>
      </c>
      <c r="V48" s="122">
        <f t="shared" si="26"/>
        <v>65.195455733353924</v>
      </c>
      <c r="W48" s="122">
        <f t="shared" si="28"/>
        <v>174.13668823885604</v>
      </c>
      <c r="X48" s="122">
        <f t="shared" si="19"/>
        <v>488.74300606146647</v>
      </c>
      <c r="Y48" s="122">
        <f t="shared" si="20"/>
        <v>548.94502713225586</v>
      </c>
      <c r="Z48" s="124" t="str">
        <f t="shared" si="21"/>
        <v>OK</v>
      </c>
      <c r="AA48" s="125">
        <f t="shared" si="22"/>
        <v>1.3470805978886231</v>
      </c>
    </row>
    <row r="49" spans="1:27" ht="12" customHeight="1" x14ac:dyDescent="0.45">
      <c r="A49" s="118">
        <v>31</v>
      </c>
      <c r="B49" s="118" t="s">
        <v>234</v>
      </c>
      <c r="C49" s="119" t="s">
        <v>207</v>
      </c>
      <c r="D49" s="119"/>
      <c r="E49" s="120">
        <f t="shared" ref="E49:E54" si="29">E48+0.7</f>
        <v>2.0999999999999996</v>
      </c>
      <c r="F49" s="121">
        <v>0</v>
      </c>
      <c r="G49" s="121">
        <v>0</v>
      </c>
      <c r="H49" s="121">
        <v>0</v>
      </c>
      <c r="I49" s="121">
        <f t="shared" si="7"/>
        <v>117.10608999999999</v>
      </c>
      <c r="J49" s="121">
        <v>0</v>
      </c>
      <c r="K49" s="122">
        <f t="shared" si="24"/>
        <v>128.816699</v>
      </c>
      <c r="L49" s="122" cm="1">
        <f t="array" ref="L49">Profile_SM(C49,O49*1000,12)/10^3</f>
        <v>482.64811540310143</v>
      </c>
      <c r="M49" s="122" cm="1">
        <f t="array" ref="M49">Profile_ShearArea(C49,O49,12)</f>
        <v>2500</v>
      </c>
      <c r="N49" s="120">
        <v>2</v>
      </c>
      <c r="O49" s="120">
        <v>0.7</v>
      </c>
      <c r="P49" s="121">
        <v>1</v>
      </c>
      <c r="Q49" s="121">
        <v>355</v>
      </c>
      <c r="R49" s="143">
        <f t="shared" si="15"/>
        <v>79.198786118171938</v>
      </c>
      <c r="S49" s="121">
        <v>0</v>
      </c>
      <c r="T49" s="121">
        <v>140.24291940000001</v>
      </c>
      <c r="U49" s="121">
        <f t="shared" si="27"/>
        <v>255.49300782623513</v>
      </c>
      <c r="V49" s="122">
        <f t="shared" si="26"/>
        <v>67.234264901037562</v>
      </c>
      <c r="W49" s="122">
        <f t="shared" si="28"/>
        <v>180.51935801994691</v>
      </c>
      <c r="X49" s="122">
        <f t="shared" si="19"/>
        <v>447.05225543713527</v>
      </c>
      <c r="Y49" s="122">
        <f t="shared" si="20"/>
        <v>499.51257465715264</v>
      </c>
      <c r="Z49" s="124" t="str">
        <f t="shared" si="21"/>
        <v>OK</v>
      </c>
      <c r="AA49" s="125">
        <f t="shared" si="22"/>
        <v>1.0796234881561215</v>
      </c>
    </row>
    <row r="50" spans="1:27" ht="12" customHeight="1" x14ac:dyDescent="0.45">
      <c r="A50" s="118">
        <v>32</v>
      </c>
      <c r="B50" s="118" t="s">
        <v>235</v>
      </c>
      <c r="C50" s="119" t="s">
        <v>207</v>
      </c>
      <c r="D50" s="119"/>
      <c r="E50" s="120">
        <f t="shared" si="29"/>
        <v>2.8</v>
      </c>
      <c r="F50" s="121">
        <v>0</v>
      </c>
      <c r="G50" s="121">
        <v>0</v>
      </c>
      <c r="H50" s="121">
        <v>0</v>
      </c>
      <c r="I50" s="121">
        <f t="shared" si="7"/>
        <v>110.067415</v>
      </c>
      <c r="J50" s="121">
        <v>0</v>
      </c>
      <c r="K50" s="122">
        <f t="shared" si="24"/>
        <v>121.0741565</v>
      </c>
      <c r="L50" s="122" cm="1">
        <f t="array" ref="L50">Profile_SM(C50,O50*1000,12)/10^3</f>
        <v>482.64811540310143</v>
      </c>
      <c r="M50" s="122" cm="1">
        <f t="array" ref="M50">Profile_ShearArea(C50,O50,12)</f>
        <v>2500</v>
      </c>
      <c r="N50" s="120">
        <v>2</v>
      </c>
      <c r="O50" s="120">
        <v>0.7</v>
      </c>
      <c r="P50" s="121">
        <v>1</v>
      </c>
      <c r="Q50" s="121">
        <v>355</v>
      </c>
      <c r="R50" s="143">
        <f t="shared" si="15"/>
        <v>44.066244747626712</v>
      </c>
      <c r="S50" s="121">
        <v>0</v>
      </c>
      <c r="T50" s="121">
        <v>144.72304080000001</v>
      </c>
      <c r="U50" s="121">
        <f t="shared" si="27"/>
        <v>254.51151160871513</v>
      </c>
      <c r="V50" s="122">
        <f t="shared" si="26"/>
        <v>68.215761118557566</v>
      </c>
      <c r="W50" s="122">
        <f t="shared" si="28"/>
        <v>184.46957890277412</v>
      </c>
      <c r="X50" s="122">
        <f t="shared" si="19"/>
        <v>414.13649944574615</v>
      </c>
      <c r="Y50" s="122">
        <f t="shared" si="20"/>
        <v>459.43569695396246</v>
      </c>
      <c r="Z50" s="124" t="str">
        <f t="shared" si="21"/>
        <v>OK</v>
      </c>
      <c r="AA50" s="125">
        <f t="shared" si="22"/>
        <v>1.1654324505303126</v>
      </c>
    </row>
    <row r="51" spans="1:27" ht="12" customHeight="1" x14ac:dyDescent="0.45">
      <c r="A51" s="118">
        <v>33</v>
      </c>
      <c r="B51" s="118" t="s">
        <v>237</v>
      </c>
      <c r="C51" s="119" t="s">
        <v>207</v>
      </c>
      <c r="D51" s="119"/>
      <c r="E51" s="120">
        <f t="shared" si="29"/>
        <v>3.5</v>
      </c>
      <c r="F51" s="121">
        <v>0</v>
      </c>
      <c r="G51" s="121">
        <v>0</v>
      </c>
      <c r="H51" s="121">
        <v>0</v>
      </c>
      <c r="I51" s="121">
        <f t="shared" si="7"/>
        <v>103.02873999999998</v>
      </c>
      <c r="J51" s="121">
        <v>0</v>
      </c>
      <c r="K51" s="122">
        <f t="shared" si="24"/>
        <v>113.33161399999999</v>
      </c>
      <c r="L51" s="122" cm="1">
        <f t="array" ref="L51">Profile_SM(C51,O51*1000,12)/10^3</f>
        <v>482.64811540310143</v>
      </c>
      <c r="M51" s="122" cm="1">
        <f t="array" ref="M51">Profile_ShearArea(C51,O51,12)</f>
        <v>2500</v>
      </c>
      <c r="N51" s="120">
        <v>2</v>
      </c>
      <c r="O51" s="120">
        <v>0.7</v>
      </c>
      <c r="P51" s="121">
        <v>1</v>
      </c>
      <c r="Q51" s="121">
        <v>355</v>
      </c>
      <c r="R51" s="143">
        <f t="shared" si="15"/>
        <v>8.9337033770814926</v>
      </c>
      <c r="S51" s="121">
        <v>0</v>
      </c>
      <c r="T51" s="121">
        <v>146.67072139999999</v>
      </c>
      <c r="U51" s="121">
        <f t="shared" si="27"/>
        <v>254.19817584715065</v>
      </c>
      <c r="V51" s="122">
        <f t="shared" si="26"/>
        <v>68.52909688012204</v>
      </c>
      <c r="W51" s="122">
        <f t="shared" si="28"/>
        <v>186.14227610270504</v>
      </c>
      <c r="X51" s="122">
        <f t="shared" si="19"/>
        <v>385.88051602263539</v>
      </c>
      <c r="Y51" s="122">
        <f t="shared" si="20"/>
        <v>426.19082274586589</v>
      </c>
      <c r="Z51" s="124" t="str">
        <f t="shared" si="21"/>
        <v>OK</v>
      </c>
      <c r="AA51" s="125">
        <f t="shared" si="22"/>
        <v>1.2507708872629106</v>
      </c>
    </row>
    <row r="52" spans="1:27" ht="12" customHeight="1" x14ac:dyDescent="0.45">
      <c r="A52" s="118">
        <v>34</v>
      </c>
      <c r="B52" s="118" t="s">
        <v>239</v>
      </c>
      <c r="C52" s="119" t="s">
        <v>207</v>
      </c>
      <c r="D52" s="119"/>
      <c r="E52" s="120">
        <f t="shared" si="29"/>
        <v>4.2</v>
      </c>
      <c r="F52" s="121">
        <v>0</v>
      </c>
      <c r="G52" s="121">
        <v>0</v>
      </c>
      <c r="H52" s="121">
        <v>0</v>
      </c>
      <c r="I52" s="121">
        <f t="shared" si="7"/>
        <v>95.990064999999987</v>
      </c>
      <c r="J52" s="121">
        <v>0</v>
      </c>
      <c r="K52" s="122">
        <f t="shared" si="24"/>
        <v>105.58907149999999</v>
      </c>
      <c r="L52" s="122" cm="1">
        <f t="array" ref="L52">Profile_SM(C52,O52*1000,12)/10^3</f>
        <v>482.64811540310143</v>
      </c>
      <c r="M52" s="122" cm="1">
        <f t="array" ref="M52">Profile_ShearArea(C52,O52,12)</f>
        <v>2500</v>
      </c>
      <c r="N52" s="120">
        <v>2</v>
      </c>
      <c r="O52" s="120">
        <v>0.7</v>
      </c>
      <c r="P52" s="121">
        <v>1</v>
      </c>
      <c r="Q52" s="121">
        <v>355</v>
      </c>
      <c r="R52" s="143">
        <f t="shared" si="15"/>
        <v>26.198837993463727</v>
      </c>
      <c r="S52" s="121">
        <v>0</v>
      </c>
      <c r="T52" s="121">
        <v>146.0859614</v>
      </c>
      <c r="U52" s="121">
        <f t="shared" si="27"/>
        <v>254.38102025641504</v>
      </c>
      <c r="V52" s="122">
        <f t="shared" si="26"/>
        <v>68.34625247085765</v>
      </c>
      <c r="W52" s="122">
        <f t="shared" si="28"/>
        <v>185.59903786474857</v>
      </c>
      <c r="X52" s="122">
        <f t="shared" si="19"/>
        <v>360.4798964972058</v>
      </c>
      <c r="Y52" s="122">
        <f t="shared" si="20"/>
        <v>398.23670909254423</v>
      </c>
      <c r="Z52" s="124" t="str">
        <f t="shared" si="21"/>
        <v>OK</v>
      </c>
      <c r="AA52" s="125">
        <f t="shared" si="22"/>
        <v>1.3389043885470673</v>
      </c>
    </row>
    <row r="53" spans="1:27" ht="12" customHeight="1" x14ac:dyDescent="0.45">
      <c r="A53" s="118">
        <v>35</v>
      </c>
      <c r="B53" s="118" t="s">
        <v>240</v>
      </c>
      <c r="C53" s="119" t="s">
        <v>214</v>
      </c>
      <c r="D53" s="119"/>
      <c r="E53" s="120">
        <f t="shared" si="29"/>
        <v>4.9000000000000004</v>
      </c>
      <c r="F53" s="121">
        <v>0</v>
      </c>
      <c r="G53" s="121">
        <v>0</v>
      </c>
      <c r="H53" s="121">
        <v>0</v>
      </c>
      <c r="I53" s="121">
        <f t="shared" si="7"/>
        <v>88.951389999999989</v>
      </c>
      <c r="J53" s="121">
        <v>0</v>
      </c>
      <c r="K53" s="122">
        <f t="shared" si="24"/>
        <v>97.84652899999999</v>
      </c>
      <c r="L53" s="122"/>
      <c r="M53" s="122"/>
      <c r="N53" s="120"/>
      <c r="O53" s="120"/>
      <c r="P53" s="121"/>
      <c r="Q53" s="121"/>
      <c r="R53" s="143"/>
      <c r="S53" s="121"/>
      <c r="T53" s="121">
        <v>142.9687606</v>
      </c>
      <c r="U53" s="121"/>
      <c r="V53" s="122"/>
      <c r="W53" s="122"/>
      <c r="X53" s="122"/>
      <c r="Y53" s="122"/>
      <c r="Z53" s="124"/>
      <c r="AA53" s="125"/>
    </row>
    <row r="54" spans="1:27" ht="12" customHeight="1" x14ac:dyDescent="0.45">
      <c r="A54" s="118">
        <v>36</v>
      </c>
      <c r="B54" s="118" t="s">
        <v>241</v>
      </c>
      <c r="C54" s="119" t="s">
        <v>249</v>
      </c>
      <c r="D54" s="119"/>
      <c r="E54" s="120">
        <f t="shared" si="29"/>
        <v>5.6000000000000005</v>
      </c>
      <c r="F54" s="121">
        <v>0</v>
      </c>
      <c r="G54" s="121">
        <v>0</v>
      </c>
      <c r="H54" s="121">
        <v>0</v>
      </c>
      <c r="I54" s="121">
        <f t="shared" si="7"/>
        <v>81.912714999999992</v>
      </c>
      <c r="J54" s="121">
        <v>0</v>
      </c>
      <c r="K54" s="122">
        <f t="shared" si="24"/>
        <v>90.103986500000005</v>
      </c>
      <c r="L54" s="122" cm="1">
        <f t="array" ref="L54">Profile_SM(C54,O54*1000,12)/10^3</f>
        <v>1173.9558953306662</v>
      </c>
      <c r="M54" s="122" cm="1">
        <f t="array" ref="M54">Profile_ShearArea(C54,O54,12)</f>
        <v>5200</v>
      </c>
      <c r="N54" s="120">
        <v>4</v>
      </c>
      <c r="O54" s="120">
        <v>0.7</v>
      </c>
      <c r="P54" s="121">
        <v>1</v>
      </c>
      <c r="Q54" s="121">
        <v>355</v>
      </c>
      <c r="R54" s="143">
        <f t="shared" ref="R54:R55" si="30">$M$11/ABS(($M$12/(E54-$M$13)))/1000</f>
        <v>96.463920734554165</v>
      </c>
      <c r="S54" s="121">
        <v>0</v>
      </c>
      <c r="T54" s="121">
        <v>132.3595914</v>
      </c>
      <c r="U54" s="121">
        <f t="shared" ref="U54:U55" si="31">SQRT(R54^2+S54^2-R54*S54+3*T54^2)</f>
        <v>248.72167639795128</v>
      </c>
      <c r="V54" s="122">
        <f t="shared" ref="V54:V55" si="32">(Q54/$F$7-U54)</f>
        <v>74.005596329321406</v>
      </c>
      <c r="W54" s="122">
        <f t="shared" ref="W54:W55" si="33">0.577*SQRT((Q54/$F$7)^2-R54^2)</f>
        <v>177.7006419179661</v>
      </c>
      <c r="X54" s="122">
        <f>N54^2*O54*K54*1000000/($F$8*V54*P54)/10^3</f>
        <v>1136.3607380776821</v>
      </c>
      <c r="Y54" s="122">
        <f>N54*O54*K54*1000/(2*W54)</f>
        <v>709.87690161656235</v>
      </c>
      <c r="Z54" s="124" t="str">
        <f>IF(AND(L54&gt;=X54,M54&gt;=Y54),"OK","N.G")</f>
        <v>OK</v>
      </c>
      <c r="AA54" s="125">
        <f>L54/X54</f>
        <v>1.0330838227626393</v>
      </c>
    </row>
    <row r="55" spans="1:27" ht="12" customHeight="1" x14ac:dyDescent="0.45">
      <c r="A55" s="118">
        <v>37</v>
      </c>
      <c r="B55" s="118" t="s">
        <v>242</v>
      </c>
      <c r="C55" s="119" t="s">
        <v>249</v>
      </c>
      <c r="D55" s="119"/>
      <c r="E55" s="120">
        <v>6.3</v>
      </c>
      <c r="F55" s="121">
        <v>0</v>
      </c>
      <c r="G55" s="121">
        <v>0</v>
      </c>
      <c r="H55" s="121">
        <v>0</v>
      </c>
      <c r="I55" s="121">
        <f t="shared" si="7"/>
        <v>74.874039999999994</v>
      </c>
      <c r="J55" s="121">
        <v>0</v>
      </c>
      <c r="K55" s="122">
        <f t="shared" si="24"/>
        <v>82.361444000000006</v>
      </c>
      <c r="L55" s="122" cm="1">
        <f t="array" ref="L55">Profile_SM(C55,O55*1000,12)/10^3</f>
        <v>1173.9558953306662</v>
      </c>
      <c r="M55" s="122" cm="1">
        <f t="array" ref="M55">Profile_ShearArea(C55,O55,12)</f>
        <v>5200</v>
      </c>
      <c r="N55" s="120">
        <v>4</v>
      </c>
      <c r="O55" s="120">
        <v>0.7</v>
      </c>
      <c r="P55" s="121">
        <v>1</v>
      </c>
      <c r="Q55" s="121">
        <v>355</v>
      </c>
      <c r="R55" s="143">
        <f t="shared" si="30"/>
        <v>131.59646210509931</v>
      </c>
      <c r="S55" s="121">
        <v>0</v>
      </c>
      <c r="T55" s="121">
        <v>124.1775092</v>
      </c>
      <c r="U55" s="121">
        <f t="shared" si="31"/>
        <v>252.14636664431055</v>
      </c>
      <c r="V55" s="122">
        <f t="shared" si="32"/>
        <v>70.580906082962144</v>
      </c>
      <c r="W55" s="122">
        <f t="shared" si="33"/>
        <v>170.02934310338722</v>
      </c>
      <c r="X55" s="122">
        <f>N55^2*O55*K55*1000000/($F$8*V55*P55)/10^3</f>
        <v>1089.1143983942541</v>
      </c>
      <c r="Y55" s="122">
        <f>N55*O55*K55*1000/(2*W55)</f>
        <v>678.1536615705653</v>
      </c>
      <c r="Z55" s="124" t="str">
        <f>IF(AND(L55&gt;=X55,M55&gt;=Y55),"OK","N.G")</f>
        <v>OK</v>
      </c>
      <c r="AA55" s="125">
        <f>L55/X55</f>
        <v>1.0778995274155763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5">
    <cfRule type="cellIs" dxfId="1" priority="2" operator="equal">
      <formula>"N.G"</formula>
    </cfRule>
  </conditionalFormatting>
  <conditionalFormatting sqref="Y24:Y30">
    <cfRule type="cellIs" dxfId="0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253</v>
      </c>
      <c r="D5" s="55" t="s">
        <v>254</v>
      </c>
      <c r="E5" s="55" t="s">
        <v>255</v>
      </c>
      <c r="F5" s="55" t="s">
        <v>256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Plates(FR#9)</vt:lpstr>
      <vt:lpstr>Plates(FR#11)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2025-06-02T07:12:22Z</dcterms:modified>
  <cp:category/>
  <cp:contentStatus/>
</cp:coreProperties>
</file>