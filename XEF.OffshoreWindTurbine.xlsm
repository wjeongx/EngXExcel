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Git.Project\EngXExcel\"/>
    </mc:Choice>
  </mc:AlternateContent>
  <xr:revisionPtr revIDLastSave="0" documentId="13_ncr:1_{88A8C83E-EB7A-4382-82FD-1959A631C967}" xr6:coauthVersionLast="47" xr6:coauthVersionMax="47" xr10:uidLastSave="{00000000-0000-0000-0000-000000000000}"/>
  <bookViews>
    <workbookView xWindow="41760" yWindow="3360" windowWidth="28800" windowHeight="15225" activeTab="2" xr2:uid="{00000000-000D-0000-FFFF-FFFF00000000}"/>
  </bookViews>
  <sheets>
    <sheet name="Front" sheetId="1" r:id="rId1"/>
    <sheet name="Global Strength" sheetId="17" r:id="rId2"/>
    <sheet name="Plates(FR#0)" sheetId="16" r:id="rId3"/>
    <sheet name="Plates(FR#2)" sheetId="5" r:id="rId4"/>
    <sheet name="Plates(FR#4+2000)" sheetId="11" r:id="rId5"/>
    <sheet name="Plates(FR#5)" sheetId="15" r:id="rId6"/>
    <sheet name="Plates(FR#7)" sheetId="12" r:id="rId7"/>
    <sheet name="Stiffeners(FR#2)" sheetId="10" r:id="rId8"/>
    <sheet name="Stiffeners(FR#4+2000)" sheetId="13" r:id="rId9"/>
    <sheet name="Stiffeners(FR#7)" sheetId="14" r:id="rId10"/>
    <sheet name="Sheet3" sheetId="4" r:id="rId11"/>
  </sheets>
  <definedNames>
    <definedName name="_xleta.IF" hidden="1" xlm="1">#NAME?</definedName>
    <definedName name="grav" localSheetId="2">'Plates(FR#0)'!#REF!</definedName>
    <definedName name="grav" localSheetId="3">'Plates(FR#2)'!#REF!</definedName>
    <definedName name="grav" localSheetId="4">'Plates(FR#4+2000)'!#REF!</definedName>
    <definedName name="grav" localSheetId="5">'Plates(FR#5)'!#REF!</definedName>
    <definedName name="grav" localSheetId="6">'Plates(FR#7)'!#REF!</definedName>
    <definedName name="grav" localSheetId="7">'Stiffeners(FR#2)'!#REF!</definedName>
    <definedName name="grav" localSheetId="8">'Stiffeners(FR#4+2000)'!#REF!</definedName>
    <definedName name="grav" localSheetId="9">'Stiffeners(FR#7)'!#REF!</definedName>
    <definedName name="grav">#REF!</definedName>
    <definedName name="rho" localSheetId="2">'Plates(FR#0)'!#REF!</definedName>
    <definedName name="rho" localSheetId="3">'Plates(FR#2)'!#REF!</definedName>
    <definedName name="rho" localSheetId="4">'Plates(FR#4+2000)'!#REF!</definedName>
    <definedName name="rho" localSheetId="5">'Plates(FR#5)'!#REF!</definedName>
    <definedName name="rho" localSheetId="6">'Plates(FR#7)'!#REF!</definedName>
    <definedName name="rho" localSheetId="7">'Stiffeners(FR#2)'!#REF!</definedName>
    <definedName name="rho" localSheetId="8">'Stiffeners(FR#4+2000)'!#REF!</definedName>
    <definedName name="rho" localSheetId="9">'Stiffeners(FR#7)'!#REF!</definedName>
    <definedName name="rho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6" l="1"/>
  <c r="I10" i="17"/>
  <c r="I11" i="17" s="1"/>
  <c r="I13" i="17" s="1"/>
  <c r="H10" i="17"/>
  <c r="G10" i="17"/>
  <c r="G11" i="17" s="1"/>
  <c r="G13" i="17" s="1"/>
  <c r="F10" i="17"/>
  <c r="F11" i="17" s="1"/>
  <c r="F13" i="17" s="1"/>
  <c r="E10" i="17"/>
  <c r="E12" i="17" s="1"/>
  <c r="E14" i="17" s="1"/>
  <c r="D10" i="17"/>
  <c r="D12" i="17" s="1"/>
  <c r="D14" i="17" s="1"/>
  <c r="C10" i="17"/>
  <c r="C12" i="17" s="1"/>
  <c r="C14" i="17" s="1"/>
  <c r="I9" i="17"/>
  <c r="H9" i="17"/>
  <c r="G9" i="17"/>
  <c r="F9" i="17"/>
  <c r="I8" i="17"/>
  <c r="H8" i="17"/>
  <c r="G8" i="17"/>
  <c r="F8" i="17"/>
  <c r="M6" i="17"/>
  <c r="C11" i="17" l="1"/>
  <c r="C13" i="17" s="1"/>
  <c r="E11" i="17"/>
  <c r="E13" i="17" s="1"/>
  <c r="D11" i="17"/>
  <c r="D13" i="17" s="1"/>
  <c r="H11" i="17"/>
  <c r="H13" i="17" s="1"/>
  <c r="F12" i="17"/>
  <c r="F14" i="17" s="1"/>
  <c r="G12" i="17"/>
  <c r="G14" i="17" s="1"/>
  <c r="H12" i="17"/>
  <c r="H14" i="17" s="1"/>
  <c r="I12" i="17"/>
  <c r="I14" i="17" s="1"/>
  <c r="M11" i="16" l="1"/>
  <c r="U116" i="16" l="1"/>
  <c r="P116" i="16"/>
  <c r="S116" i="16" s="1"/>
  <c r="T116" i="16" s="1"/>
  <c r="G116" i="16"/>
  <c r="I116" i="16" s="1"/>
  <c r="F116" i="16"/>
  <c r="U115" i="16"/>
  <c r="P115" i="16"/>
  <c r="S115" i="16" s="1"/>
  <c r="T115" i="16" s="1"/>
  <c r="G115" i="16"/>
  <c r="I115" i="16" s="1"/>
  <c r="F115" i="16"/>
  <c r="U114" i="16"/>
  <c r="P114" i="16"/>
  <c r="S114" i="16" s="1"/>
  <c r="T114" i="16" s="1"/>
  <c r="G114" i="16"/>
  <c r="I114" i="16" s="1"/>
  <c r="V114" i="16" s="1"/>
  <c r="W114" i="16" s="1"/>
  <c r="Y114" i="16" s="1"/>
  <c r="F114" i="16"/>
  <c r="U113" i="16"/>
  <c r="P113" i="16"/>
  <c r="S113" i="16" s="1"/>
  <c r="T113" i="16" s="1"/>
  <c r="V113" i="16" s="1"/>
  <c r="G113" i="16"/>
  <c r="I113" i="16" s="1"/>
  <c r="F113" i="16"/>
  <c r="U112" i="16"/>
  <c r="P112" i="16"/>
  <c r="S112" i="16" s="1"/>
  <c r="T112" i="16" s="1"/>
  <c r="G112" i="16"/>
  <c r="I112" i="16" s="1"/>
  <c r="F112" i="16"/>
  <c r="U111" i="16"/>
  <c r="P111" i="16"/>
  <c r="S111" i="16" s="1"/>
  <c r="T111" i="16" s="1"/>
  <c r="G111" i="16"/>
  <c r="I111" i="16" s="1"/>
  <c r="F111" i="16"/>
  <c r="U110" i="16"/>
  <c r="P110" i="16"/>
  <c r="S110" i="16" s="1"/>
  <c r="T110" i="16" s="1"/>
  <c r="G110" i="16"/>
  <c r="I110" i="16" s="1"/>
  <c r="F110" i="16"/>
  <c r="U109" i="16"/>
  <c r="P109" i="16"/>
  <c r="S109" i="16" s="1"/>
  <c r="T109" i="16" s="1"/>
  <c r="G109" i="16"/>
  <c r="I109" i="16" s="1"/>
  <c r="F109" i="16"/>
  <c r="U108" i="16"/>
  <c r="P108" i="16"/>
  <c r="S108" i="16" s="1"/>
  <c r="T108" i="16" s="1"/>
  <c r="G108" i="16"/>
  <c r="I108" i="16" s="1"/>
  <c r="F108" i="16"/>
  <c r="U107" i="16"/>
  <c r="P107" i="16"/>
  <c r="S107" i="16" s="1"/>
  <c r="T107" i="16" s="1"/>
  <c r="V107" i="16" s="1"/>
  <c r="G107" i="16"/>
  <c r="I107" i="16" s="1"/>
  <c r="F107" i="16"/>
  <c r="U106" i="16"/>
  <c r="P106" i="16"/>
  <c r="S106" i="16" s="1"/>
  <c r="T106" i="16" s="1"/>
  <c r="G106" i="16"/>
  <c r="I106" i="16" s="1"/>
  <c r="F106" i="16"/>
  <c r="U105" i="16"/>
  <c r="P105" i="16"/>
  <c r="S105" i="16" s="1"/>
  <c r="T105" i="16" s="1"/>
  <c r="G105" i="16"/>
  <c r="I105" i="16" s="1"/>
  <c r="F105" i="16"/>
  <c r="U104" i="16"/>
  <c r="P104" i="16"/>
  <c r="S104" i="16" s="1"/>
  <c r="T104" i="16" s="1"/>
  <c r="G104" i="16"/>
  <c r="I104" i="16" s="1"/>
  <c r="F104" i="16"/>
  <c r="U103" i="16"/>
  <c r="P103" i="16"/>
  <c r="S103" i="16" s="1"/>
  <c r="T103" i="16" s="1"/>
  <c r="G103" i="16"/>
  <c r="I103" i="16" s="1"/>
  <c r="F103" i="16"/>
  <c r="U102" i="16"/>
  <c r="P102" i="16"/>
  <c r="S102" i="16" s="1"/>
  <c r="T102" i="16" s="1"/>
  <c r="G102" i="16"/>
  <c r="I102" i="16" s="1"/>
  <c r="F102" i="16"/>
  <c r="U101" i="16"/>
  <c r="P101" i="16"/>
  <c r="S101" i="16" s="1"/>
  <c r="T101" i="16" s="1"/>
  <c r="G101" i="16"/>
  <c r="I101" i="16" s="1"/>
  <c r="F101" i="16"/>
  <c r="U100" i="16"/>
  <c r="P100" i="16"/>
  <c r="S100" i="16" s="1"/>
  <c r="T100" i="16" s="1"/>
  <c r="G100" i="16"/>
  <c r="I100" i="16" s="1"/>
  <c r="F100" i="16"/>
  <c r="U99" i="16"/>
  <c r="P99" i="16"/>
  <c r="S99" i="16" s="1"/>
  <c r="T99" i="16" s="1"/>
  <c r="G99" i="16"/>
  <c r="I99" i="16" s="1"/>
  <c r="F99" i="16"/>
  <c r="U98" i="16"/>
  <c r="P98" i="16"/>
  <c r="S98" i="16" s="1"/>
  <c r="T98" i="16" s="1"/>
  <c r="G98" i="16"/>
  <c r="I98" i="16" s="1"/>
  <c r="F98" i="16"/>
  <c r="U97" i="16"/>
  <c r="P97" i="16"/>
  <c r="S97" i="16" s="1"/>
  <c r="T97" i="16" s="1"/>
  <c r="G97" i="16"/>
  <c r="I97" i="16" s="1"/>
  <c r="F97" i="16"/>
  <c r="U96" i="16"/>
  <c r="P96" i="16"/>
  <c r="S96" i="16" s="1"/>
  <c r="T96" i="16" s="1"/>
  <c r="G96" i="16"/>
  <c r="I96" i="16" s="1"/>
  <c r="F96" i="16"/>
  <c r="U95" i="16"/>
  <c r="P95" i="16"/>
  <c r="S95" i="16" s="1"/>
  <c r="T95" i="16" s="1"/>
  <c r="G95" i="16"/>
  <c r="I95" i="16" s="1"/>
  <c r="F95" i="16"/>
  <c r="U94" i="16"/>
  <c r="P94" i="16"/>
  <c r="S94" i="16" s="1"/>
  <c r="T94" i="16" s="1"/>
  <c r="G94" i="16"/>
  <c r="I94" i="16" s="1"/>
  <c r="V94" i="16" s="1"/>
  <c r="W94" i="16" s="1"/>
  <c r="Y94" i="16" s="1"/>
  <c r="F94" i="16"/>
  <c r="U93" i="16"/>
  <c r="P93" i="16"/>
  <c r="S93" i="16" s="1"/>
  <c r="T93" i="16" s="1"/>
  <c r="G93" i="16"/>
  <c r="I93" i="16" s="1"/>
  <c r="F93" i="16"/>
  <c r="U92" i="16"/>
  <c r="P92" i="16"/>
  <c r="S92" i="16" s="1"/>
  <c r="T92" i="16" s="1"/>
  <c r="G92" i="16"/>
  <c r="I92" i="16" s="1"/>
  <c r="F92" i="16"/>
  <c r="U91" i="16"/>
  <c r="P91" i="16"/>
  <c r="S91" i="16" s="1"/>
  <c r="T91" i="16" s="1"/>
  <c r="V91" i="16" s="1"/>
  <c r="W91" i="16" s="1"/>
  <c r="Y91" i="16" s="1"/>
  <c r="G91" i="16"/>
  <c r="I91" i="16" s="1"/>
  <c r="F91" i="16"/>
  <c r="U90" i="16"/>
  <c r="P90" i="16"/>
  <c r="S90" i="16" s="1"/>
  <c r="T90" i="16" s="1"/>
  <c r="G90" i="16"/>
  <c r="I90" i="16" s="1"/>
  <c r="F90" i="16"/>
  <c r="U89" i="16"/>
  <c r="P89" i="16"/>
  <c r="S89" i="16" s="1"/>
  <c r="T89" i="16" s="1"/>
  <c r="G89" i="16"/>
  <c r="I89" i="16" s="1"/>
  <c r="F89" i="16"/>
  <c r="U88" i="16"/>
  <c r="P88" i="16"/>
  <c r="S88" i="16" s="1"/>
  <c r="T88" i="16" s="1"/>
  <c r="G88" i="16"/>
  <c r="I88" i="16" s="1"/>
  <c r="V88" i="16" s="1"/>
  <c r="F88" i="16"/>
  <c r="U87" i="16"/>
  <c r="P87" i="16"/>
  <c r="S87" i="16" s="1"/>
  <c r="T87" i="16" s="1"/>
  <c r="G87" i="16"/>
  <c r="I87" i="16" s="1"/>
  <c r="F87" i="16"/>
  <c r="U86" i="16"/>
  <c r="P86" i="16"/>
  <c r="S86" i="16" s="1"/>
  <c r="T86" i="16" s="1"/>
  <c r="G86" i="16"/>
  <c r="I86" i="16" s="1"/>
  <c r="F86" i="16"/>
  <c r="U85" i="16"/>
  <c r="P85" i="16"/>
  <c r="S85" i="16" s="1"/>
  <c r="T85" i="16" s="1"/>
  <c r="V85" i="16" s="1"/>
  <c r="G85" i="16"/>
  <c r="I85" i="16" s="1"/>
  <c r="F85" i="16"/>
  <c r="U84" i="16"/>
  <c r="P84" i="16"/>
  <c r="S84" i="16" s="1"/>
  <c r="T84" i="16" s="1"/>
  <c r="G84" i="16"/>
  <c r="I84" i="16" s="1"/>
  <c r="V84" i="16" s="1"/>
  <c r="W84" i="16" s="1"/>
  <c r="Y84" i="16" s="1"/>
  <c r="F84" i="16"/>
  <c r="U83" i="16"/>
  <c r="P83" i="16"/>
  <c r="S83" i="16" s="1"/>
  <c r="T83" i="16" s="1"/>
  <c r="G83" i="16"/>
  <c r="I83" i="16" s="1"/>
  <c r="F83" i="16"/>
  <c r="U82" i="16"/>
  <c r="P82" i="16"/>
  <c r="S82" i="16" s="1"/>
  <c r="T82" i="16" s="1"/>
  <c r="G82" i="16"/>
  <c r="I82" i="16" s="1"/>
  <c r="F82" i="16"/>
  <c r="U81" i="16"/>
  <c r="P81" i="16"/>
  <c r="S81" i="16" s="1"/>
  <c r="T81" i="16" s="1"/>
  <c r="G81" i="16"/>
  <c r="I81" i="16" s="1"/>
  <c r="F81" i="16"/>
  <c r="U80" i="16"/>
  <c r="P80" i="16"/>
  <c r="S80" i="16" s="1"/>
  <c r="T80" i="16" s="1"/>
  <c r="G80" i="16"/>
  <c r="I80" i="16" s="1"/>
  <c r="F80" i="16"/>
  <c r="U79" i="16"/>
  <c r="P79" i="16"/>
  <c r="S79" i="16" s="1"/>
  <c r="T79" i="16" s="1"/>
  <c r="V79" i="16" s="1"/>
  <c r="G79" i="16"/>
  <c r="I79" i="16" s="1"/>
  <c r="F79" i="16"/>
  <c r="U78" i="16"/>
  <c r="P78" i="16"/>
  <c r="S78" i="16" s="1"/>
  <c r="T78" i="16" s="1"/>
  <c r="G78" i="16"/>
  <c r="I78" i="16" s="1"/>
  <c r="V78" i="16" s="1"/>
  <c r="W78" i="16" s="1"/>
  <c r="Y78" i="16" s="1"/>
  <c r="F78" i="16"/>
  <c r="U77" i="16"/>
  <c r="S77" i="16"/>
  <c r="T77" i="16" s="1"/>
  <c r="P77" i="16"/>
  <c r="G77" i="16"/>
  <c r="I77" i="16" s="1"/>
  <c r="F77" i="16"/>
  <c r="U76" i="16"/>
  <c r="P76" i="16"/>
  <c r="S76" i="16" s="1"/>
  <c r="T76" i="16" s="1"/>
  <c r="G76" i="16"/>
  <c r="I76" i="16" s="1"/>
  <c r="F76" i="16"/>
  <c r="U75" i="16"/>
  <c r="P75" i="16"/>
  <c r="S75" i="16" s="1"/>
  <c r="T75" i="16" s="1"/>
  <c r="G75" i="16"/>
  <c r="I75" i="16" s="1"/>
  <c r="F75" i="16"/>
  <c r="U74" i="16"/>
  <c r="P74" i="16"/>
  <c r="S74" i="16" s="1"/>
  <c r="T74" i="16" s="1"/>
  <c r="G74" i="16"/>
  <c r="I74" i="16" s="1"/>
  <c r="V74" i="16" s="1"/>
  <c r="W74" i="16" s="1"/>
  <c r="Y74" i="16" s="1"/>
  <c r="F74" i="16"/>
  <c r="U73" i="16"/>
  <c r="P73" i="16"/>
  <c r="S73" i="16" s="1"/>
  <c r="T73" i="16" s="1"/>
  <c r="V73" i="16" s="1"/>
  <c r="G73" i="16"/>
  <c r="I73" i="16" s="1"/>
  <c r="F73" i="16"/>
  <c r="U72" i="16"/>
  <c r="P72" i="16"/>
  <c r="S72" i="16" s="1"/>
  <c r="T72" i="16" s="1"/>
  <c r="G72" i="16"/>
  <c r="I72" i="16" s="1"/>
  <c r="F72" i="16"/>
  <c r="U71" i="16"/>
  <c r="P71" i="16"/>
  <c r="S71" i="16" s="1"/>
  <c r="T71" i="16" s="1"/>
  <c r="G71" i="16"/>
  <c r="I71" i="16" s="1"/>
  <c r="F71" i="16"/>
  <c r="U70" i="16"/>
  <c r="P70" i="16"/>
  <c r="S70" i="16" s="1"/>
  <c r="T70" i="16" s="1"/>
  <c r="G70" i="16"/>
  <c r="I70" i="16" s="1"/>
  <c r="F70" i="16"/>
  <c r="U69" i="16"/>
  <c r="P69" i="16"/>
  <c r="S69" i="16" s="1"/>
  <c r="T69" i="16" s="1"/>
  <c r="V69" i="16" s="1"/>
  <c r="G69" i="16"/>
  <c r="I69" i="16" s="1"/>
  <c r="F69" i="16"/>
  <c r="U68" i="16"/>
  <c r="P68" i="16"/>
  <c r="S68" i="16" s="1"/>
  <c r="T68" i="16" s="1"/>
  <c r="G68" i="16"/>
  <c r="I68" i="16" s="1"/>
  <c r="F68" i="16"/>
  <c r="U67" i="16"/>
  <c r="P67" i="16"/>
  <c r="S67" i="16" s="1"/>
  <c r="T67" i="16" s="1"/>
  <c r="V67" i="16" s="1"/>
  <c r="G67" i="16"/>
  <c r="I67" i="16" s="1"/>
  <c r="F67" i="16"/>
  <c r="U66" i="16"/>
  <c r="P66" i="16"/>
  <c r="S66" i="16" s="1"/>
  <c r="T66" i="16" s="1"/>
  <c r="G66" i="16"/>
  <c r="I66" i="16" s="1"/>
  <c r="F66" i="16"/>
  <c r="U65" i="16"/>
  <c r="P65" i="16"/>
  <c r="S65" i="16" s="1"/>
  <c r="T65" i="16" s="1"/>
  <c r="G65" i="16"/>
  <c r="I65" i="16" s="1"/>
  <c r="F65" i="16"/>
  <c r="U64" i="16"/>
  <c r="P64" i="16"/>
  <c r="S64" i="16" s="1"/>
  <c r="T64" i="16" s="1"/>
  <c r="G64" i="16"/>
  <c r="I64" i="16" s="1"/>
  <c r="F64" i="16"/>
  <c r="U63" i="16"/>
  <c r="P63" i="16"/>
  <c r="S63" i="16" s="1"/>
  <c r="T63" i="16" s="1"/>
  <c r="G63" i="16"/>
  <c r="I63" i="16" s="1"/>
  <c r="F63" i="16"/>
  <c r="U62" i="16"/>
  <c r="P62" i="16"/>
  <c r="S62" i="16" s="1"/>
  <c r="T62" i="16" s="1"/>
  <c r="G62" i="16"/>
  <c r="I62" i="16" s="1"/>
  <c r="F62" i="16"/>
  <c r="U61" i="16"/>
  <c r="P61" i="16"/>
  <c r="S61" i="16" s="1"/>
  <c r="T61" i="16" s="1"/>
  <c r="G61" i="16"/>
  <c r="I61" i="16" s="1"/>
  <c r="F61" i="16"/>
  <c r="U60" i="16"/>
  <c r="P60" i="16"/>
  <c r="S60" i="16" s="1"/>
  <c r="T60" i="16" s="1"/>
  <c r="G60" i="16"/>
  <c r="I60" i="16" s="1"/>
  <c r="F60" i="16"/>
  <c r="U59" i="16"/>
  <c r="P59" i="16"/>
  <c r="S59" i="16" s="1"/>
  <c r="T59" i="16" s="1"/>
  <c r="G59" i="16"/>
  <c r="I59" i="16" s="1"/>
  <c r="F59" i="16"/>
  <c r="U58" i="16"/>
  <c r="P58" i="16"/>
  <c r="S58" i="16" s="1"/>
  <c r="T58" i="16" s="1"/>
  <c r="G58" i="16"/>
  <c r="I58" i="16" s="1"/>
  <c r="F58" i="16"/>
  <c r="U57" i="16"/>
  <c r="P57" i="16"/>
  <c r="S57" i="16" s="1"/>
  <c r="T57" i="16" s="1"/>
  <c r="G57" i="16"/>
  <c r="I57" i="16" s="1"/>
  <c r="F57" i="16"/>
  <c r="U56" i="16"/>
  <c r="P56" i="16"/>
  <c r="S56" i="16" s="1"/>
  <c r="T56" i="16" s="1"/>
  <c r="G56" i="16"/>
  <c r="I56" i="16" s="1"/>
  <c r="F56" i="16"/>
  <c r="U55" i="16"/>
  <c r="P55" i="16"/>
  <c r="S55" i="16" s="1"/>
  <c r="T55" i="16" s="1"/>
  <c r="G55" i="16"/>
  <c r="I55" i="16" s="1"/>
  <c r="F55" i="16"/>
  <c r="U54" i="16"/>
  <c r="P54" i="16"/>
  <c r="S54" i="16" s="1"/>
  <c r="T54" i="16" s="1"/>
  <c r="G54" i="16"/>
  <c r="I54" i="16" s="1"/>
  <c r="F54" i="16"/>
  <c r="U53" i="16"/>
  <c r="P53" i="16"/>
  <c r="S53" i="16" s="1"/>
  <c r="T53" i="16" s="1"/>
  <c r="G53" i="16"/>
  <c r="I53" i="16" s="1"/>
  <c r="F53" i="16"/>
  <c r="U52" i="16"/>
  <c r="P52" i="16"/>
  <c r="S52" i="16" s="1"/>
  <c r="T52" i="16" s="1"/>
  <c r="G52" i="16"/>
  <c r="I52" i="16" s="1"/>
  <c r="F52" i="16"/>
  <c r="U51" i="16"/>
  <c r="P51" i="16"/>
  <c r="S51" i="16" s="1"/>
  <c r="T51" i="16" s="1"/>
  <c r="V51" i="16" s="1"/>
  <c r="W51" i="16" s="1"/>
  <c r="Y51" i="16" s="1"/>
  <c r="G51" i="16"/>
  <c r="I51" i="16" s="1"/>
  <c r="F51" i="16"/>
  <c r="U50" i="16"/>
  <c r="P50" i="16"/>
  <c r="S50" i="16" s="1"/>
  <c r="T50" i="16" s="1"/>
  <c r="G50" i="16"/>
  <c r="I50" i="16" s="1"/>
  <c r="F50" i="16"/>
  <c r="U49" i="16"/>
  <c r="P49" i="16"/>
  <c r="S49" i="16" s="1"/>
  <c r="T49" i="16" s="1"/>
  <c r="G49" i="16"/>
  <c r="I49" i="16" s="1"/>
  <c r="F49" i="16"/>
  <c r="U48" i="16"/>
  <c r="P48" i="16"/>
  <c r="S48" i="16" s="1"/>
  <c r="T48" i="16" s="1"/>
  <c r="G48" i="16"/>
  <c r="I48" i="16" s="1"/>
  <c r="F48" i="16"/>
  <c r="U47" i="16"/>
  <c r="P47" i="16"/>
  <c r="S47" i="16" s="1"/>
  <c r="T47" i="16" s="1"/>
  <c r="G47" i="16"/>
  <c r="I47" i="16" s="1"/>
  <c r="F47" i="16"/>
  <c r="U46" i="16"/>
  <c r="P46" i="16"/>
  <c r="S46" i="16" s="1"/>
  <c r="T46" i="16" s="1"/>
  <c r="G46" i="16"/>
  <c r="I46" i="16" s="1"/>
  <c r="V46" i="16" s="1"/>
  <c r="W46" i="16" s="1"/>
  <c r="Y46" i="16" s="1"/>
  <c r="F46" i="16"/>
  <c r="U45" i="16"/>
  <c r="P45" i="16"/>
  <c r="S45" i="16" s="1"/>
  <c r="T45" i="16" s="1"/>
  <c r="V45" i="16" s="1"/>
  <c r="G45" i="16"/>
  <c r="I45" i="16" s="1"/>
  <c r="F45" i="16"/>
  <c r="U44" i="16"/>
  <c r="P44" i="16"/>
  <c r="S44" i="16" s="1"/>
  <c r="T44" i="16" s="1"/>
  <c r="G44" i="16"/>
  <c r="I44" i="16" s="1"/>
  <c r="V44" i="16" s="1"/>
  <c r="W44" i="16" s="1"/>
  <c r="Y44" i="16" s="1"/>
  <c r="F44" i="16"/>
  <c r="U43" i="16"/>
  <c r="P43" i="16"/>
  <c r="S43" i="16" s="1"/>
  <c r="T43" i="16" s="1"/>
  <c r="G43" i="16"/>
  <c r="I43" i="16" s="1"/>
  <c r="F43" i="16"/>
  <c r="U42" i="16"/>
  <c r="P42" i="16"/>
  <c r="S42" i="16" s="1"/>
  <c r="T42" i="16" s="1"/>
  <c r="G42" i="16"/>
  <c r="I42" i="16" s="1"/>
  <c r="F42" i="16"/>
  <c r="U41" i="16"/>
  <c r="P41" i="16"/>
  <c r="S41" i="16" s="1"/>
  <c r="T41" i="16" s="1"/>
  <c r="G41" i="16"/>
  <c r="I41" i="16" s="1"/>
  <c r="F41" i="16"/>
  <c r="U40" i="16"/>
  <c r="P40" i="16"/>
  <c r="S40" i="16" s="1"/>
  <c r="T40" i="16" s="1"/>
  <c r="G40" i="16"/>
  <c r="I40" i="16" s="1"/>
  <c r="F40" i="16"/>
  <c r="U39" i="16"/>
  <c r="P39" i="16"/>
  <c r="S39" i="16" s="1"/>
  <c r="T39" i="16" s="1"/>
  <c r="V39" i="16" s="1"/>
  <c r="G39" i="16"/>
  <c r="I39" i="16" s="1"/>
  <c r="F39" i="16"/>
  <c r="U38" i="16"/>
  <c r="P38" i="16"/>
  <c r="S38" i="16" s="1"/>
  <c r="T38" i="16" s="1"/>
  <c r="G38" i="16"/>
  <c r="I38" i="16" s="1"/>
  <c r="F38" i="16"/>
  <c r="U37" i="16"/>
  <c r="P37" i="16"/>
  <c r="S37" i="16" s="1"/>
  <c r="T37" i="16" s="1"/>
  <c r="G37" i="16"/>
  <c r="I37" i="16" s="1"/>
  <c r="F37" i="16"/>
  <c r="U36" i="16"/>
  <c r="P36" i="16"/>
  <c r="S36" i="16" s="1"/>
  <c r="T36" i="16" s="1"/>
  <c r="G36" i="16"/>
  <c r="I36" i="16" s="1"/>
  <c r="F36" i="16"/>
  <c r="U35" i="16"/>
  <c r="P35" i="16"/>
  <c r="S35" i="16" s="1"/>
  <c r="T35" i="16" s="1"/>
  <c r="G35" i="16"/>
  <c r="I35" i="16" s="1"/>
  <c r="F35" i="16"/>
  <c r="U34" i="16"/>
  <c r="P34" i="16"/>
  <c r="S34" i="16" s="1"/>
  <c r="T34" i="16" s="1"/>
  <c r="G34" i="16"/>
  <c r="I34" i="16" s="1"/>
  <c r="F34" i="16"/>
  <c r="AD33" i="16"/>
  <c r="U33" i="16"/>
  <c r="P33" i="16"/>
  <c r="S33" i="16" s="1"/>
  <c r="T33" i="16" s="1"/>
  <c r="V33" i="16" s="1"/>
  <c r="G33" i="16"/>
  <c r="I33" i="16" s="1"/>
  <c r="F33" i="16"/>
  <c r="U32" i="16"/>
  <c r="P32" i="16"/>
  <c r="S32" i="16" s="1"/>
  <c r="T32" i="16" s="1"/>
  <c r="G32" i="16"/>
  <c r="I32" i="16" s="1"/>
  <c r="F32" i="16"/>
  <c r="AD31" i="16"/>
  <c r="AD32" i="16" s="1"/>
  <c r="U31" i="16"/>
  <c r="P31" i="16"/>
  <c r="S31" i="16" s="1"/>
  <c r="T31" i="16" s="1"/>
  <c r="V31" i="16" s="1"/>
  <c r="W31" i="16" s="1"/>
  <c r="Y31" i="16" s="1"/>
  <c r="I31" i="16"/>
  <c r="G31" i="16"/>
  <c r="F31" i="16"/>
  <c r="U30" i="16"/>
  <c r="P30" i="16"/>
  <c r="S30" i="16" s="1"/>
  <c r="T30" i="16" s="1"/>
  <c r="G30" i="16"/>
  <c r="I30" i="16" s="1"/>
  <c r="V30" i="16" s="1"/>
  <c r="F30" i="16"/>
  <c r="U29" i="16"/>
  <c r="P29" i="16"/>
  <c r="S29" i="16" s="1"/>
  <c r="T29" i="16" s="1"/>
  <c r="V29" i="16" s="1"/>
  <c r="W29" i="16" s="1"/>
  <c r="Y29" i="16" s="1"/>
  <c r="I29" i="16"/>
  <c r="G29" i="16"/>
  <c r="F29" i="16"/>
  <c r="AD28" i="16"/>
  <c r="U28" i="16"/>
  <c r="P28" i="16"/>
  <c r="S28" i="16" s="1"/>
  <c r="T28" i="16" s="1"/>
  <c r="G28" i="16"/>
  <c r="I28" i="16" s="1"/>
  <c r="F28" i="16"/>
  <c r="U27" i="16"/>
  <c r="P27" i="16"/>
  <c r="S27" i="16" s="1"/>
  <c r="T27" i="16" s="1"/>
  <c r="I27" i="16"/>
  <c r="G27" i="16"/>
  <c r="F27" i="16"/>
  <c r="AD26" i="16"/>
  <c r="U26" i="16"/>
  <c r="P26" i="16"/>
  <c r="S26" i="16" s="1"/>
  <c r="T26" i="16" s="1"/>
  <c r="G26" i="16"/>
  <c r="I26" i="16" s="1"/>
  <c r="F26" i="16"/>
  <c r="U25" i="16"/>
  <c r="P25" i="16"/>
  <c r="S25" i="16" s="1"/>
  <c r="T25" i="16" s="1"/>
  <c r="G25" i="16"/>
  <c r="I25" i="16" s="1"/>
  <c r="F25" i="16"/>
  <c r="AD24" i="16"/>
  <c r="U24" i="16"/>
  <c r="P24" i="16"/>
  <c r="S24" i="16" s="1"/>
  <c r="T24" i="16" s="1"/>
  <c r="G24" i="16"/>
  <c r="I24" i="16" s="1"/>
  <c r="F24" i="16"/>
  <c r="U23" i="16"/>
  <c r="P23" i="16"/>
  <c r="S23" i="16" s="1"/>
  <c r="T23" i="16" s="1"/>
  <c r="I23" i="16"/>
  <c r="F23" i="16"/>
  <c r="AG17" i="16"/>
  <c r="AD17" i="16"/>
  <c r="AH18" i="16" s="1"/>
  <c r="F14" i="16"/>
  <c r="F12" i="16"/>
  <c r="W88" i="16" l="1"/>
  <c r="Y88" i="16" s="1"/>
  <c r="V40" i="16"/>
  <c r="W40" i="16" s="1"/>
  <c r="Y40" i="16" s="1"/>
  <c r="V50" i="16"/>
  <c r="W50" i="16" s="1"/>
  <c r="Y50" i="16" s="1"/>
  <c r="V60" i="16"/>
  <c r="W60" i="16" s="1"/>
  <c r="Y60" i="16" s="1"/>
  <c r="V70" i="16"/>
  <c r="W70" i="16" s="1"/>
  <c r="Y70" i="16" s="1"/>
  <c r="V38" i="16"/>
  <c r="W38" i="16" s="1"/>
  <c r="Y38" i="16" s="1"/>
  <c r="V32" i="16"/>
  <c r="V27" i="16"/>
  <c r="W27" i="16" s="1"/>
  <c r="Y27" i="16" s="1"/>
  <c r="V80" i="16"/>
  <c r="W80" i="16" s="1"/>
  <c r="Y80" i="16" s="1"/>
  <c r="V52" i="16"/>
  <c r="W52" i="16" s="1"/>
  <c r="Y52" i="16" s="1"/>
  <c r="V62" i="16"/>
  <c r="W62" i="16" s="1"/>
  <c r="Y62" i="16" s="1"/>
  <c r="V56" i="16"/>
  <c r="W56" i="16" s="1"/>
  <c r="Y56" i="16" s="1"/>
  <c r="V96" i="16"/>
  <c r="W96" i="16" s="1"/>
  <c r="Y96" i="16" s="1"/>
  <c r="V106" i="16"/>
  <c r="W106" i="16" s="1"/>
  <c r="Y106" i="16" s="1"/>
  <c r="V92" i="16"/>
  <c r="W92" i="16" s="1"/>
  <c r="Y92" i="16" s="1"/>
  <c r="W32" i="16"/>
  <c r="Y32" i="16" s="1"/>
  <c r="V90" i="16"/>
  <c r="W90" i="16" s="1"/>
  <c r="Y90" i="16" s="1"/>
  <c r="V72" i="16"/>
  <c r="W72" i="16" s="1"/>
  <c r="Y72" i="16" s="1"/>
  <c r="V77" i="16"/>
  <c r="W77" i="16" s="1"/>
  <c r="Y77" i="16" s="1"/>
  <c r="V34" i="16"/>
  <c r="W34" i="16" s="1"/>
  <c r="Y34" i="16" s="1"/>
  <c r="V99" i="16"/>
  <c r="W99" i="16" s="1"/>
  <c r="Y99" i="16" s="1"/>
  <c r="V68" i="16"/>
  <c r="W68" i="16" s="1"/>
  <c r="Y68" i="16" s="1"/>
  <c r="V55" i="16"/>
  <c r="V103" i="16"/>
  <c r="W103" i="16" s="1"/>
  <c r="Y103" i="16" s="1"/>
  <c r="V25" i="16"/>
  <c r="W25" i="16" s="1"/>
  <c r="Y25" i="16" s="1"/>
  <c r="V26" i="16"/>
  <c r="W26" i="16" s="1"/>
  <c r="Y26" i="16" s="1"/>
  <c r="V47" i="16"/>
  <c r="W47" i="16" s="1"/>
  <c r="Y47" i="16" s="1"/>
  <c r="V104" i="16"/>
  <c r="W104" i="16" s="1"/>
  <c r="Y104" i="16" s="1"/>
  <c r="V43" i="16"/>
  <c r="W43" i="16" s="1"/>
  <c r="Y43" i="16" s="1"/>
  <c r="V65" i="16"/>
  <c r="W65" i="16" s="1"/>
  <c r="Y65" i="16" s="1"/>
  <c r="V87" i="16"/>
  <c r="W87" i="16" s="1"/>
  <c r="Y87" i="16" s="1"/>
  <c r="V61" i="16"/>
  <c r="W61" i="16" s="1"/>
  <c r="Y61" i="16" s="1"/>
  <c r="V109" i="16"/>
  <c r="W109" i="16" s="1"/>
  <c r="Y109" i="16" s="1"/>
  <c r="V23" i="16"/>
  <c r="W23" i="16" s="1"/>
  <c r="Y23" i="16" s="1"/>
  <c r="V83" i="16"/>
  <c r="W83" i="16" s="1"/>
  <c r="Y83" i="16" s="1"/>
  <c r="V105" i="16"/>
  <c r="W105" i="16" s="1"/>
  <c r="Y105" i="16" s="1"/>
  <c r="V35" i="16"/>
  <c r="W35" i="16" s="1"/>
  <c r="Y35" i="16" s="1"/>
  <c r="V101" i="16"/>
  <c r="W101" i="16" s="1"/>
  <c r="Y101" i="16" s="1"/>
  <c r="V75" i="16"/>
  <c r="W75" i="16" s="1"/>
  <c r="Y75" i="16" s="1"/>
  <c r="V24" i="16"/>
  <c r="W24" i="16" s="1"/>
  <c r="Y24" i="16" s="1"/>
  <c r="V28" i="16"/>
  <c r="W28" i="16" s="1"/>
  <c r="Y28" i="16" s="1"/>
  <c r="V36" i="16"/>
  <c r="W36" i="16" s="1"/>
  <c r="Y36" i="16" s="1"/>
  <c r="V58" i="16"/>
  <c r="W58" i="16" s="1"/>
  <c r="Y58" i="16" s="1"/>
  <c r="V102" i="16"/>
  <c r="W102" i="16" s="1"/>
  <c r="Y102" i="16" s="1"/>
  <c r="V115" i="16"/>
  <c r="W115" i="16" s="1"/>
  <c r="Y115" i="16" s="1"/>
  <c r="V57" i="16"/>
  <c r="W57" i="16" s="1"/>
  <c r="Y57" i="16" s="1"/>
  <c r="V53" i="16"/>
  <c r="W53" i="16" s="1"/>
  <c r="Y53" i="16" s="1"/>
  <c r="V89" i="16"/>
  <c r="W89" i="16" s="1"/>
  <c r="Y89" i="16" s="1"/>
  <c r="V48" i="16"/>
  <c r="W48" i="16" s="1"/>
  <c r="Y48" i="16" s="1"/>
  <c r="V97" i="16"/>
  <c r="W97" i="16" s="1"/>
  <c r="Y97" i="16" s="1"/>
  <c r="V54" i="16"/>
  <c r="W54" i="16" s="1"/>
  <c r="Y54" i="16" s="1"/>
  <c r="V63" i="16"/>
  <c r="W63" i="16" s="1"/>
  <c r="Y63" i="16" s="1"/>
  <c r="V76" i="16"/>
  <c r="W76" i="16" s="1"/>
  <c r="Y76" i="16" s="1"/>
  <c r="V98" i="16"/>
  <c r="W98" i="16" s="1"/>
  <c r="Y98" i="16" s="1"/>
  <c r="V111" i="16"/>
  <c r="W111" i="16" s="1"/>
  <c r="Y111" i="16" s="1"/>
  <c r="V116" i="16"/>
  <c r="W116" i="16" s="1"/>
  <c r="Y116" i="16" s="1"/>
  <c r="V81" i="16"/>
  <c r="W81" i="16" s="1"/>
  <c r="Y81" i="16" s="1"/>
  <c r="V112" i="16"/>
  <c r="W112" i="16" s="1"/>
  <c r="Y112" i="16" s="1"/>
  <c r="V64" i="16"/>
  <c r="W64" i="16" s="1"/>
  <c r="Y64" i="16" s="1"/>
  <c r="V86" i="16"/>
  <c r="W86" i="16" s="1"/>
  <c r="Y86" i="16" s="1"/>
  <c r="V95" i="16"/>
  <c r="W95" i="16" s="1"/>
  <c r="Y95" i="16" s="1"/>
  <c r="V108" i="16"/>
  <c r="W108" i="16" s="1"/>
  <c r="Y108" i="16" s="1"/>
  <c r="W107" i="16"/>
  <c r="Y107" i="16" s="1"/>
  <c r="W33" i="16"/>
  <c r="Y33" i="16" s="1"/>
  <c r="W55" i="16"/>
  <c r="Y55" i="16" s="1"/>
  <c r="W73" i="16"/>
  <c r="Y73" i="16" s="1"/>
  <c r="W113" i="16"/>
  <c r="Y113" i="16" s="1"/>
  <c r="W39" i="16"/>
  <c r="Y39" i="16" s="1"/>
  <c r="V49" i="16"/>
  <c r="W49" i="16" s="1"/>
  <c r="Y49" i="16" s="1"/>
  <c r="V71" i="16"/>
  <c r="W71" i="16" s="1"/>
  <c r="Y71" i="16" s="1"/>
  <c r="W79" i="16"/>
  <c r="Y79" i="16" s="1"/>
  <c r="V93" i="16"/>
  <c r="W93" i="16" s="1"/>
  <c r="Y93" i="16" s="1"/>
  <c r="W85" i="16"/>
  <c r="Y85" i="16" s="1"/>
  <c r="W69" i="16"/>
  <c r="Y69" i="16" s="1"/>
  <c r="V41" i="16"/>
  <c r="W41" i="16" s="1"/>
  <c r="Y41" i="16" s="1"/>
  <c r="V37" i="16"/>
  <c r="W37" i="16" s="1"/>
  <c r="Y37" i="16" s="1"/>
  <c r="W45" i="16"/>
  <c r="Y45" i="16" s="1"/>
  <c r="V59" i="16"/>
  <c r="W59" i="16" s="1"/>
  <c r="Y59" i="16" s="1"/>
  <c r="W67" i="16"/>
  <c r="Y67" i="16" s="1"/>
  <c r="V66" i="16"/>
  <c r="W66" i="16" s="1"/>
  <c r="Y66" i="16" s="1"/>
  <c r="V100" i="16"/>
  <c r="W100" i="16" s="1"/>
  <c r="Y100" i="16" s="1"/>
  <c r="W30" i="16"/>
  <c r="Y30" i="16" s="1"/>
  <c r="V42" i="16"/>
  <c r="W42" i="16" s="1"/>
  <c r="Y42" i="16" s="1"/>
  <c r="V82" i="16"/>
  <c r="W82" i="16" s="1"/>
  <c r="Y82" i="16" s="1"/>
  <c r="V110" i="16"/>
  <c r="W110" i="16" s="1"/>
  <c r="Y110" i="16" s="1"/>
  <c r="AH17" i="16"/>
  <c r="P38" i="5"/>
  <c r="S38" i="5" s="1"/>
  <c r="T38" i="5" s="1"/>
  <c r="V30" i="14"/>
  <c r="X30" i="14"/>
  <c r="R32" i="14"/>
  <c r="R31" i="14"/>
  <c r="Y24" i="10"/>
  <c r="M24" i="10" a="1"/>
  <c r="M24" i="10" s="1"/>
  <c r="AA58" i="15"/>
  <c r="U102" i="15"/>
  <c r="P102" i="15"/>
  <c r="S102" i="15" s="1"/>
  <c r="T102" i="15" s="1"/>
  <c r="G102" i="15"/>
  <c r="I102" i="15" s="1"/>
  <c r="F102" i="15"/>
  <c r="U101" i="15"/>
  <c r="P101" i="15"/>
  <c r="S101" i="15" s="1"/>
  <c r="T101" i="15" s="1"/>
  <c r="G101" i="15"/>
  <c r="I101" i="15" s="1"/>
  <c r="F101" i="15"/>
  <c r="U100" i="15"/>
  <c r="P100" i="15"/>
  <c r="S100" i="15" s="1"/>
  <c r="T100" i="15" s="1"/>
  <c r="G100" i="15"/>
  <c r="I100" i="15" s="1"/>
  <c r="F100" i="15"/>
  <c r="U99" i="15"/>
  <c r="P99" i="15"/>
  <c r="S99" i="15" s="1"/>
  <c r="T99" i="15" s="1"/>
  <c r="G99" i="15"/>
  <c r="I99" i="15" s="1"/>
  <c r="F99" i="15"/>
  <c r="U98" i="15"/>
  <c r="P98" i="15"/>
  <c r="S98" i="15" s="1"/>
  <c r="T98" i="15" s="1"/>
  <c r="G98" i="15"/>
  <c r="I98" i="15" s="1"/>
  <c r="F98" i="15"/>
  <c r="U97" i="15"/>
  <c r="P97" i="15"/>
  <c r="S97" i="15" s="1"/>
  <c r="T97" i="15" s="1"/>
  <c r="G97" i="15"/>
  <c r="I97" i="15" s="1"/>
  <c r="F97" i="15"/>
  <c r="U96" i="15"/>
  <c r="P96" i="15"/>
  <c r="S96" i="15" s="1"/>
  <c r="T96" i="15" s="1"/>
  <c r="G96" i="15"/>
  <c r="I96" i="15" s="1"/>
  <c r="F96" i="15"/>
  <c r="U95" i="15"/>
  <c r="P95" i="15"/>
  <c r="S95" i="15" s="1"/>
  <c r="T95" i="15" s="1"/>
  <c r="G95" i="15"/>
  <c r="I95" i="15" s="1"/>
  <c r="F95" i="15"/>
  <c r="U94" i="15"/>
  <c r="P94" i="15"/>
  <c r="S94" i="15" s="1"/>
  <c r="T94" i="15" s="1"/>
  <c r="G94" i="15"/>
  <c r="I94" i="15" s="1"/>
  <c r="F94" i="15"/>
  <c r="U93" i="15"/>
  <c r="P93" i="15"/>
  <c r="S93" i="15" s="1"/>
  <c r="T93" i="15" s="1"/>
  <c r="G93" i="15"/>
  <c r="I93" i="15" s="1"/>
  <c r="F93" i="15"/>
  <c r="U92" i="15"/>
  <c r="P92" i="15"/>
  <c r="S92" i="15" s="1"/>
  <c r="T92" i="15" s="1"/>
  <c r="G92" i="15"/>
  <c r="I92" i="15" s="1"/>
  <c r="F92" i="15"/>
  <c r="U91" i="15"/>
  <c r="P91" i="15"/>
  <c r="S91" i="15" s="1"/>
  <c r="T91" i="15" s="1"/>
  <c r="G91" i="15"/>
  <c r="I91" i="15" s="1"/>
  <c r="F91" i="15"/>
  <c r="U90" i="15"/>
  <c r="P90" i="15"/>
  <c r="S90" i="15" s="1"/>
  <c r="T90" i="15" s="1"/>
  <c r="G90" i="15"/>
  <c r="I90" i="15" s="1"/>
  <c r="F90" i="15"/>
  <c r="AB89" i="15"/>
  <c r="U89" i="15"/>
  <c r="P89" i="15"/>
  <c r="S89" i="15" s="1"/>
  <c r="T89" i="15" s="1"/>
  <c r="G89" i="15"/>
  <c r="I89" i="15" s="1"/>
  <c r="F89" i="15"/>
  <c r="U88" i="15"/>
  <c r="P88" i="15"/>
  <c r="S88" i="15" s="1"/>
  <c r="T88" i="15" s="1"/>
  <c r="G88" i="15"/>
  <c r="I88" i="15" s="1"/>
  <c r="F88" i="15"/>
  <c r="U87" i="15"/>
  <c r="P87" i="15"/>
  <c r="S87" i="15" s="1"/>
  <c r="T87" i="15" s="1"/>
  <c r="G87" i="15"/>
  <c r="I87" i="15" s="1"/>
  <c r="F87" i="15"/>
  <c r="U86" i="15"/>
  <c r="P86" i="15"/>
  <c r="S86" i="15" s="1"/>
  <c r="T86" i="15" s="1"/>
  <c r="G86" i="15"/>
  <c r="I86" i="15" s="1"/>
  <c r="F86" i="15"/>
  <c r="U85" i="15"/>
  <c r="P85" i="15"/>
  <c r="S85" i="15" s="1"/>
  <c r="T85" i="15" s="1"/>
  <c r="G85" i="15"/>
  <c r="I85" i="15" s="1"/>
  <c r="F85" i="15"/>
  <c r="U84" i="15"/>
  <c r="P84" i="15"/>
  <c r="S84" i="15" s="1"/>
  <c r="T84" i="15" s="1"/>
  <c r="G84" i="15"/>
  <c r="I84" i="15" s="1"/>
  <c r="F84" i="15"/>
  <c r="U83" i="15"/>
  <c r="P83" i="15"/>
  <c r="S83" i="15" s="1"/>
  <c r="T83" i="15" s="1"/>
  <c r="G83" i="15"/>
  <c r="I83" i="15" s="1"/>
  <c r="F83" i="15"/>
  <c r="U82" i="15"/>
  <c r="P82" i="15"/>
  <c r="S82" i="15" s="1"/>
  <c r="T82" i="15" s="1"/>
  <c r="G82" i="15"/>
  <c r="I82" i="15" s="1"/>
  <c r="F82" i="15"/>
  <c r="U81" i="15"/>
  <c r="P81" i="15"/>
  <c r="S81" i="15" s="1"/>
  <c r="T81" i="15" s="1"/>
  <c r="G81" i="15"/>
  <c r="I81" i="15" s="1"/>
  <c r="F81" i="15"/>
  <c r="U80" i="15"/>
  <c r="P80" i="15"/>
  <c r="S80" i="15" s="1"/>
  <c r="T80" i="15" s="1"/>
  <c r="G80" i="15"/>
  <c r="I80" i="15" s="1"/>
  <c r="F80" i="15"/>
  <c r="U79" i="15"/>
  <c r="P79" i="15"/>
  <c r="S79" i="15" s="1"/>
  <c r="T79" i="15" s="1"/>
  <c r="G79" i="15"/>
  <c r="I79" i="15" s="1"/>
  <c r="F79" i="15"/>
  <c r="U78" i="15"/>
  <c r="P78" i="15"/>
  <c r="S78" i="15" s="1"/>
  <c r="T78" i="15" s="1"/>
  <c r="G78" i="15"/>
  <c r="I78" i="15" s="1"/>
  <c r="F78" i="15"/>
  <c r="U77" i="15"/>
  <c r="P77" i="15"/>
  <c r="S77" i="15" s="1"/>
  <c r="T77" i="15" s="1"/>
  <c r="G77" i="15"/>
  <c r="I77" i="15" s="1"/>
  <c r="F77" i="15"/>
  <c r="U76" i="15"/>
  <c r="P76" i="15"/>
  <c r="S76" i="15" s="1"/>
  <c r="T76" i="15" s="1"/>
  <c r="G76" i="15"/>
  <c r="I76" i="15" s="1"/>
  <c r="F76" i="15"/>
  <c r="U75" i="15"/>
  <c r="P75" i="15"/>
  <c r="S75" i="15" s="1"/>
  <c r="T75" i="15" s="1"/>
  <c r="G75" i="15"/>
  <c r="I75" i="15" s="1"/>
  <c r="F75" i="15"/>
  <c r="U74" i="15"/>
  <c r="P74" i="15"/>
  <c r="S74" i="15" s="1"/>
  <c r="T74" i="15" s="1"/>
  <c r="G74" i="15"/>
  <c r="I74" i="15" s="1"/>
  <c r="F74" i="15"/>
  <c r="U73" i="15"/>
  <c r="P73" i="15"/>
  <c r="S73" i="15" s="1"/>
  <c r="T73" i="15" s="1"/>
  <c r="G73" i="15"/>
  <c r="I73" i="15" s="1"/>
  <c r="F73" i="15"/>
  <c r="U72" i="15"/>
  <c r="P72" i="15"/>
  <c r="S72" i="15" s="1"/>
  <c r="T72" i="15" s="1"/>
  <c r="G72" i="15"/>
  <c r="I72" i="15" s="1"/>
  <c r="F72" i="15"/>
  <c r="U71" i="15"/>
  <c r="P71" i="15"/>
  <c r="S71" i="15" s="1"/>
  <c r="T71" i="15" s="1"/>
  <c r="G71" i="15"/>
  <c r="I71" i="15" s="1"/>
  <c r="F71" i="15"/>
  <c r="U70" i="15"/>
  <c r="P70" i="15"/>
  <c r="S70" i="15" s="1"/>
  <c r="T70" i="15" s="1"/>
  <c r="G70" i="15"/>
  <c r="I70" i="15" s="1"/>
  <c r="F70" i="15"/>
  <c r="U69" i="15"/>
  <c r="P69" i="15"/>
  <c r="S69" i="15" s="1"/>
  <c r="T69" i="15" s="1"/>
  <c r="G69" i="15"/>
  <c r="I69" i="15" s="1"/>
  <c r="F69" i="15"/>
  <c r="U68" i="15"/>
  <c r="P68" i="15"/>
  <c r="S68" i="15" s="1"/>
  <c r="T68" i="15" s="1"/>
  <c r="G68" i="15"/>
  <c r="I68" i="15" s="1"/>
  <c r="F68" i="15"/>
  <c r="U67" i="15"/>
  <c r="P67" i="15"/>
  <c r="S67" i="15" s="1"/>
  <c r="T67" i="15" s="1"/>
  <c r="G67" i="15"/>
  <c r="I67" i="15" s="1"/>
  <c r="F67" i="15"/>
  <c r="U66" i="15"/>
  <c r="P66" i="15"/>
  <c r="S66" i="15" s="1"/>
  <c r="T66" i="15" s="1"/>
  <c r="G66" i="15"/>
  <c r="I66" i="15" s="1"/>
  <c r="F66" i="15"/>
  <c r="U65" i="15"/>
  <c r="P65" i="15"/>
  <c r="S65" i="15" s="1"/>
  <c r="T65" i="15" s="1"/>
  <c r="G65" i="15"/>
  <c r="I65" i="15" s="1"/>
  <c r="F65" i="15"/>
  <c r="U62" i="15"/>
  <c r="P62" i="15"/>
  <c r="S62" i="15" s="1"/>
  <c r="T62" i="15" s="1"/>
  <c r="G62" i="15"/>
  <c r="I62" i="15" s="1"/>
  <c r="F62" i="15"/>
  <c r="U61" i="15"/>
  <c r="P61" i="15"/>
  <c r="S61" i="15" s="1"/>
  <c r="T61" i="15" s="1"/>
  <c r="G61" i="15"/>
  <c r="I61" i="15" s="1"/>
  <c r="F61" i="15"/>
  <c r="U60" i="15"/>
  <c r="P60" i="15"/>
  <c r="S60" i="15" s="1"/>
  <c r="T60" i="15" s="1"/>
  <c r="G60" i="15"/>
  <c r="I60" i="15" s="1"/>
  <c r="V60" i="15" s="1"/>
  <c r="F60" i="15"/>
  <c r="U59" i="15"/>
  <c r="P59" i="15"/>
  <c r="S59" i="15" s="1"/>
  <c r="T59" i="15" s="1"/>
  <c r="G59" i="15"/>
  <c r="I59" i="15" s="1"/>
  <c r="F59" i="15"/>
  <c r="U58" i="15"/>
  <c r="P58" i="15"/>
  <c r="S58" i="15" s="1"/>
  <c r="T58" i="15" s="1"/>
  <c r="G58" i="15"/>
  <c r="I58" i="15" s="1"/>
  <c r="F58" i="15"/>
  <c r="U57" i="15"/>
  <c r="P57" i="15"/>
  <c r="S57" i="15" s="1"/>
  <c r="T57" i="15" s="1"/>
  <c r="G57" i="15"/>
  <c r="I57" i="15" s="1"/>
  <c r="F57" i="15"/>
  <c r="U56" i="15"/>
  <c r="P56" i="15"/>
  <c r="S56" i="15" s="1"/>
  <c r="T56" i="15" s="1"/>
  <c r="G56" i="15"/>
  <c r="I56" i="15" s="1"/>
  <c r="F56" i="15"/>
  <c r="U55" i="15"/>
  <c r="P55" i="15"/>
  <c r="S55" i="15" s="1"/>
  <c r="T55" i="15" s="1"/>
  <c r="G55" i="15"/>
  <c r="I55" i="15" s="1"/>
  <c r="F55" i="15"/>
  <c r="U54" i="15"/>
  <c r="P54" i="15"/>
  <c r="S54" i="15" s="1"/>
  <c r="T54" i="15" s="1"/>
  <c r="G54" i="15"/>
  <c r="I54" i="15" s="1"/>
  <c r="F54" i="15"/>
  <c r="U53" i="15"/>
  <c r="P53" i="15"/>
  <c r="S53" i="15" s="1"/>
  <c r="T53" i="15" s="1"/>
  <c r="G53" i="15"/>
  <c r="I53" i="15" s="1"/>
  <c r="F53" i="15"/>
  <c r="U52" i="15"/>
  <c r="P52" i="15"/>
  <c r="S52" i="15" s="1"/>
  <c r="T52" i="15" s="1"/>
  <c r="G52" i="15"/>
  <c r="I52" i="15" s="1"/>
  <c r="F52" i="15"/>
  <c r="U51" i="15"/>
  <c r="P51" i="15"/>
  <c r="S51" i="15" s="1"/>
  <c r="T51" i="15" s="1"/>
  <c r="G51" i="15"/>
  <c r="I51" i="15" s="1"/>
  <c r="F51" i="15"/>
  <c r="U50" i="15"/>
  <c r="P50" i="15"/>
  <c r="S50" i="15" s="1"/>
  <c r="T50" i="15" s="1"/>
  <c r="G50" i="15"/>
  <c r="I50" i="15" s="1"/>
  <c r="F50" i="15"/>
  <c r="U49" i="15"/>
  <c r="P49" i="15"/>
  <c r="S49" i="15" s="1"/>
  <c r="T49" i="15" s="1"/>
  <c r="G49" i="15"/>
  <c r="I49" i="15" s="1"/>
  <c r="F49" i="15"/>
  <c r="U48" i="15"/>
  <c r="P48" i="15"/>
  <c r="S48" i="15" s="1"/>
  <c r="T48" i="15" s="1"/>
  <c r="G48" i="15"/>
  <c r="I48" i="15" s="1"/>
  <c r="F48" i="15"/>
  <c r="U47" i="15"/>
  <c r="P47" i="15"/>
  <c r="S47" i="15" s="1"/>
  <c r="T47" i="15" s="1"/>
  <c r="G47" i="15"/>
  <c r="I47" i="15" s="1"/>
  <c r="F47" i="15"/>
  <c r="U46" i="15"/>
  <c r="P46" i="15"/>
  <c r="S46" i="15" s="1"/>
  <c r="T46" i="15" s="1"/>
  <c r="G46" i="15"/>
  <c r="I46" i="15" s="1"/>
  <c r="F46" i="15"/>
  <c r="U45" i="15"/>
  <c r="P45" i="15"/>
  <c r="S45" i="15" s="1"/>
  <c r="T45" i="15" s="1"/>
  <c r="G45" i="15"/>
  <c r="I45" i="15" s="1"/>
  <c r="F45" i="15"/>
  <c r="U44" i="15"/>
  <c r="P44" i="15"/>
  <c r="S44" i="15" s="1"/>
  <c r="T44" i="15" s="1"/>
  <c r="G44" i="15"/>
  <c r="I44" i="15" s="1"/>
  <c r="F44" i="15"/>
  <c r="U43" i="15"/>
  <c r="P43" i="15"/>
  <c r="S43" i="15" s="1"/>
  <c r="T43" i="15" s="1"/>
  <c r="G43" i="15"/>
  <c r="I43" i="15" s="1"/>
  <c r="F43" i="15"/>
  <c r="U42" i="15"/>
  <c r="P42" i="15"/>
  <c r="S42" i="15" s="1"/>
  <c r="T42" i="15" s="1"/>
  <c r="G42" i="15"/>
  <c r="I42" i="15" s="1"/>
  <c r="F42" i="15"/>
  <c r="U41" i="15"/>
  <c r="P41" i="15"/>
  <c r="S41" i="15" s="1"/>
  <c r="T41" i="15" s="1"/>
  <c r="G41" i="15"/>
  <c r="I41" i="15" s="1"/>
  <c r="F41" i="15"/>
  <c r="U40" i="15"/>
  <c r="P40" i="15"/>
  <c r="S40" i="15" s="1"/>
  <c r="T40" i="15" s="1"/>
  <c r="G40" i="15"/>
  <c r="I40" i="15" s="1"/>
  <c r="F40" i="15"/>
  <c r="U39" i="15"/>
  <c r="P39" i="15"/>
  <c r="S39" i="15" s="1"/>
  <c r="T39" i="15" s="1"/>
  <c r="G39" i="15"/>
  <c r="I39" i="15" s="1"/>
  <c r="F39" i="15"/>
  <c r="U38" i="15"/>
  <c r="P38" i="15"/>
  <c r="S38" i="15" s="1"/>
  <c r="T38" i="15" s="1"/>
  <c r="G38" i="15"/>
  <c r="I38" i="15" s="1"/>
  <c r="F38" i="15"/>
  <c r="U37" i="15"/>
  <c r="P37" i="15"/>
  <c r="S37" i="15" s="1"/>
  <c r="T37" i="15" s="1"/>
  <c r="G37" i="15"/>
  <c r="I37" i="15" s="1"/>
  <c r="F37" i="15"/>
  <c r="U36" i="15"/>
  <c r="P36" i="15"/>
  <c r="S36" i="15" s="1"/>
  <c r="T36" i="15" s="1"/>
  <c r="G36" i="15"/>
  <c r="I36" i="15" s="1"/>
  <c r="F36" i="15"/>
  <c r="U35" i="15"/>
  <c r="P35" i="15"/>
  <c r="S35" i="15" s="1"/>
  <c r="T35" i="15" s="1"/>
  <c r="G35" i="15"/>
  <c r="I35" i="15" s="1"/>
  <c r="F35" i="15"/>
  <c r="U34" i="15"/>
  <c r="P34" i="15"/>
  <c r="S34" i="15" s="1"/>
  <c r="T34" i="15" s="1"/>
  <c r="G34" i="15"/>
  <c r="I34" i="15" s="1"/>
  <c r="F34" i="15"/>
  <c r="U33" i="15"/>
  <c r="P33" i="15"/>
  <c r="S33" i="15" s="1"/>
  <c r="T33" i="15" s="1"/>
  <c r="G33" i="15"/>
  <c r="I33" i="15" s="1"/>
  <c r="F33" i="15"/>
  <c r="U32" i="15"/>
  <c r="P32" i="15"/>
  <c r="S32" i="15" s="1"/>
  <c r="T32" i="15" s="1"/>
  <c r="G32" i="15"/>
  <c r="I32" i="15" s="1"/>
  <c r="F32" i="15"/>
  <c r="AD31" i="15"/>
  <c r="AD32" i="15" s="1"/>
  <c r="AD33" i="15" s="1"/>
  <c r="U31" i="15"/>
  <c r="P31" i="15"/>
  <c r="S31" i="15" s="1"/>
  <c r="T31" i="15" s="1"/>
  <c r="G31" i="15"/>
  <c r="I31" i="15" s="1"/>
  <c r="F31" i="15"/>
  <c r="U30" i="15"/>
  <c r="P30" i="15"/>
  <c r="S30" i="15" s="1"/>
  <c r="T30" i="15" s="1"/>
  <c r="V30" i="15" s="1"/>
  <c r="G30" i="15"/>
  <c r="I30" i="15" s="1"/>
  <c r="F30" i="15"/>
  <c r="U29" i="15"/>
  <c r="P29" i="15"/>
  <c r="S29" i="15" s="1"/>
  <c r="T29" i="15" s="1"/>
  <c r="G29" i="15"/>
  <c r="I29" i="15" s="1"/>
  <c r="F29" i="15"/>
  <c r="AD28" i="15"/>
  <c r="U28" i="15"/>
  <c r="P28" i="15"/>
  <c r="S28" i="15" s="1"/>
  <c r="T28" i="15" s="1"/>
  <c r="G28" i="15"/>
  <c r="I28" i="15" s="1"/>
  <c r="F28" i="15"/>
  <c r="U27" i="15"/>
  <c r="P27" i="15"/>
  <c r="S27" i="15" s="1"/>
  <c r="T27" i="15" s="1"/>
  <c r="G27" i="15"/>
  <c r="I27" i="15" s="1"/>
  <c r="F27" i="15"/>
  <c r="AD26" i="15"/>
  <c r="U26" i="15"/>
  <c r="P26" i="15"/>
  <c r="S26" i="15" s="1"/>
  <c r="T26" i="15" s="1"/>
  <c r="G26" i="15"/>
  <c r="I26" i="15" s="1"/>
  <c r="F26" i="15"/>
  <c r="U25" i="15"/>
  <c r="P25" i="15"/>
  <c r="S25" i="15" s="1"/>
  <c r="T25" i="15" s="1"/>
  <c r="G25" i="15"/>
  <c r="I25" i="15" s="1"/>
  <c r="F25" i="15"/>
  <c r="AD24" i="15"/>
  <c r="U24" i="15"/>
  <c r="P24" i="15"/>
  <c r="S24" i="15" s="1"/>
  <c r="T24" i="15" s="1"/>
  <c r="G24" i="15"/>
  <c r="I24" i="15" s="1"/>
  <c r="F24" i="15"/>
  <c r="U23" i="15"/>
  <c r="P23" i="15"/>
  <c r="S23" i="15" s="1"/>
  <c r="T23" i="15" s="1"/>
  <c r="G23" i="15"/>
  <c r="I23" i="15" s="1"/>
  <c r="F23" i="15"/>
  <c r="AG17" i="15"/>
  <c r="AD17" i="15"/>
  <c r="F14" i="15"/>
  <c r="AG12" i="15"/>
  <c r="F12" i="15"/>
  <c r="AB89" i="11"/>
  <c r="R47" i="14"/>
  <c r="R46" i="14"/>
  <c r="E38" i="14"/>
  <c r="R40" i="14"/>
  <c r="R24" i="14"/>
  <c r="R55" i="14"/>
  <c r="M55" i="14" a="1"/>
  <c r="M55" i="14" s="1"/>
  <c r="L55" i="14" a="1"/>
  <c r="L55" i="14" s="1"/>
  <c r="I55" i="14"/>
  <c r="K55" i="14" s="1"/>
  <c r="M54" i="14" a="1"/>
  <c r="M54" i="14" s="1"/>
  <c r="L54" i="14" a="1"/>
  <c r="L54" i="14" s="1"/>
  <c r="M52" i="14" a="1"/>
  <c r="M52" i="14" s="1"/>
  <c r="L52" i="14" a="1"/>
  <c r="L52" i="14" s="1"/>
  <c r="M51" i="14" a="1"/>
  <c r="M51" i="14" s="1"/>
  <c r="L51" i="14" a="1"/>
  <c r="L51" i="14" s="1"/>
  <c r="M50" i="14" a="1"/>
  <c r="M50" i="14" s="1"/>
  <c r="L50" i="14" a="1"/>
  <c r="L50" i="14" s="1"/>
  <c r="M49" i="14" a="1"/>
  <c r="M49" i="14" s="1"/>
  <c r="L49" i="14" a="1"/>
  <c r="L49" i="14" s="1"/>
  <c r="M48" i="14" a="1"/>
  <c r="M48" i="14" s="1"/>
  <c r="L48" i="14" a="1"/>
  <c r="L48" i="14" s="1"/>
  <c r="E48" i="14"/>
  <c r="M47" i="14" a="1"/>
  <c r="M47" i="14" s="1"/>
  <c r="L47" i="14" a="1"/>
  <c r="L47" i="14" s="1"/>
  <c r="I47" i="14"/>
  <c r="K47" i="14" s="1"/>
  <c r="M46" i="14" a="1"/>
  <c r="M46" i="14" s="1"/>
  <c r="L46" i="14" a="1"/>
  <c r="L46" i="14" s="1"/>
  <c r="I46" i="14"/>
  <c r="K46" i="14" s="1"/>
  <c r="R45" i="14"/>
  <c r="M45" i="14" a="1"/>
  <c r="M45" i="14" s="1"/>
  <c r="L45" i="14" a="1"/>
  <c r="L45" i="14" s="1"/>
  <c r="I45" i="14"/>
  <c r="K45" i="14" s="1"/>
  <c r="R44" i="14"/>
  <c r="M44" i="14" a="1"/>
  <c r="M44" i="14" s="1"/>
  <c r="L44" i="14" a="1"/>
  <c r="L44" i="14" s="1"/>
  <c r="I44" i="14"/>
  <c r="K44" i="14" s="1"/>
  <c r="R43" i="14"/>
  <c r="M43" i="14" a="1"/>
  <c r="M43" i="14" s="1"/>
  <c r="L43" i="14" a="1"/>
  <c r="L43" i="14" s="1"/>
  <c r="I43" i="14"/>
  <c r="K43" i="14" s="1"/>
  <c r="R42" i="14"/>
  <c r="W42" i="14" s="1"/>
  <c r="M42" i="14" a="1"/>
  <c r="M42" i="14" s="1"/>
  <c r="L42" i="14" a="1"/>
  <c r="L42" i="14" s="1"/>
  <c r="I42" i="14"/>
  <c r="K42" i="14" s="1"/>
  <c r="R41" i="14"/>
  <c r="W41" i="14" s="1"/>
  <c r="M41" i="14" a="1"/>
  <c r="M41" i="14" s="1"/>
  <c r="L41" i="14" a="1"/>
  <c r="L41" i="14" s="1"/>
  <c r="I41" i="14"/>
  <c r="K41" i="14" s="1"/>
  <c r="M40" i="14" a="1"/>
  <c r="M40" i="14" s="1"/>
  <c r="L40" i="14" a="1"/>
  <c r="L40" i="14" s="1"/>
  <c r="I40" i="14"/>
  <c r="K40" i="14" s="1"/>
  <c r="R39" i="14"/>
  <c r="M39" i="14" a="1"/>
  <c r="M39" i="14" s="1"/>
  <c r="L39" i="14" a="1"/>
  <c r="L39" i="14" s="1"/>
  <c r="I39" i="14"/>
  <c r="K39" i="14" s="1"/>
  <c r="M38" i="14" a="1"/>
  <c r="M38" i="14" s="1"/>
  <c r="L38" i="14" a="1"/>
  <c r="L38" i="14" s="1"/>
  <c r="M36" i="14" a="1"/>
  <c r="M36" i="14" s="1"/>
  <c r="L36" i="14" a="1"/>
  <c r="L36" i="14" s="1"/>
  <c r="M35" i="14" a="1"/>
  <c r="M35" i="14" s="1"/>
  <c r="L35" i="14" a="1"/>
  <c r="L35" i="14" s="1"/>
  <c r="M34" i="14" a="1"/>
  <c r="M34" i="14" s="1"/>
  <c r="L34" i="14" a="1"/>
  <c r="L34" i="14" s="1"/>
  <c r="M33" i="14" a="1"/>
  <c r="M33" i="14" s="1"/>
  <c r="L33" i="14" a="1"/>
  <c r="L33" i="14" s="1"/>
  <c r="M32" i="14" a="1"/>
  <c r="M32" i="14" s="1"/>
  <c r="L32" i="14" a="1"/>
  <c r="L32" i="14" s="1"/>
  <c r="E32" i="14"/>
  <c r="M31" i="14" a="1"/>
  <c r="M31" i="14" s="1"/>
  <c r="L31" i="14" a="1"/>
  <c r="L31" i="14" s="1"/>
  <c r="I31" i="14"/>
  <c r="K31" i="14" s="1"/>
  <c r="R30" i="14"/>
  <c r="M30" i="14" a="1"/>
  <c r="M30" i="14" s="1"/>
  <c r="L30" i="14" a="1"/>
  <c r="L30" i="14" s="1"/>
  <c r="I30" i="14"/>
  <c r="K30" i="14" s="1"/>
  <c r="R29" i="14"/>
  <c r="M29" i="14" a="1"/>
  <c r="M29" i="14" s="1"/>
  <c r="L29" i="14" a="1"/>
  <c r="L29" i="14" s="1"/>
  <c r="I29" i="14"/>
  <c r="K29" i="14" s="1"/>
  <c r="R28" i="14"/>
  <c r="M28" i="14" a="1"/>
  <c r="M28" i="14" s="1"/>
  <c r="L28" i="14" a="1"/>
  <c r="L28" i="14" s="1"/>
  <c r="I28" i="14"/>
  <c r="K28" i="14" s="1"/>
  <c r="R27" i="14"/>
  <c r="M27" i="14" a="1"/>
  <c r="M27" i="14" s="1"/>
  <c r="L27" i="14" a="1"/>
  <c r="L27" i="14" s="1"/>
  <c r="I27" i="14"/>
  <c r="K27" i="14" s="1"/>
  <c r="R26" i="14"/>
  <c r="M26" i="14" a="1"/>
  <c r="M26" i="14" s="1"/>
  <c r="L26" i="14" a="1"/>
  <c r="L26" i="14" s="1"/>
  <c r="I26" i="14"/>
  <c r="K26" i="14" s="1"/>
  <c r="R25" i="14"/>
  <c r="M25" i="14" a="1"/>
  <c r="M25" i="14" s="1"/>
  <c r="L25" i="14" a="1"/>
  <c r="L25" i="14" s="1"/>
  <c r="I25" i="14"/>
  <c r="K25" i="14" s="1"/>
  <c r="M24" i="14" a="1"/>
  <c r="M24" i="14" s="1"/>
  <c r="L24" i="14" a="1"/>
  <c r="L24" i="14" s="1"/>
  <c r="I24" i="14"/>
  <c r="K24" i="14" s="1"/>
  <c r="AC16" i="14"/>
  <c r="F16" i="14"/>
  <c r="AC15" i="14"/>
  <c r="AC14" i="14"/>
  <c r="F14" i="14"/>
  <c r="AC13" i="14"/>
  <c r="AC12" i="14"/>
  <c r="AC11" i="14"/>
  <c r="AC10" i="14"/>
  <c r="AC9" i="14"/>
  <c r="AC8" i="14"/>
  <c r="Y46" i="10"/>
  <c r="M59" i="13" a="1"/>
  <c r="M59" i="13" s="1"/>
  <c r="L59" i="13" a="1"/>
  <c r="L59" i="13" s="1"/>
  <c r="M58" i="13" a="1"/>
  <c r="M58" i="13" s="1"/>
  <c r="L58" i="13" a="1"/>
  <c r="L58" i="13" s="1"/>
  <c r="M57" i="13" a="1"/>
  <c r="M57" i="13" s="1"/>
  <c r="L57" i="13" a="1"/>
  <c r="L57" i="13" s="1"/>
  <c r="M56" i="13" a="1"/>
  <c r="M56" i="13" s="1"/>
  <c r="L56" i="13" a="1"/>
  <c r="L56" i="13" s="1"/>
  <c r="M54" i="13" a="1"/>
  <c r="M54" i="13" s="1"/>
  <c r="L54" i="13" a="1"/>
  <c r="L54" i="13" s="1"/>
  <c r="M53" i="13" a="1"/>
  <c r="M53" i="13" s="1"/>
  <c r="L53" i="13" a="1"/>
  <c r="L53" i="13" s="1"/>
  <c r="M52" i="13" a="1"/>
  <c r="M52" i="13" s="1"/>
  <c r="L52" i="13" a="1"/>
  <c r="L52" i="13" s="1"/>
  <c r="M51" i="13" a="1"/>
  <c r="M51" i="13" s="1"/>
  <c r="L51" i="13" a="1"/>
  <c r="L51" i="13" s="1"/>
  <c r="M50" i="13" a="1"/>
  <c r="M50" i="13" s="1"/>
  <c r="L50" i="13" a="1"/>
  <c r="L50" i="13" s="1"/>
  <c r="E50" i="13"/>
  <c r="R49" i="13"/>
  <c r="M49" i="13" a="1"/>
  <c r="M49" i="13" s="1"/>
  <c r="L49" i="13" a="1"/>
  <c r="L49" i="13" s="1"/>
  <c r="I49" i="13"/>
  <c r="K49" i="13" s="1"/>
  <c r="R48" i="13"/>
  <c r="M48" i="13" a="1"/>
  <c r="M48" i="13" s="1"/>
  <c r="L48" i="13" a="1"/>
  <c r="L48" i="13" s="1"/>
  <c r="I48" i="13"/>
  <c r="K48" i="13" s="1"/>
  <c r="R47" i="13"/>
  <c r="M47" i="13" a="1"/>
  <c r="M47" i="13" s="1"/>
  <c r="L47" i="13" a="1"/>
  <c r="L47" i="13" s="1"/>
  <c r="I47" i="13"/>
  <c r="K47" i="13" s="1"/>
  <c r="R46" i="13"/>
  <c r="M46" i="13" a="1"/>
  <c r="M46" i="13" s="1"/>
  <c r="L46" i="13" a="1"/>
  <c r="L46" i="13" s="1"/>
  <c r="I46" i="13"/>
  <c r="K46" i="13" s="1"/>
  <c r="R45" i="13"/>
  <c r="M45" i="13" a="1"/>
  <c r="M45" i="13" s="1"/>
  <c r="L45" i="13" a="1"/>
  <c r="L45" i="13" s="1"/>
  <c r="I45" i="13"/>
  <c r="K45" i="13" s="1"/>
  <c r="R44" i="13"/>
  <c r="M44" i="13" a="1"/>
  <c r="M44" i="13" s="1"/>
  <c r="L44" i="13" a="1"/>
  <c r="L44" i="13" s="1"/>
  <c r="I44" i="13"/>
  <c r="K44" i="13" s="1"/>
  <c r="R43" i="13"/>
  <c r="M43" i="13" a="1"/>
  <c r="M43" i="13" s="1"/>
  <c r="L43" i="13" a="1"/>
  <c r="L43" i="13" s="1"/>
  <c r="I43" i="13"/>
  <c r="K43" i="13" s="1"/>
  <c r="M42" i="13" a="1"/>
  <c r="M42" i="13" s="1"/>
  <c r="L42" i="13" a="1"/>
  <c r="L42" i="13" s="1"/>
  <c r="M41" i="13" a="1"/>
  <c r="M41" i="13" s="1"/>
  <c r="L41" i="13" a="1"/>
  <c r="L41" i="13" s="1"/>
  <c r="M40" i="13" a="1"/>
  <c r="M40" i="13" s="1"/>
  <c r="L40" i="13" a="1"/>
  <c r="L40" i="13" s="1"/>
  <c r="M39" i="13" a="1"/>
  <c r="M39" i="13" s="1"/>
  <c r="L39" i="13" a="1"/>
  <c r="L39" i="13" s="1"/>
  <c r="M38" i="13" a="1"/>
  <c r="M38" i="13" s="1"/>
  <c r="L38" i="13" a="1"/>
  <c r="L38" i="13" s="1"/>
  <c r="M36" i="13" a="1"/>
  <c r="M36" i="13" s="1"/>
  <c r="L36" i="13" a="1"/>
  <c r="L36" i="13" s="1"/>
  <c r="M35" i="13" a="1"/>
  <c r="M35" i="13" s="1"/>
  <c r="L35" i="13" a="1"/>
  <c r="L35" i="13" s="1"/>
  <c r="M34" i="13" a="1"/>
  <c r="M34" i="13" s="1"/>
  <c r="L34" i="13" a="1"/>
  <c r="L34" i="13" s="1"/>
  <c r="M33" i="13" a="1"/>
  <c r="M33" i="13" s="1"/>
  <c r="L33" i="13" a="1"/>
  <c r="L33" i="13" s="1"/>
  <c r="M32" i="13" a="1"/>
  <c r="M32" i="13" s="1"/>
  <c r="L32" i="13" a="1"/>
  <c r="L32" i="13" s="1"/>
  <c r="E32" i="13"/>
  <c r="R31" i="13"/>
  <c r="M31" i="13" a="1"/>
  <c r="M31" i="13" s="1"/>
  <c r="L31" i="13" a="1"/>
  <c r="L31" i="13" s="1"/>
  <c r="I31" i="13"/>
  <c r="K31" i="13" s="1"/>
  <c r="R30" i="13"/>
  <c r="M30" i="13" a="1"/>
  <c r="M30" i="13" s="1"/>
  <c r="L30" i="13" a="1"/>
  <c r="L30" i="13" s="1"/>
  <c r="I30" i="13"/>
  <c r="K30" i="13" s="1"/>
  <c r="R29" i="13"/>
  <c r="M29" i="13" a="1"/>
  <c r="M29" i="13" s="1"/>
  <c r="L29" i="13" a="1"/>
  <c r="L29" i="13" s="1"/>
  <c r="I29" i="13"/>
  <c r="K29" i="13" s="1"/>
  <c r="R28" i="13"/>
  <c r="M28" i="13" a="1"/>
  <c r="M28" i="13" s="1"/>
  <c r="L28" i="13" a="1"/>
  <c r="L28" i="13" s="1"/>
  <c r="I28" i="13"/>
  <c r="K28" i="13" s="1"/>
  <c r="R27" i="13"/>
  <c r="M27" i="13" a="1"/>
  <c r="M27" i="13" s="1"/>
  <c r="L27" i="13" a="1"/>
  <c r="L27" i="13" s="1"/>
  <c r="I27" i="13"/>
  <c r="K27" i="13" s="1"/>
  <c r="R26" i="13"/>
  <c r="M26" i="13" a="1"/>
  <c r="M26" i="13" s="1"/>
  <c r="L26" i="13" a="1"/>
  <c r="L26" i="13" s="1"/>
  <c r="I26" i="13"/>
  <c r="K26" i="13" s="1"/>
  <c r="R25" i="13"/>
  <c r="M25" i="13" a="1"/>
  <c r="M25" i="13" s="1"/>
  <c r="L25" i="13" a="1"/>
  <c r="L25" i="13" s="1"/>
  <c r="I25" i="13"/>
  <c r="K25" i="13" s="1"/>
  <c r="R24" i="13"/>
  <c r="M24" i="13" a="1"/>
  <c r="M24" i="13" s="1"/>
  <c r="L24" i="13" a="1"/>
  <c r="L24" i="13" s="1"/>
  <c r="I24" i="13"/>
  <c r="K24" i="13" s="1"/>
  <c r="AC16" i="13"/>
  <c r="F16" i="13"/>
  <c r="AC15" i="13"/>
  <c r="AC14" i="13"/>
  <c r="F14" i="13"/>
  <c r="AC13" i="13"/>
  <c r="AC12" i="13"/>
  <c r="AC11" i="13"/>
  <c r="AC10" i="13"/>
  <c r="AC9" i="13"/>
  <c r="AC8" i="13"/>
  <c r="M65" i="10" a="1"/>
  <c r="M65" i="10" s="1"/>
  <c r="L65" i="10" a="1"/>
  <c r="L65" i="10" s="1"/>
  <c r="M64" i="10" a="1"/>
  <c r="M64" i="10" s="1"/>
  <c r="L64" i="10" a="1"/>
  <c r="L64" i="10" s="1"/>
  <c r="M63" i="10" a="1"/>
  <c r="M63" i="10" s="1"/>
  <c r="L63" i="10" a="1"/>
  <c r="L63" i="10" s="1"/>
  <c r="M62" i="10" a="1"/>
  <c r="M62" i="10" s="1"/>
  <c r="L62" i="10" a="1"/>
  <c r="L62" i="10" s="1"/>
  <c r="M61" i="10" a="1"/>
  <c r="M61" i="10" s="1"/>
  <c r="L61" i="10" a="1"/>
  <c r="L61" i="10" s="1"/>
  <c r="M60" i="10" a="1"/>
  <c r="M60" i="10" s="1"/>
  <c r="L60" i="10" a="1"/>
  <c r="L60" i="10" s="1"/>
  <c r="M59" i="10" a="1"/>
  <c r="M59" i="10" s="1"/>
  <c r="L59" i="10" a="1"/>
  <c r="L59" i="10" s="1"/>
  <c r="M57" i="10" a="1"/>
  <c r="M57" i="10" s="1"/>
  <c r="L57" i="10" a="1"/>
  <c r="L57" i="10" s="1"/>
  <c r="M56" i="10" a="1"/>
  <c r="M56" i="10" s="1"/>
  <c r="L56" i="10" a="1"/>
  <c r="L56" i="10" s="1"/>
  <c r="M55" i="10" a="1"/>
  <c r="M55" i="10" s="1"/>
  <c r="L55" i="10" a="1"/>
  <c r="L55" i="10" s="1"/>
  <c r="M54" i="10" a="1"/>
  <c r="M54" i="10" s="1"/>
  <c r="L54" i="10" a="1"/>
  <c r="L54" i="10" s="1"/>
  <c r="M53" i="10" a="1"/>
  <c r="M53" i="10" s="1"/>
  <c r="L53" i="10" a="1"/>
  <c r="L53" i="10" s="1"/>
  <c r="E53" i="10"/>
  <c r="R52" i="10"/>
  <c r="M52" i="10" a="1"/>
  <c r="M52" i="10" s="1"/>
  <c r="L52" i="10" a="1"/>
  <c r="L52" i="10" s="1"/>
  <c r="I52" i="10"/>
  <c r="K52" i="10" s="1"/>
  <c r="L45" i="10" a="1"/>
  <c r="L45" i="10" s="1"/>
  <c r="M45" i="10" a="1"/>
  <c r="M45" i="10" s="1"/>
  <c r="I46" i="10"/>
  <c r="K46" i="10"/>
  <c r="L46" i="10" a="1"/>
  <c r="L46" i="10" s="1"/>
  <c r="M46" i="10" a="1"/>
  <c r="M46" i="10" s="1"/>
  <c r="R46" i="10"/>
  <c r="U46" i="10"/>
  <c r="V46" i="10" s="1"/>
  <c r="X46" i="10" s="1"/>
  <c r="W46" i="10"/>
  <c r="I47" i="10"/>
  <c r="K47" i="10"/>
  <c r="Y47" i="10" s="1"/>
  <c r="L47" i="10" a="1"/>
  <c r="L47" i="10" s="1"/>
  <c r="M47" i="10" a="1"/>
  <c r="M47" i="10" s="1"/>
  <c r="R47" i="10"/>
  <c r="U47" i="10"/>
  <c r="V47" i="10" s="1"/>
  <c r="W47" i="10"/>
  <c r="I48" i="10"/>
  <c r="K48" i="10"/>
  <c r="Y48" i="10" s="1"/>
  <c r="L48" i="10" a="1"/>
  <c r="L48" i="10" s="1"/>
  <c r="M48" i="10" a="1"/>
  <c r="M48" i="10" s="1"/>
  <c r="R48" i="10"/>
  <c r="U48" i="10" s="1"/>
  <c r="V48" i="10" s="1"/>
  <c r="W48" i="10"/>
  <c r="I49" i="10"/>
  <c r="K49" i="10"/>
  <c r="L49" i="10" a="1"/>
  <c r="L49" i="10" s="1"/>
  <c r="M49" i="10" a="1"/>
  <c r="M49" i="10" s="1"/>
  <c r="R49" i="10"/>
  <c r="I50" i="10"/>
  <c r="K50" i="10" s="1"/>
  <c r="L50" i="10" a="1"/>
  <c r="L50" i="10" s="1"/>
  <c r="M50" i="10" a="1"/>
  <c r="M50" i="10" s="1"/>
  <c r="R50" i="10"/>
  <c r="I51" i="10"/>
  <c r="K51" i="10" s="1"/>
  <c r="Y51" i="10" s="1"/>
  <c r="L51" i="10" a="1"/>
  <c r="L51" i="10" s="1"/>
  <c r="M51" i="10" a="1"/>
  <c r="M51" i="10" s="1"/>
  <c r="R51" i="10"/>
  <c r="U51" i="10"/>
  <c r="V51" i="10" s="1"/>
  <c r="W51" i="10"/>
  <c r="E32" i="10"/>
  <c r="E33" i="10" s="1"/>
  <c r="E34" i="10" s="1"/>
  <c r="R24" i="10"/>
  <c r="R25" i="10"/>
  <c r="R26" i="10"/>
  <c r="R27" i="10"/>
  <c r="R28" i="10"/>
  <c r="R29" i="10"/>
  <c r="U29" i="10" s="1"/>
  <c r="V29" i="10" s="1"/>
  <c r="R30" i="10"/>
  <c r="L24" i="10" a="1"/>
  <c r="L24" i="10" s="1"/>
  <c r="L42" i="10" a="1"/>
  <c r="L42" i="10" s="1"/>
  <c r="L41" i="10" a="1"/>
  <c r="L41" i="10" s="1"/>
  <c r="L40" i="10" a="1"/>
  <c r="L40" i="10" s="1"/>
  <c r="L39" i="10" a="1"/>
  <c r="L39" i="10" s="1"/>
  <c r="L38" i="10" a="1"/>
  <c r="L38" i="10" s="1"/>
  <c r="L36" i="10" a="1"/>
  <c r="L36" i="10" s="1"/>
  <c r="L35" i="10" a="1"/>
  <c r="L35" i="10" s="1"/>
  <c r="L34" i="10" a="1"/>
  <c r="L34" i="10" s="1"/>
  <c r="L33" i="10" a="1"/>
  <c r="L33" i="10" s="1"/>
  <c r="L32" i="10" a="1"/>
  <c r="L32" i="10" s="1"/>
  <c r="L31" i="10" a="1"/>
  <c r="L31" i="10" s="1"/>
  <c r="L30" i="10" a="1"/>
  <c r="L30" i="10" s="1"/>
  <c r="L29" i="10" a="1"/>
  <c r="L29" i="10" s="1"/>
  <c r="L28" i="10" a="1"/>
  <c r="L28" i="10" s="1"/>
  <c r="L27" i="10" a="1"/>
  <c r="L27" i="10" s="1"/>
  <c r="L26" i="10" a="1"/>
  <c r="L26" i="10" s="1"/>
  <c r="L25" i="10" a="1"/>
  <c r="L25" i="10" s="1"/>
  <c r="U28" i="10"/>
  <c r="V28" i="10" s="1"/>
  <c r="I25" i="10"/>
  <c r="K25" i="10" s="1"/>
  <c r="M25" i="10" a="1"/>
  <c r="M25" i="10" s="1"/>
  <c r="I26" i="10"/>
  <c r="K26" i="10" s="1"/>
  <c r="M26" i="10" a="1"/>
  <c r="M26" i="10" s="1"/>
  <c r="I27" i="10"/>
  <c r="K27" i="10" s="1"/>
  <c r="M27" i="10" a="1"/>
  <c r="M27" i="10" s="1"/>
  <c r="I28" i="10"/>
  <c r="K28" i="10" s="1"/>
  <c r="M28" i="10" a="1"/>
  <c r="M28" i="10" s="1"/>
  <c r="W28" i="10"/>
  <c r="I29" i="10"/>
  <c r="K29" i="10" s="1"/>
  <c r="M29" i="10" a="1"/>
  <c r="M29" i="10" s="1"/>
  <c r="I30" i="10"/>
  <c r="K30" i="10" s="1"/>
  <c r="M30" i="10" a="1"/>
  <c r="M30" i="10" s="1"/>
  <c r="I31" i="10"/>
  <c r="K31" i="10" s="1"/>
  <c r="M31" i="10" a="1"/>
  <c r="M31" i="10" s="1"/>
  <c r="R31" i="10"/>
  <c r="M32" i="10" a="1"/>
  <c r="M32" i="10" s="1"/>
  <c r="M33" i="10" a="1"/>
  <c r="M33" i="10" s="1"/>
  <c r="M34" i="10" a="1"/>
  <c r="M34" i="10" s="1"/>
  <c r="M35" i="10" a="1"/>
  <c r="M35" i="10" s="1"/>
  <c r="M36" i="10" a="1"/>
  <c r="M36" i="10" s="1"/>
  <c r="M38" i="10" a="1"/>
  <c r="M38" i="10" s="1"/>
  <c r="M39" i="10" a="1"/>
  <c r="M39" i="10" s="1"/>
  <c r="M40" i="10" a="1"/>
  <c r="M40" i="10" s="1"/>
  <c r="M41" i="10" a="1"/>
  <c r="M41" i="10" s="1"/>
  <c r="M42" i="10" a="1"/>
  <c r="M42" i="10" s="1"/>
  <c r="P12" i="10"/>
  <c r="P13" i="10"/>
  <c r="S23" i="11"/>
  <c r="S23" i="12"/>
  <c r="P59" i="12"/>
  <c r="P60" i="12"/>
  <c r="P39" i="12"/>
  <c r="P23" i="12"/>
  <c r="U80" i="11"/>
  <c r="U79" i="11"/>
  <c r="U78" i="11"/>
  <c r="U77" i="11"/>
  <c r="S77" i="11"/>
  <c r="T77" i="11" s="1"/>
  <c r="U76" i="11"/>
  <c r="S76" i="11"/>
  <c r="T76" i="11" s="1"/>
  <c r="V76" i="11" s="1"/>
  <c r="W76" i="11" s="1"/>
  <c r="Y76" i="11" s="1"/>
  <c r="U75" i="11"/>
  <c r="S75" i="11"/>
  <c r="T75" i="11" s="1"/>
  <c r="V75" i="11" s="1"/>
  <c r="U74" i="11"/>
  <c r="S74" i="11"/>
  <c r="T74" i="11" s="1"/>
  <c r="V74" i="11" s="1"/>
  <c r="U73" i="11"/>
  <c r="S73" i="11"/>
  <c r="T73" i="11" s="1"/>
  <c r="V73" i="11" s="1"/>
  <c r="U72" i="11"/>
  <c r="S72" i="11"/>
  <c r="T72" i="11" s="1"/>
  <c r="V72" i="11" s="1"/>
  <c r="U71" i="11"/>
  <c r="S71" i="11"/>
  <c r="T71" i="11" s="1"/>
  <c r="V71" i="11" s="1"/>
  <c r="W71" i="11" s="1"/>
  <c r="Y71" i="11" s="1"/>
  <c r="U70" i="11"/>
  <c r="S70" i="11"/>
  <c r="T70" i="11" s="1"/>
  <c r="V70" i="11" s="1"/>
  <c r="U69" i="11"/>
  <c r="S69" i="11"/>
  <c r="T69" i="11" s="1"/>
  <c r="V69" i="11" s="1"/>
  <c r="U68" i="11"/>
  <c r="S68" i="11"/>
  <c r="T68" i="11" s="1"/>
  <c r="V68" i="11" s="1"/>
  <c r="U67" i="11"/>
  <c r="S67" i="11"/>
  <c r="T67" i="11" s="1"/>
  <c r="V67" i="11" s="1"/>
  <c r="W67" i="11" s="1"/>
  <c r="Y67" i="11" s="1"/>
  <c r="U66" i="11"/>
  <c r="S66" i="11"/>
  <c r="T66" i="11" s="1"/>
  <c r="V66" i="11" s="1"/>
  <c r="P80" i="11"/>
  <c r="S80" i="11" s="1"/>
  <c r="T80" i="11" s="1"/>
  <c r="V80" i="11" s="1"/>
  <c r="G80" i="11"/>
  <c r="I80" i="11" s="1"/>
  <c r="F80" i="11"/>
  <c r="P79" i="11"/>
  <c r="S79" i="11" s="1"/>
  <c r="T79" i="11" s="1"/>
  <c r="V79" i="11" s="1"/>
  <c r="W79" i="11" s="1"/>
  <c r="Y79" i="11" s="1"/>
  <c r="G79" i="11"/>
  <c r="I79" i="11" s="1"/>
  <c r="F79" i="11"/>
  <c r="P78" i="11"/>
  <c r="S78" i="11" s="1"/>
  <c r="T78" i="11" s="1"/>
  <c r="V78" i="11" s="1"/>
  <c r="G78" i="11"/>
  <c r="I78" i="11" s="1"/>
  <c r="F78" i="11"/>
  <c r="P77" i="11"/>
  <c r="G77" i="11"/>
  <c r="I77" i="11" s="1"/>
  <c r="F77" i="11"/>
  <c r="P76" i="11"/>
  <c r="G76" i="11"/>
  <c r="I76" i="11" s="1"/>
  <c r="F76" i="11"/>
  <c r="P75" i="11"/>
  <c r="G75" i="11"/>
  <c r="I75" i="11" s="1"/>
  <c r="F75" i="11"/>
  <c r="P74" i="11"/>
  <c r="G74" i="11"/>
  <c r="I74" i="11" s="1"/>
  <c r="F74" i="11"/>
  <c r="P73" i="11"/>
  <c r="G73" i="11"/>
  <c r="I73" i="11" s="1"/>
  <c r="F73" i="11"/>
  <c r="P72" i="11"/>
  <c r="G72" i="11"/>
  <c r="I72" i="11" s="1"/>
  <c r="F72" i="11"/>
  <c r="P71" i="11"/>
  <c r="G71" i="11"/>
  <c r="I71" i="11" s="1"/>
  <c r="F71" i="11"/>
  <c r="P70" i="11"/>
  <c r="G70" i="11"/>
  <c r="I70" i="11" s="1"/>
  <c r="F70" i="11"/>
  <c r="P69" i="11"/>
  <c r="G69" i="11"/>
  <c r="I69" i="11" s="1"/>
  <c r="F69" i="11"/>
  <c r="P68" i="11"/>
  <c r="G68" i="11"/>
  <c r="I68" i="11" s="1"/>
  <c r="F68" i="11"/>
  <c r="P67" i="11"/>
  <c r="G67" i="11"/>
  <c r="I67" i="11" s="1"/>
  <c r="F67" i="11"/>
  <c r="P66" i="11"/>
  <c r="G66" i="11"/>
  <c r="I66" i="11" s="1"/>
  <c r="F66" i="11"/>
  <c r="F65" i="11"/>
  <c r="G65" i="11"/>
  <c r="I65" i="11" s="1"/>
  <c r="P65" i="11"/>
  <c r="S65" i="11"/>
  <c r="T65" i="11" s="1"/>
  <c r="U65" i="11"/>
  <c r="V88" i="5"/>
  <c r="V87" i="5"/>
  <c r="G29" i="11"/>
  <c r="I29" i="11" s="1"/>
  <c r="P23" i="11"/>
  <c r="P42" i="11"/>
  <c r="AG12" i="11"/>
  <c r="U96" i="12"/>
  <c r="P96" i="12"/>
  <c r="G96" i="12"/>
  <c r="I96" i="12" s="1"/>
  <c r="F96" i="12"/>
  <c r="U95" i="12"/>
  <c r="P95" i="12"/>
  <c r="G95" i="12"/>
  <c r="I95" i="12" s="1"/>
  <c r="F95" i="12"/>
  <c r="U94" i="12"/>
  <c r="P94" i="12"/>
  <c r="G94" i="12"/>
  <c r="I94" i="12" s="1"/>
  <c r="F94" i="12"/>
  <c r="U93" i="12"/>
  <c r="P93" i="12"/>
  <c r="G93" i="12"/>
  <c r="I93" i="12" s="1"/>
  <c r="F93" i="12"/>
  <c r="U92" i="12"/>
  <c r="P92" i="12"/>
  <c r="G92" i="12"/>
  <c r="I92" i="12" s="1"/>
  <c r="F92" i="12"/>
  <c r="U91" i="12"/>
  <c r="P91" i="12"/>
  <c r="G91" i="12"/>
  <c r="I91" i="12" s="1"/>
  <c r="F91" i="12"/>
  <c r="U90" i="12"/>
  <c r="P90" i="12"/>
  <c r="G90" i="12"/>
  <c r="I90" i="12" s="1"/>
  <c r="F90" i="12"/>
  <c r="U89" i="12"/>
  <c r="P89" i="12"/>
  <c r="G89" i="12"/>
  <c r="I89" i="12" s="1"/>
  <c r="F89" i="12"/>
  <c r="U88" i="12"/>
  <c r="P88" i="12"/>
  <c r="G88" i="12"/>
  <c r="I88" i="12" s="1"/>
  <c r="F88" i="12"/>
  <c r="U87" i="12"/>
  <c r="P87" i="12"/>
  <c r="G87" i="12"/>
  <c r="I87" i="12" s="1"/>
  <c r="F87" i="12"/>
  <c r="U86" i="12"/>
  <c r="P86" i="12"/>
  <c r="G86" i="12"/>
  <c r="I86" i="12" s="1"/>
  <c r="F86" i="12"/>
  <c r="U85" i="12"/>
  <c r="P85" i="12"/>
  <c r="G85" i="12"/>
  <c r="I85" i="12" s="1"/>
  <c r="F85" i="12"/>
  <c r="U84" i="12"/>
  <c r="P84" i="12"/>
  <c r="G84" i="12"/>
  <c r="I84" i="12" s="1"/>
  <c r="F84" i="12"/>
  <c r="U83" i="12"/>
  <c r="P83" i="12"/>
  <c r="G83" i="12"/>
  <c r="I83" i="12" s="1"/>
  <c r="F83" i="12"/>
  <c r="U82" i="12"/>
  <c r="P82" i="12"/>
  <c r="G82" i="12"/>
  <c r="I82" i="12" s="1"/>
  <c r="F82" i="12"/>
  <c r="U81" i="12"/>
  <c r="P81" i="12"/>
  <c r="G81" i="12"/>
  <c r="I81" i="12" s="1"/>
  <c r="F81" i="12"/>
  <c r="U80" i="12"/>
  <c r="P80" i="12"/>
  <c r="G80" i="12"/>
  <c r="I80" i="12" s="1"/>
  <c r="F80" i="12"/>
  <c r="U79" i="12"/>
  <c r="P79" i="12"/>
  <c r="G79" i="12"/>
  <c r="I79" i="12" s="1"/>
  <c r="F79" i="12"/>
  <c r="U78" i="12"/>
  <c r="P78" i="12"/>
  <c r="G78" i="12"/>
  <c r="I78" i="12" s="1"/>
  <c r="F78" i="12"/>
  <c r="U77" i="12"/>
  <c r="P77" i="12"/>
  <c r="G77" i="12"/>
  <c r="I77" i="12" s="1"/>
  <c r="F77" i="12"/>
  <c r="U76" i="12"/>
  <c r="P76" i="12"/>
  <c r="G76" i="12"/>
  <c r="I76" i="12" s="1"/>
  <c r="F76" i="12"/>
  <c r="U75" i="12"/>
  <c r="P75" i="12"/>
  <c r="G75" i="12"/>
  <c r="I75" i="12" s="1"/>
  <c r="F75" i="12"/>
  <c r="U74" i="12"/>
  <c r="P74" i="12"/>
  <c r="G74" i="12"/>
  <c r="I74" i="12" s="1"/>
  <c r="F74" i="12"/>
  <c r="U73" i="12"/>
  <c r="P73" i="12"/>
  <c r="G73" i="12"/>
  <c r="I73" i="12" s="1"/>
  <c r="F73" i="12"/>
  <c r="U72" i="12"/>
  <c r="P72" i="12"/>
  <c r="G72" i="12"/>
  <c r="I72" i="12" s="1"/>
  <c r="F72" i="12"/>
  <c r="U71" i="12"/>
  <c r="P71" i="12"/>
  <c r="G71" i="12"/>
  <c r="I71" i="12" s="1"/>
  <c r="F71" i="12"/>
  <c r="U70" i="12"/>
  <c r="P70" i="12"/>
  <c r="G70" i="12"/>
  <c r="I70" i="12" s="1"/>
  <c r="F70" i="12"/>
  <c r="U69" i="12"/>
  <c r="P69" i="12"/>
  <c r="G69" i="12"/>
  <c r="I69" i="12" s="1"/>
  <c r="F69" i="12"/>
  <c r="U68" i="12"/>
  <c r="P68" i="12"/>
  <c r="G68" i="12"/>
  <c r="I68" i="12" s="1"/>
  <c r="F68" i="12"/>
  <c r="U67" i="12"/>
  <c r="P67" i="12"/>
  <c r="G67" i="12"/>
  <c r="I67" i="12" s="1"/>
  <c r="F67" i="12"/>
  <c r="U66" i="12"/>
  <c r="P66" i="12"/>
  <c r="G66" i="12"/>
  <c r="I66" i="12" s="1"/>
  <c r="F66" i="12"/>
  <c r="U65" i="12"/>
  <c r="P65" i="12"/>
  <c r="G65" i="12"/>
  <c r="I65" i="12" s="1"/>
  <c r="F65" i="12"/>
  <c r="U64" i="12"/>
  <c r="P64" i="12"/>
  <c r="G64" i="12"/>
  <c r="I64" i="12" s="1"/>
  <c r="F64" i="12"/>
  <c r="U63" i="12"/>
  <c r="P63" i="12"/>
  <c r="G63" i="12"/>
  <c r="I63" i="12" s="1"/>
  <c r="F63" i="12"/>
  <c r="U62" i="12"/>
  <c r="P62" i="12"/>
  <c r="G62" i="12"/>
  <c r="I62" i="12" s="1"/>
  <c r="F62" i="12"/>
  <c r="U61" i="12"/>
  <c r="P61" i="12"/>
  <c r="G61" i="12"/>
  <c r="I61" i="12" s="1"/>
  <c r="F61" i="12"/>
  <c r="U60" i="12"/>
  <c r="G60" i="12"/>
  <c r="I60" i="12" s="1"/>
  <c r="F60" i="12"/>
  <c r="U59" i="12"/>
  <c r="G59" i="12"/>
  <c r="I59" i="12" s="1"/>
  <c r="F59" i="12"/>
  <c r="U58" i="12"/>
  <c r="P58" i="12"/>
  <c r="G58" i="12"/>
  <c r="I58" i="12" s="1"/>
  <c r="F58" i="12"/>
  <c r="U57" i="12"/>
  <c r="P57" i="12"/>
  <c r="G57" i="12"/>
  <c r="I57" i="12" s="1"/>
  <c r="F57" i="12"/>
  <c r="U56" i="12"/>
  <c r="P56" i="12"/>
  <c r="G56" i="12"/>
  <c r="I56" i="12" s="1"/>
  <c r="F56" i="12"/>
  <c r="U55" i="12"/>
  <c r="P55" i="12"/>
  <c r="G55" i="12"/>
  <c r="I55" i="12" s="1"/>
  <c r="F55" i="12"/>
  <c r="U54" i="12"/>
  <c r="P54" i="12"/>
  <c r="G54" i="12"/>
  <c r="I54" i="12" s="1"/>
  <c r="F54" i="12"/>
  <c r="U53" i="12"/>
  <c r="P53" i="12"/>
  <c r="G53" i="12"/>
  <c r="I53" i="12" s="1"/>
  <c r="F53" i="12"/>
  <c r="U52" i="12"/>
  <c r="P52" i="12"/>
  <c r="G52" i="12"/>
  <c r="I52" i="12" s="1"/>
  <c r="F52" i="12"/>
  <c r="U51" i="12"/>
  <c r="P51" i="12"/>
  <c r="G51" i="12"/>
  <c r="I51" i="12" s="1"/>
  <c r="F51" i="12"/>
  <c r="U50" i="12"/>
  <c r="P50" i="12"/>
  <c r="G50" i="12"/>
  <c r="I50" i="12" s="1"/>
  <c r="F50" i="12"/>
  <c r="U49" i="12"/>
  <c r="P49" i="12"/>
  <c r="G49" i="12"/>
  <c r="I49" i="12" s="1"/>
  <c r="F49" i="12"/>
  <c r="U48" i="12"/>
  <c r="P48" i="12"/>
  <c r="G48" i="12"/>
  <c r="I48" i="12" s="1"/>
  <c r="F48" i="12"/>
  <c r="U47" i="12"/>
  <c r="P47" i="12"/>
  <c r="G47" i="12"/>
  <c r="I47" i="12" s="1"/>
  <c r="F47" i="12"/>
  <c r="U46" i="12"/>
  <c r="P46" i="12"/>
  <c r="G46" i="12"/>
  <c r="I46" i="12" s="1"/>
  <c r="F46" i="12"/>
  <c r="U45" i="12"/>
  <c r="P45" i="12"/>
  <c r="G45" i="12"/>
  <c r="I45" i="12" s="1"/>
  <c r="F45" i="12"/>
  <c r="U44" i="12"/>
  <c r="P44" i="12"/>
  <c r="G44" i="12"/>
  <c r="I44" i="12" s="1"/>
  <c r="F44" i="12"/>
  <c r="U43" i="12"/>
  <c r="P43" i="12"/>
  <c r="G43" i="12"/>
  <c r="I43" i="12" s="1"/>
  <c r="F43" i="12"/>
  <c r="U42" i="12"/>
  <c r="P42" i="12"/>
  <c r="G42" i="12"/>
  <c r="I42" i="12" s="1"/>
  <c r="F42" i="12"/>
  <c r="U41" i="12"/>
  <c r="P41" i="12"/>
  <c r="G41" i="12"/>
  <c r="I41" i="12" s="1"/>
  <c r="F41" i="12"/>
  <c r="U40" i="12"/>
  <c r="P40" i="12"/>
  <c r="G40" i="12"/>
  <c r="I40" i="12" s="1"/>
  <c r="F40" i="12"/>
  <c r="U39" i="12"/>
  <c r="G39" i="12"/>
  <c r="I39" i="12" s="1"/>
  <c r="F39" i="12"/>
  <c r="U38" i="12"/>
  <c r="P38" i="12"/>
  <c r="S38" i="12" s="1"/>
  <c r="T38" i="12" s="1"/>
  <c r="G38" i="12"/>
  <c r="I38" i="12" s="1"/>
  <c r="F38" i="12"/>
  <c r="U37" i="12"/>
  <c r="P37" i="12"/>
  <c r="S37" i="12" s="1"/>
  <c r="T37" i="12" s="1"/>
  <c r="G37" i="12"/>
  <c r="I37" i="12" s="1"/>
  <c r="F37" i="12"/>
  <c r="U36" i="12"/>
  <c r="P36" i="12"/>
  <c r="S36" i="12" s="1"/>
  <c r="T36" i="12" s="1"/>
  <c r="G36" i="12"/>
  <c r="I36" i="12" s="1"/>
  <c r="F36" i="12"/>
  <c r="U35" i="12"/>
  <c r="P35" i="12"/>
  <c r="S35" i="12" s="1"/>
  <c r="T35" i="12" s="1"/>
  <c r="G35" i="12"/>
  <c r="I35" i="12" s="1"/>
  <c r="F35" i="12"/>
  <c r="U34" i="12"/>
  <c r="P34" i="12"/>
  <c r="S34" i="12" s="1"/>
  <c r="T34" i="12" s="1"/>
  <c r="G34" i="12"/>
  <c r="I34" i="12" s="1"/>
  <c r="F34" i="12"/>
  <c r="U33" i="12"/>
  <c r="P33" i="12"/>
  <c r="S33" i="12" s="1"/>
  <c r="T33" i="12" s="1"/>
  <c r="G33" i="12"/>
  <c r="I33" i="12" s="1"/>
  <c r="F33" i="12"/>
  <c r="U32" i="12"/>
  <c r="P32" i="12"/>
  <c r="S32" i="12" s="1"/>
  <c r="T32" i="12" s="1"/>
  <c r="G32" i="12"/>
  <c r="I32" i="12" s="1"/>
  <c r="F32" i="12"/>
  <c r="AD31" i="12"/>
  <c r="AD32" i="12" s="1"/>
  <c r="AD33" i="12" s="1"/>
  <c r="U31" i="12"/>
  <c r="P31" i="12"/>
  <c r="S31" i="12" s="1"/>
  <c r="T31" i="12" s="1"/>
  <c r="G31" i="12"/>
  <c r="I31" i="12" s="1"/>
  <c r="F31" i="12"/>
  <c r="U30" i="12"/>
  <c r="P30" i="12"/>
  <c r="S30" i="12" s="1"/>
  <c r="T30" i="12" s="1"/>
  <c r="G30" i="12"/>
  <c r="I30" i="12" s="1"/>
  <c r="F30" i="12"/>
  <c r="U29" i="12"/>
  <c r="P29" i="12"/>
  <c r="S29" i="12" s="1"/>
  <c r="T29" i="12" s="1"/>
  <c r="G29" i="12"/>
  <c r="I29" i="12" s="1"/>
  <c r="F29" i="12"/>
  <c r="AD28" i="12"/>
  <c r="U28" i="12"/>
  <c r="P28" i="12"/>
  <c r="S28" i="12" s="1"/>
  <c r="T28" i="12" s="1"/>
  <c r="G28" i="12"/>
  <c r="I28" i="12" s="1"/>
  <c r="F28" i="12"/>
  <c r="U27" i="12"/>
  <c r="P27" i="12"/>
  <c r="S27" i="12" s="1"/>
  <c r="T27" i="12" s="1"/>
  <c r="G27" i="12"/>
  <c r="I27" i="12" s="1"/>
  <c r="F27" i="12"/>
  <c r="AD26" i="12"/>
  <c r="U26" i="12"/>
  <c r="P26" i="12"/>
  <c r="S26" i="12" s="1"/>
  <c r="T26" i="12" s="1"/>
  <c r="G26" i="12"/>
  <c r="I26" i="12" s="1"/>
  <c r="F26" i="12"/>
  <c r="U25" i="12"/>
  <c r="P25" i="12"/>
  <c r="S25" i="12" s="1"/>
  <c r="T25" i="12" s="1"/>
  <c r="G25" i="12"/>
  <c r="I25" i="12" s="1"/>
  <c r="F25" i="12"/>
  <c r="AD24" i="12"/>
  <c r="U24" i="12"/>
  <c r="P24" i="12"/>
  <c r="S24" i="12" s="1"/>
  <c r="T24" i="12" s="1"/>
  <c r="G24" i="12"/>
  <c r="I24" i="12" s="1"/>
  <c r="F24" i="12"/>
  <c r="U23" i="12"/>
  <c r="G23" i="12"/>
  <c r="I23" i="12" s="1"/>
  <c r="F23" i="12"/>
  <c r="AG17" i="12"/>
  <c r="AD17" i="12"/>
  <c r="F14" i="12"/>
  <c r="F12" i="12"/>
  <c r="U104" i="11"/>
  <c r="G104" i="11"/>
  <c r="I104" i="11" s="1"/>
  <c r="F104" i="11"/>
  <c r="U103" i="11"/>
  <c r="G103" i="11"/>
  <c r="I103" i="11" s="1"/>
  <c r="F103" i="11"/>
  <c r="U102" i="11"/>
  <c r="G102" i="11"/>
  <c r="I102" i="11" s="1"/>
  <c r="F102" i="11"/>
  <c r="U101" i="11"/>
  <c r="G101" i="11"/>
  <c r="I101" i="11" s="1"/>
  <c r="F101" i="11"/>
  <c r="U100" i="11"/>
  <c r="G100" i="11"/>
  <c r="I100" i="11" s="1"/>
  <c r="F100" i="11"/>
  <c r="U99" i="11"/>
  <c r="G99" i="11"/>
  <c r="I99" i="11" s="1"/>
  <c r="F99" i="11"/>
  <c r="U98" i="11"/>
  <c r="G98" i="11"/>
  <c r="I98" i="11" s="1"/>
  <c r="F98" i="11"/>
  <c r="U97" i="11"/>
  <c r="G97" i="11"/>
  <c r="I97" i="11" s="1"/>
  <c r="F97" i="11"/>
  <c r="U96" i="11"/>
  <c r="G96" i="11"/>
  <c r="I96" i="11" s="1"/>
  <c r="F96" i="11"/>
  <c r="U95" i="11"/>
  <c r="G95" i="11"/>
  <c r="I95" i="11" s="1"/>
  <c r="F95" i="11"/>
  <c r="U94" i="11"/>
  <c r="G94" i="11"/>
  <c r="I94" i="11" s="1"/>
  <c r="F94" i="11"/>
  <c r="U93" i="11"/>
  <c r="G93" i="11"/>
  <c r="I93" i="11" s="1"/>
  <c r="F93" i="11"/>
  <c r="U92" i="11"/>
  <c r="G92" i="11"/>
  <c r="I92" i="11" s="1"/>
  <c r="F92" i="11"/>
  <c r="U91" i="11"/>
  <c r="G91" i="11"/>
  <c r="I91" i="11" s="1"/>
  <c r="F91" i="11"/>
  <c r="U90" i="11"/>
  <c r="G90" i="11"/>
  <c r="I90" i="11" s="1"/>
  <c r="F90" i="11"/>
  <c r="U89" i="11"/>
  <c r="G89" i="11"/>
  <c r="I89" i="11" s="1"/>
  <c r="F89" i="11"/>
  <c r="U88" i="11"/>
  <c r="G88" i="11"/>
  <c r="I88" i="11" s="1"/>
  <c r="F88" i="11"/>
  <c r="U87" i="11"/>
  <c r="G87" i="11"/>
  <c r="I87" i="11" s="1"/>
  <c r="F87" i="11"/>
  <c r="U86" i="11"/>
  <c r="G86" i="11"/>
  <c r="I86" i="11" s="1"/>
  <c r="F86" i="11"/>
  <c r="U85" i="11"/>
  <c r="G85" i="11"/>
  <c r="I85" i="11" s="1"/>
  <c r="F85" i="11"/>
  <c r="U84" i="11"/>
  <c r="G84" i="11"/>
  <c r="I84" i="11" s="1"/>
  <c r="F84" i="11"/>
  <c r="U83" i="11"/>
  <c r="G83" i="11"/>
  <c r="I83" i="11" s="1"/>
  <c r="F83" i="11"/>
  <c r="U82" i="11"/>
  <c r="G82" i="11"/>
  <c r="I82" i="11" s="1"/>
  <c r="F82" i="11"/>
  <c r="U81" i="11"/>
  <c r="G81" i="11"/>
  <c r="I81" i="11" s="1"/>
  <c r="F81" i="11"/>
  <c r="U64" i="11"/>
  <c r="G64" i="11"/>
  <c r="I64" i="11" s="1"/>
  <c r="F64" i="11"/>
  <c r="U63" i="11"/>
  <c r="G63" i="11"/>
  <c r="I63" i="11" s="1"/>
  <c r="F63" i="11"/>
  <c r="U62" i="11"/>
  <c r="G62" i="11"/>
  <c r="I62" i="11" s="1"/>
  <c r="F62" i="11"/>
  <c r="U61" i="11"/>
  <c r="G61" i="11"/>
  <c r="I61" i="11" s="1"/>
  <c r="F61" i="11"/>
  <c r="U60" i="11"/>
  <c r="G60" i="11"/>
  <c r="I60" i="11" s="1"/>
  <c r="F60" i="11"/>
  <c r="U59" i="11"/>
  <c r="G59" i="11"/>
  <c r="I59" i="11" s="1"/>
  <c r="F59" i="11"/>
  <c r="U58" i="11"/>
  <c r="G58" i="11"/>
  <c r="I58" i="11" s="1"/>
  <c r="F58" i="11"/>
  <c r="U57" i="11"/>
  <c r="G57" i="11"/>
  <c r="I57" i="11" s="1"/>
  <c r="F57" i="11"/>
  <c r="U56" i="11"/>
  <c r="G56" i="11"/>
  <c r="I56" i="11" s="1"/>
  <c r="F56" i="11"/>
  <c r="U55" i="11"/>
  <c r="G55" i="11"/>
  <c r="I55" i="11" s="1"/>
  <c r="F55" i="11"/>
  <c r="U54" i="11"/>
  <c r="G54" i="11"/>
  <c r="I54" i="11" s="1"/>
  <c r="F54" i="11"/>
  <c r="U53" i="11"/>
  <c r="G53" i="11"/>
  <c r="I53" i="11" s="1"/>
  <c r="F53" i="11"/>
  <c r="U52" i="11"/>
  <c r="G52" i="11"/>
  <c r="I52" i="11" s="1"/>
  <c r="F52" i="11"/>
  <c r="U51" i="11"/>
  <c r="G51" i="11"/>
  <c r="I51" i="11" s="1"/>
  <c r="F51" i="11"/>
  <c r="U50" i="11"/>
  <c r="G50" i="11"/>
  <c r="I50" i="11" s="1"/>
  <c r="F50" i="11"/>
  <c r="U49" i="11"/>
  <c r="G49" i="11"/>
  <c r="I49" i="11" s="1"/>
  <c r="F49" i="11"/>
  <c r="U48" i="11"/>
  <c r="G48" i="11"/>
  <c r="I48" i="11" s="1"/>
  <c r="F48" i="11"/>
  <c r="U47" i="11"/>
  <c r="G47" i="11"/>
  <c r="I47" i="11" s="1"/>
  <c r="F47" i="11"/>
  <c r="U46" i="11"/>
  <c r="G46" i="11"/>
  <c r="I46" i="11" s="1"/>
  <c r="F46" i="11"/>
  <c r="U45" i="11"/>
  <c r="G45" i="11"/>
  <c r="I45" i="11" s="1"/>
  <c r="F45" i="11"/>
  <c r="U44" i="11"/>
  <c r="G44" i="11"/>
  <c r="I44" i="11" s="1"/>
  <c r="F44" i="11"/>
  <c r="U43" i="11"/>
  <c r="G43" i="11"/>
  <c r="I43" i="11" s="1"/>
  <c r="F43" i="11"/>
  <c r="U42" i="11"/>
  <c r="G42" i="11"/>
  <c r="I42" i="11" s="1"/>
  <c r="F42" i="11"/>
  <c r="U41" i="11"/>
  <c r="G41" i="11"/>
  <c r="I41" i="11" s="1"/>
  <c r="F41" i="11"/>
  <c r="U40" i="11"/>
  <c r="G40" i="11"/>
  <c r="I40" i="11" s="1"/>
  <c r="F40" i="11"/>
  <c r="U39" i="11"/>
  <c r="G39" i="11"/>
  <c r="I39" i="11" s="1"/>
  <c r="F39" i="11"/>
  <c r="U38" i="11"/>
  <c r="G38" i="11"/>
  <c r="I38" i="11" s="1"/>
  <c r="F38" i="11"/>
  <c r="U37" i="11"/>
  <c r="G37" i="11"/>
  <c r="I37" i="11" s="1"/>
  <c r="F37" i="11"/>
  <c r="U36" i="11"/>
  <c r="G36" i="11"/>
  <c r="I36" i="11" s="1"/>
  <c r="F36" i="11"/>
  <c r="U35" i="11"/>
  <c r="G35" i="11"/>
  <c r="I35" i="11" s="1"/>
  <c r="F35" i="11"/>
  <c r="U34" i="11"/>
  <c r="G34" i="11"/>
  <c r="I34" i="11" s="1"/>
  <c r="F34" i="11"/>
  <c r="U33" i="11"/>
  <c r="G33" i="11"/>
  <c r="I33" i="11" s="1"/>
  <c r="F33" i="11"/>
  <c r="U32" i="11"/>
  <c r="G32" i="11"/>
  <c r="I32" i="11" s="1"/>
  <c r="F32" i="11"/>
  <c r="AD31" i="11"/>
  <c r="AD32" i="11" s="1"/>
  <c r="AD33" i="11" s="1"/>
  <c r="U31" i="11"/>
  <c r="G31" i="11"/>
  <c r="I31" i="11" s="1"/>
  <c r="F31" i="11"/>
  <c r="U30" i="11"/>
  <c r="G30" i="11"/>
  <c r="I30" i="11" s="1"/>
  <c r="F30" i="11"/>
  <c r="U29" i="11"/>
  <c r="F29" i="11"/>
  <c r="AD28" i="11"/>
  <c r="U28" i="11"/>
  <c r="G28" i="11"/>
  <c r="I28" i="11" s="1"/>
  <c r="F28" i="11"/>
  <c r="U27" i="11"/>
  <c r="G27" i="11"/>
  <c r="I27" i="11" s="1"/>
  <c r="F27" i="11"/>
  <c r="AD26" i="11"/>
  <c r="U26" i="11"/>
  <c r="G26" i="11"/>
  <c r="I26" i="11" s="1"/>
  <c r="F26" i="11"/>
  <c r="U25" i="11"/>
  <c r="G25" i="11"/>
  <c r="I25" i="11" s="1"/>
  <c r="F25" i="11"/>
  <c r="AD24" i="11"/>
  <c r="U24" i="11"/>
  <c r="P24" i="11"/>
  <c r="S24" i="11" s="1"/>
  <c r="T24" i="11" s="1"/>
  <c r="G24" i="11"/>
  <c r="I24" i="11" s="1"/>
  <c r="F24" i="11"/>
  <c r="U23" i="11"/>
  <c r="G23" i="11"/>
  <c r="I23" i="11" s="1"/>
  <c r="F23" i="11"/>
  <c r="AG17" i="11"/>
  <c r="AD17" i="11"/>
  <c r="F14" i="11"/>
  <c r="F12" i="11"/>
  <c r="P97" i="5"/>
  <c r="P96" i="5"/>
  <c r="P95" i="5"/>
  <c r="P94" i="5"/>
  <c r="P93" i="5"/>
  <c r="P92" i="5"/>
  <c r="P91" i="5"/>
  <c r="P90" i="5"/>
  <c r="P89" i="5"/>
  <c r="P88" i="5"/>
  <c r="P87" i="5"/>
  <c r="U116" i="5"/>
  <c r="P116" i="5"/>
  <c r="G116" i="5"/>
  <c r="I116" i="5" s="1"/>
  <c r="F116" i="5"/>
  <c r="U115" i="5"/>
  <c r="P115" i="5"/>
  <c r="G115" i="5"/>
  <c r="I115" i="5" s="1"/>
  <c r="F115" i="5"/>
  <c r="U114" i="5"/>
  <c r="P114" i="5"/>
  <c r="G114" i="5"/>
  <c r="I114" i="5" s="1"/>
  <c r="F114" i="5"/>
  <c r="U113" i="5"/>
  <c r="P113" i="5"/>
  <c r="G113" i="5"/>
  <c r="I113" i="5" s="1"/>
  <c r="F113" i="5"/>
  <c r="U112" i="5"/>
  <c r="P112" i="5"/>
  <c r="G112" i="5"/>
  <c r="I112" i="5" s="1"/>
  <c r="F112" i="5"/>
  <c r="U111" i="5"/>
  <c r="P111" i="5"/>
  <c r="G111" i="5"/>
  <c r="I111" i="5" s="1"/>
  <c r="F111" i="5"/>
  <c r="U110" i="5"/>
  <c r="P110" i="5"/>
  <c r="G110" i="5"/>
  <c r="I110" i="5" s="1"/>
  <c r="F110" i="5"/>
  <c r="U109" i="5"/>
  <c r="P109" i="5"/>
  <c r="G109" i="5"/>
  <c r="I109" i="5" s="1"/>
  <c r="F109" i="5"/>
  <c r="U108" i="5"/>
  <c r="P108" i="5"/>
  <c r="G108" i="5"/>
  <c r="I108" i="5" s="1"/>
  <c r="F108" i="5"/>
  <c r="U107" i="5"/>
  <c r="P107" i="5"/>
  <c r="G107" i="5"/>
  <c r="I107" i="5" s="1"/>
  <c r="F107" i="5"/>
  <c r="U106" i="5"/>
  <c r="P106" i="5"/>
  <c r="G106" i="5"/>
  <c r="I106" i="5" s="1"/>
  <c r="F106" i="5"/>
  <c r="U105" i="5"/>
  <c r="P105" i="5"/>
  <c r="G105" i="5"/>
  <c r="I105" i="5" s="1"/>
  <c r="F105" i="5"/>
  <c r="U104" i="5"/>
  <c r="P104" i="5"/>
  <c r="G104" i="5"/>
  <c r="I104" i="5" s="1"/>
  <c r="F104" i="5"/>
  <c r="U103" i="5"/>
  <c r="P103" i="5"/>
  <c r="G103" i="5"/>
  <c r="I103" i="5" s="1"/>
  <c r="F103" i="5"/>
  <c r="U102" i="5"/>
  <c r="P102" i="5"/>
  <c r="G102" i="5"/>
  <c r="I102" i="5" s="1"/>
  <c r="F102" i="5"/>
  <c r="U101" i="5"/>
  <c r="P101" i="5"/>
  <c r="G101" i="5"/>
  <c r="I101" i="5" s="1"/>
  <c r="F101" i="5"/>
  <c r="U100" i="5"/>
  <c r="P100" i="5"/>
  <c r="G100" i="5"/>
  <c r="I100" i="5" s="1"/>
  <c r="F100" i="5"/>
  <c r="U99" i="5"/>
  <c r="P99" i="5"/>
  <c r="G99" i="5"/>
  <c r="I99" i="5" s="1"/>
  <c r="F99" i="5"/>
  <c r="U98" i="5"/>
  <c r="P98" i="5"/>
  <c r="G98" i="5"/>
  <c r="I98" i="5" s="1"/>
  <c r="F98" i="5"/>
  <c r="U97" i="5"/>
  <c r="G97" i="5"/>
  <c r="I97" i="5" s="1"/>
  <c r="F97" i="5"/>
  <c r="U96" i="5"/>
  <c r="G96" i="5"/>
  <c r="I96" i="5" s="1"/>
  <c r="F96" i="5"/>
  <c r="U95" i="5"/>
  <c r="G95" i="5"/>
  <c r="I95" i="5" s="1"/>
  <c r="F95" i="5"/>
  <c r="U94" i="5"/>
  <c r="G94" i="5"/>
  <c r="I94" i="5" s="1"/>
  <c r="F94" i="5"/>
  <c r="U93" i="5"/>
  <c r="G93" i="5"/>
  <c r="I93" i="5" s="1"/>
  <c r="F93" i="5"/>
  <c r="U92" i="5"/>
  <c r="G92" i="5"/>
  <c r="I92" i="5" s="1"/>
  <c r="F92" i="5"/>
  <c r="U91" i="5"/>
  <c r="G91" i="5"/>
  <c r="I91" i="5" s="1"/>
  <c r="F91" i="5"/>
  <c r="U90" i="5"/>
  <c r="G90" i="5"/>
  <c r="I90" i="5" s="1"/>
  <c r="F90" i="5"/>
  <c r="U89" i="5"/>
  <c r="G89" i="5"/>
  <c r="I89" i="5" s="1"/>
  <c r="F89" i="5"/>
  <c r="U88" i="5"/>
  <c r="G88" i="5"/>
  <c r="I88" i="5" s="1"/>
  <c r="F88" i="5"/>
  <c r="U87" i="5"/>
  <c r="G87" i="5"/>
  <c r="I87" i="5" s="1"/>
  <c r="F87" i="5"/>
  <c r="P71" i="5"/>
  <c r="G72" i="5"/>
  <c r="G71" i="5"/>
  <c r="U86" i="5"/>
  <c r="P86" i="5"/>
  <c r="G86" i="5"/>
  <c r="I86" i="5" s="1"/>
  <c r="F86" i="5"/>
  <c r="U85" i="5"/>
  <c r="P85" i="5"/>
  <c r="G85" i="5"/>
  <c r="I85" i="5" s="1"/>
  <c r="F85" i="5"/>
  <c r="U84" i="5"/>
  <c r="P84" i="5"/>
  <c r="G84" i="5"/>
  <c r="I84" i="5" s="1"/>
  <c r="F84" i="5"/>
  <c r="U83" i="5"/>
  <c r="P83" i="5"/>
  <c r="G83" i="5"/>
  <c r="I83" i="5" s="1"/>
  <c r="F83" i="5"/>
  <c r="U82" i="5"/>
  <c r="P82" i="5"/>
  <c r="G82" i="5"/>
  <c r="I82" i="5" s="1"/>
  <c r="F82" i="5"/>
  <c r="U81" i="5"/>
  <c r="P81" i="5"/>
  <c r="G81" i="5"/>
  <c r="I81" i="5" s="1"/>
  <c r="F81" i="5"/>
  <c r="U80" i="5"/>
  <c r="P80" i="5"/>
  <c r="G80" i="5"/>
  <c r="I80" i="5" s="1"/>
  <c r="F80" i="5"/>
  <c r="U79" i="5"/>
  <c r="P79" i="5"/>
  <c r="G79" i="5"/>
  <c r="I79" i="5" s="1"/>
  <c r="F79" i="5"/>
  <c r="U78" i="5"/>
  <c r="P78" i="5"/>
  <c r="G78" i="5"/>
  <c r="I78" i="5" s="1"/>
  <c r="F78" i="5"/>
  <c r="U77" i="5"/>
  <c r="P77" i="5"/>
  <c r="G77" i="5"/>
  <c r="I77" i="5" s="1"/>
  <c r="F77" i="5"/>
  <c r="U76" i="5"/>
  <c r="P76" i="5"/>
  <c r="G76" i="5"/>
  <c r="I76" i="5" s="1"/>
  <c r="F76" i="5"/>
  <c r="U75" i="5"/>
  <c r="P75" i="5"/>
  <c r="G75" i="5"/>
  <c r="I75" i="5" s="1"/>
  <c r="F75" i="5"/>
  <c r="U74" i="5"/>
  <c r="P74" i="5"/>
  <c r="G74" i="5"/>
  <c r="I74" i="5" s="1"/>
  <c r="F74" i="5"/>
  <c r="U73" i="5"/>
  <c r="P73" i="5"/>
  <c r="S73" i="5" s="1"/>
  <c r="T73" i="5" s="1"/>
  <c r="G73" i="5"/>
  <c r="I73" i="5" s="1"/>
  <c r="F73" i="5"/>
  <c r="U72" i="5"/>
  <c r="P72" i="5"/>
  <c r="I72" i="5"/>
  <c r="F72" i="5"/>
  <c r="U71" i="5"/>
  <c r="I71" i="5"/>
  <c r="F71" i="5"/>
  <c r="P70" i="5"/>
  <c r="P69" i="5"/>
  <c r="P68" i="5"/>
  <c r="P67" i="5"/>
  <c r="P66" i="5"/>
  <c r="S66" i="5" s="1"/>
  <c r="T66" i="5" s="1"/>
  <c r="P65" i="5"/>
  <c r="S65" i="5" s="1"/>
  <c r="T65" i="5" s="1"/>
  <c r="P64" i="5"/>
  <c r="S64" i="5" s="1"/>
  <c r="T64" i="5" s="1"/>
  <c r="P63" i="5"/>
  <c r="S63" i="5" s="1"/>
  <c r="T63" i="5" s="1"/>
  <c r="P62" i="5"/>
  <c r="S62" i="5" s="1"/>
  <c r="T62" i="5" s="1"/>
  <c r="P61" i="5"/>
  <c r="S61" i="5" s="1"/>
  <c r="T61" i="5" s="1"/>
  <c r="P60" i="5"/>
  <c r="S60" i="5" s="1"/>
  <c r="T60" i="5" s="1"/>
  <c r="P59" i="5"/>
  <c r="S59" i="5" s="1"/>
  <c r="T59" i="5" s="1"/>
  <c r="P58" i="5"/>
  <c r="S58" i="5" s="1"/>
  <c r="T58" i="5" s="1"/>
  <c r="P57" i="5"/>
  <c r="S57" i="5" s="1"/>
  <c r="T57" i="5" s="1"/>
  <c r="P56" i="5"/>
  <c r="S56" i="5" s="1"/>
  <c r="T56" i="5" s="1"/>
  <c r="P55" i="5"/>
  <c r="S55" i="5" s="1"/>
  <c r="T55" i="5" s="1"/>
  <c r="P54" i="5"/>
  <c r="S54" i="5" s="1"/>
  <c r="T54" i="5" s="1"/>
  <c r="P53" i="5"/>
  <c r="S53" i="5" s="1"/>
  <c r="T53" i="5" s="1"/>
  <c r="P52" i="5"/>
  <c r="S52" i="5" s="1"/>
  <c r="T52" i="5" s="1"/>
  <c r="P51" i="5"/>
  <c r="S51" i="5" s="1"/>
  <c r="T51" i="5" s="1"/>
  <c r="P50" i="5"/>
  <c r="S50" i="5" s="1"/>
  <c r="T50" i="5" s="1"/>
  <c r="P49" i="5"/>
  <c r="S49" i="5" s="1"/>
  <c r="T49" i="5" s="1"/>
  <c r="P48" i="5"/>
  <c r="S48" i="5" s="1"/>
  <c r="T48" i="5" s="1"/>
  <c r="P47" i="5"/>
  <c r="S47" i="5" s="1"/>
  <c r="T47" i="5" s="1"/>
  <c r="P46" i="5"/>
  <c r="P45" i="5"/>
  <c r="P44" i="5"/>
  <c r="P43" i="5"/>
  <c r="P42" i="5"/>
  <c r="P41" i="5"/>
  <c r="S41" i="5" s="1"/>
  <c r="T41" i="5" s="1"/>
  <c r="P40" i="5"/>
  <c r="S40" i="5" s="1"/>
  <c r="T40" i="5" s="1"/>
  <c r="P39" i="5"/>
  <c r="P37" i="5"/>
  <c r="S37" i="5" s="1"/>
  <c r="T37" i="5" s="1"/>
  <c r="P36" i="5"/>
  <c r="S36" i="5" s="1"/>
  <c r="T36" i="5" s="1"/>
  <c r="P35" i="5"/>
  <c r="S35" i="5" s="1"/>
  <c r="T35" i="5" s="1"/>
  <c r="P34" i="5"/>
  <c r="S34" i="5" s="1"/>
  <c r="T34" i="5" s="1"/>
  <c r="P33" i="5"/>
  <c r="S33" i="5" s="1"/>
  <c r="T33" i="5" s="1"/>
  <c r="P32" i="5"/>
  <c r="S32" i="5" s="1"/>
  <c r="T32" i="5" s="1"/>
  <c r="P31" i="5"/>
  <c r="S31" i="5" s="1"/>
  <c r="T31" i="5" s="1"/>
  <c r="P30" i="5"/>
  <c r="S30" i="5" s="1"/>
  <c r="T30" i="5" s="1"/>
  <c r="P29" i="5"/>
  <c r="S29" i="5" s="1"/>
  <c r="T29" i="5" s="1"/>
  <c r="P28" i="5"/>
  <c r="S28" i="5" s="1"/>
  <c r="T28" i="5" s="1"/>
  <c r="P27" i="5"/>
  <c r="S27" i="5" s="1"/>
  <c r="P26" i="5"/>
  <c r="S26" i="5" s="1"/>
  <c r="P25" i="5"/>
  <c r="S25" i="5" s="1"/>
  <c r="P24" i="5"/>
  <c r="S24" i="5" s="1"/>
  <c r="P23" i="5"/>
  <c r="S23" i="5" s="1"/>
  <c r="T23" i="5" s="1"/>
  <c r="U39" i="5"/>
  <c r="U70" i="5"/>
  <c r="U69" i="5"/>
  <c r="U68" i="5"/>
  <c r="U67" i="5"/>
  <c r="U66" i="5"/>
  <c r="U65" i="5"/>
  <c r="U64" i="5"/>
  <c r="U63" i="5"/>
  <c r="U62" i="5"/>
  <c r="U61" i="5"/>
  <c r="U60" i="5"/>
  <c r="U59" i="5"/>
  <c r="U58" i="5"/>
  <c r="U57" i="5"/>
  <c r="U56" i="5"/>
  <c r="U55" i="5"/>
  <c r="U54" i="5"/>
  <c r="U53" i="5"/>
  <c r="U52" i="5"/>
  <c r="U51" i="5"/>
  <c r="U50" i="5"/>
  <c r="U49" i="5"/>
  <c r="U48" i="5"/>
  <c r="U47" i="5"/>
  <c r="U46" i="5"/>
  <c r="U45" i="5"/>
  <c r="U44" i="5"/>
  <c r="U43" i="5"/>
  <c r="U42" i="5"/>
  <c r="U41" i="5"/>
  <c r="U40" i="5"/>
  <c r="U38" i="5"/>
  <c r="U37" i="5"/>
  <c r="U36" i="5"/>
  <c r="U35" i="5"/>
  <c r="U34" i="5"/>
  <c r="U33" i="5"/>
  <c r="U32" i="5"/>
  <c r="U31" i="5"/>
  <c r="U30" i="5"/>
  <c r="U29" i="5"/>
  <c r="U28" i="5"/>
  <c r="U27" i="5"/>
  <c r="U26" i="5"/>
  <c r="U25" i="5"/>
  <c r="U24" i="5"/>
  <c r="U23" i="5"/>
  <c r="S70" i="5"/>
  <c r="T70" i="5" s="1"/>
  <c r="S69" i="5"/>
  <c r="T69" i="5" s="1"/>
  <c r="S68" i="5"/>
  <c r="T68" i="5" s="1"/>
  <c r="S67" i="5"/>
  <c r="T67" i="5" s="1"/>
  <c r="S46" i="5"/>
  <c r="T46" i="5" s="1"/>
  <c r="S45" i="5"/>
  <c r="T45" i="5" s="1"/>
  <c r="S44" i="5"/>
  <c r="T44" i="5" s="1"/>
  <c r="S43" i="5"/>
  <c r="T43" i="5" s="1"/>
  <c r="S42" i="5"/>
  <c r="T42" i="5" s="1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G40" i="5"/>
  <c r="I40" i="5" s="1"/>
  <c r="G41" i="5"/>
  <c r="I41" i="5" s="1"/>
  <c r="G42" i="5"/>
  <c r="I42" i="5" s="1"/>
  <c r="G43" i="5"/>
  <c r="I43" i="5" s="1"/>
  <c r="G44" i="5"/>
  <c r="I44" i="5" s="1"/>
  <c r="G45" i="5"/>
  <c r="I45" i="5" s="1"/>
  <c r="G46" i="5"/>
  <c r="I46" i="5" s="1"/>
  <c r="G47" i="5"/>
  <c r="I47" i="5" s="1"/>
  <c r="G48" i="5"/>
  <c r="I48" i="5" s="1"/>
  <c r="G49" i="5"/>
  <c r="I49" i="5" s="1"/>
  <c r="G50" i="5"/>
  <c r="I50" i="5" s="1"/>
  <c r="G51" i="5"/>
  <c r="I51" i="5" s="1"/>
  <c r="G52" i="5"/>
  <c r="I52" i="5" s="1"/>
  <c r="G53" i="5"/>
  <c r="I53" i="5" s="1"/>
  <c r="G54" i="5"/>
  <c r="I54" i="5" s="1"/>
  <c r="G55" i="5"/>
  <c r="I55" i="5" s="1"/>
  <c r="G56" i="5"/>
  <c r="I56" i="5" s="1"/>
  <c r="G57" i="5"/>
  <c r="I57" i="5" s="1"/>
  <c r="G58" i="5"/>
  <c r="I58" i="5" s="1"/>
  <c r="G59" i="5"/>
  <c r="I59" i="5" s="1"/>
  <c r="G60" i="5"/>
  <c r="I60" i="5" s="1"/>
  <c r="G61" i="5"/>
  <c r="I61" i="5" s="1"/>
  <c r="G62" i="5"/>
  <c r="I62" i="5" s="1"/>
  <c r="G63" i="5"/>
  <c r="I63" i="5" s="1"/>
  <c r="G64" i="5"/>
  <c r="I64" i="5" s="1"/>
  <c r="G65" i="5"/>
  <c r="I65" i="5" s="1"/>
  <c r="G66" i="5"/>
  <c r="I66" i="5" s="1"/>
  <c r="G67" i="5"/>
  <c r="I67" i="5" s="1"/>
  <c r="V67" i="5" s="1"/>
  <c r="W67" i="5" s="1"/>
  <c r="Y67" i="5" s="1"/>
  <c r="G68" i="5"/>
  <c r="I68" i="5" s="1"/>
  <c r="G69" i="5"/>
  <c r="I69" i="5" s="1"/>
  <c r="G70" i="5"/>
  <c r="I70" i="5" s="1"/>
  <c r="G28" i="5"/>
  <c r="I28" i="5" s="1"/>
  <c r="G29" i="5"/>
  <c r="I29" i="5" s="1"/>
  <c r="G30" i="5"/>
  <c r="I30" i="5" s="1"/>
  <c r="G31" i="5"/>
  <c r="I31" i="5" s="1"/>
  <c r="G32" i="5"/>
  <c r="I32" i="5" s="1"/>
  <c r="G33" i="5"/>
  <c r="I33" i="5" s="1"/>
  <c r="G34" i="5"/>
  <c r="I34" i="5" s="1"/>
  <c r="G35" i="5"/>
  <c r="I35" i="5" s="1"/>
  <c r="G36" i="5"/>
  <c r="I36" i="5" s="1"/>
  <c r="G37" i="5"/>
  <c r="I37" i="5" s="1"/>
  <c r="G38" i="5"/>
  <c r="I38" i="5" s="1"/>
  <c r="G23" i="5"/>
  <c r="G24" i="5"/>
  <c r="G25" i="5"/>
  <c r="G26" i="5"/>
  <c r="G27" i="5"/>
  <c r="I27" i="5" s="1"/>
  <c r="F27" i="5"/>
  <c r="F28" i="5"/>
  <c r="F29" i="5"/>
  <c r="F30" i="5"/>
  <c r="F31" i="5"/>
  <c r="F32" i="5"/>
  <c r="F33" i="5"/>
  <c r="F34" i="5"/>
  <c r="F35" i="5"/>
  <c r="F36" i="5"/>
  <c r="F37" i="5"/>
  <c r="F38" i="5"/>
  <c r="AD31" i="5"/>
  <c r="AD32" i="5" s="1"/>
  <c r="AD33" i="5" s="1"/>
  <c r="AD28" i="5"/>
  <c r="AD24" i="5"/>
  <c r="AD26" i="5"/>
  <c r="AC8" i="10"/>
  <c r="AC14" i="10"/>
  <c r="AC15" i="10"/>
  <c r="AC16" i="10"/>
  <c r="AC13" i="10"/>
  <c r="AC12" i="10"/>
  <c r="AC9" i="10"/>
  <c r="AC10" i="10"/>
  <c r="AC11" i="10"/>
  <c r="M43" i="10" a="1"/>
  <c r="M44" i="10" a="1"/>
  <c r="V29" i="15" l="1"/>
  <c r="V101" i="15"/>
  <c r="V88" i="15"/>
  <c r="V79" i="15"/>
  <c r="V61" i="15"/>
  <c r="V24" i="15"/>
  <c r="V99" i="15"/>
  <c r="V28" i="15"/>
  <c r="V23" i="15"/>
  <c r="V51" i="15"/>
  <c r="V43" i="15"/>
  <c r="V37" i="15"/>
  <c r="V36" i="15"/>
  <c r="V35" i="15"/>
  <c r="V33" i="15"/>
  <c r="V100" i="15"/>
  <c r="V95" i="15"/>
  <c r="V93" i="15"/>
  <c r="V82" i="15"/>
  <c r="V81" i="15"/>
  <c r="V71" i="15"/>
  <c r="V59" i="15"/>
  <c r="V45" i="15"/>
  <c r="V94" i="15"/>
  <c r="V91" i="15"/>
  <c r="V87" i="15"/>
  <c r="V84" i="15"/>
  <c r="V83" i="15"/>
  <c r="V73" i="15"/>
  <c r="V69" i="15"/>
  <c r="V67" i="15"/>
  <c r="V56" i="15"/>
  <c r="V55" i="15"/>
  <c r="V53" i="15"/>
  <c r="V102" i="15"/>
  <c r="V98" i="15"/>
  <c r="V97" i="15"/>
  <c r="V96" i="15"/>
  <c r="V92" i="15"/>
  <c r="V90" i="15"/>
  <c r="V89" i="15"/>
  <c r="W89" i="15" s="1"/>
  <c r="Y89" i="15" s="1"/>
  <c r="V85" i="15"/>
  <c r="V58" i="15"/>
  <c r="V48" i="15"/>
  <c r="V46" i="15"/>
  <c r="V78" i="15"/>
  <c r="V66" i="15"/>
  <c r="W66" i="15" s="1"/>
  <c r="Y66" i="15" s="1"/>
  <c r="V75" i="15"/>
  <c r="V74" i="15"/>
  <c r="V68" i="15"/>
  <c r="W68" i="15" s="1"/>
  <c r="Y68" i="15" s="1"/>
  <c r="AH17" i="15"/>
  <c r="AH18" i="15"/>
  <c r="W102" i="15"/>
  <c r="Y102" i="15" s="1"/>
  <c r="W101" i="15"/>
  <c r="Y101" i="15" s="1"/>
  <c r="W100" i="15"/>
  <c r="Y100" i="15" s="1"/>
  <c r="W99" i="15"/>
  <c r="Y99" i="15" s="1"/>
  <c r="W98" i="15"/>
  <c r="Y98" i="15" s="1"/>
  <c r="W97" i="15"/>
  <c r="Y97" i="15" s="1"/>
  <c r="W96" i="15"/>
  <c r="Y96" i="15" s="1"/>
  <c r="W95" i="15"/>
  <c r="Y95" i="15" s="1"/>
  <c r="W94" i="15"/>
  <c r="Y94" i="15" s="1"/>
  <c r="W93" i="15"/>
  <c r="Y93" i="15" s="1"/>
  <c r="W92" i="15"/>
  <c r="Y92" i="15" s="1"/>
  <c r="W91" i="15"/>
  <c r="Y91" i="15" s="1"/>
  <c r="W90" i="15"/>
  <c r="Y90" i="15" s="1"/>
  <c r="W88" i="15"/>
  <c r="Y88" i="15" s="1"/>
  <c r="W87" i="15"/>
  <c r="Y87" i="15" s="1"/>
  <c r="V80" i="15"/>
  <c r="W80" i="15" s="1"/>
  <c r="Y80" i="15" s="1"/>
  <c r="W79" i="15"/>
  <c r="Y79" i="15" s="1"/>
  <c r="W78" i="15"/>
  <c r="Y78" i="15" s="1"/>
  <c r="V77" i="15"/>
  <c r="W77" i="15" s="1"/>
  <c r="Y77" i="15" s="1"/>
  <c r="W74" i="15"/>
  <c r="Y74" i="15" s="1"/>
  <c r="V70" i="15"/>
  <c r="W70" i="15" s="1"/>
  <c r="Y70" i="15" s="1"/>
  <c r="W69" i="15"/>
  <c r="Y69" i="15" s="1"/>
  <c r="W67" i="15"/>
  <c r="Y67" i="15" s="1"/>
  <c r="W60" i="15"/>
  <c r="Y60" i="15" s="1"/>
  <c r="W55" i="15"/>
  <c r="Y55" i="15" s="1"/>
  <c r="V54" i="15"/>
  <c r="W54" i="15" s="1"/>
  <c r="Y54" i="15" s="1"/>
  <c r="W53" i="15"/>
  <c r="Y53" i="15" s="1"/>
  <c r="V50" i="15"/>
  <c r="W50" i="15" s="1"/>
  <c r="Y50" i="15" s="1"/>
  <c r="V49" i="15"/>
  <c r="W49" i="15" s="1"/>
  <c r="Y49" i="15" s="1"/>
  <c r="V47" i="15"/>
  <c r="W47" i="15" s="1"/>
  <c r="Y47" i="15" s="1"/>
  <c r="W45" i="15"/>
  <c r="Y45" i="15" s="1"/>
  <c r="V44" i="15"/>
  <c r="W44" i="15" s="1"/>
  <c r="Y44" i="15" s="1"/>
  <c r="V42" i="15"/>
  <c r="W42" i="15" s="1"/>
  <c r="Y42" i="15" s="1"/>
  <c r="V40" i="15"/>
  <c r="W40" i="15" s="1"/>
  <c r="Y40" i="15" s="1"/>
  <c r="W33" i="15"/>
  <c r="Y33" i="15" s="1"/>
  <c r="V86" i="15"/>
  <c r="W86" i="15" s="1"/>
  <c r="Y86" i="15" s="1"/>
  <c r="W85" i="15"/>
  <c r="Y85" i="15" s="1"/>
  <c r="W84" i="15"/>
  <c r="Y84" i="15" s="1"/>
  <c r="W83" i="15"/>
  <c r="Y83" i="15" s="1"/>
  <c r="W82" i="15"/>
  <c r="Y82" i="15" s="1"/>
  <c r="W81" i="15"/>
  <c r="Y81" i="15" s="1"/>
  <c r="V76" i="15"/>
  <c r="W76" i="15" s="1"/>
  <c r="Y76" i="15" s="1"/>
  <c r="W75" i="15"/>
  <c r="Y75" i="15" s="1"/>
  <c r="W73" i="15"/>
  <c r="Y73" i="15" s="1"/>
  <c r="V72" i="15"/>
  <c r="W72" i="15" s="1"/>
  <c r="Y72" i="15" s="1"/>
  <c r="W71" i="15"/>
  <c r="Y71" i="15" s="1"/>
  <c r="V65" i="15"/>
  <c r="W65" i="15" s="1"/>
  <c r="Y65" i="15" s="1"/>
  <c r="V62" i="15"/>
  <c r="W62" i="15" s="1"/>
  <c r="Y62" i="15" s="1"/>
  <c r="W61" i="15"/>
  <c r="Y61" i="15" s="1"/>
  <c r="W59" i="15"/>
  <c r="Y59" i="15" s="1"/>
  <c r="W58" i="15"/>
  <c r="Y58" i="15" s="1"/>
  <c r="V57" i="15"/>
  <c r="W57" i="15" s="1"/>
  <c r="Y57" i="15" s="1"/>
  <c r="W56" i="15"/>
  <c r="Y56" i="15" s="1"/>
  <c r="V52" i="15"/>
  <c r="W52" i="15" s="1"/>
  <c r="Y52" i="15" s="1"/>
  <c r="W51" i="15"/>
  <c r="Y51" i="15" s="1"/>
  <c r="W48" i="15"/>
  <c r="Y48" i="15" s="1"/>
  <c r="W46" i="15"/>
  <c r="Y46" i="15" s="1"/>
  <c r="V41" i="15"/>
  <c r="W41" i="15" s="1"/>
  <c r="Y41" i="15" s="1"/>
  <c r="V38" i="15"/>
  <c r="W38" i="15" s="1"/>
  <c r="Y38" i="15" s="1"/>
  <c r="W36" i="15"/>
  <c r="Y36" i="15" s="1"/>
  <c r="V32" i="15"/>
  <c r="W32" i="15" s="1"/>
  <c r="Y32" i="15" s="1"/>
  <c r="V31" i="15"/>
  <c r="W31" i="15" s="1"/>
  <c r="Y31" i="15" s="1"/>
  <c r="W30" i="15"/>
  <c r="Y30" i="15" s="1"/>
  <c r="W28" i="15"/>
  <c r="Y28" i="15" s="1"/>
  <c r="V25" i="15"/>
  <c r="W25" i="15" s="1"/>
  <c r="Y25" i="15" s="1"/>
  <c r="W43" i="15"/>
  <c r="Y43" i="15" s="1"/>
  <c r="V39" i="15"/>
  <c r="W39" i="15" s="1"/>
  <c r="Y39" i="15" s="1"/>
  <c r="W37" i="15"/>
  <c r="Y37" i="15" s="1"/>
  <c r="W35" i="15"/>
  <c r="Y35" i="15" s="1"/>
  <c r="V34" i="15"/>
  <c r="W34" i="15" s="1"/>
  <c r="Y34" i="15" s="1"/>
  <c r="W29" i="15"/>
  <c r="Y29" i="15" s="1"/>
  <c r="V27" i="15"/>
  <c r="W27" i="15" s="1"/>
  <c r="Y27" i="15" s="1"/>
  <c r="W24" i="15"/>
  <c r="Y24" i="15" s="1"/>
  <c r="W23" i="15"/>
  <c r="Y23" i="15" s="1"/>
  <c r="V26" i="15"/>
  <c r="W26" i="15" s="1"/>
  <c r="Y26" i="15" s="1"/>
  <c r="W40" i="14"/>
  <c r="U55" i="14"/>
  <c r="V55" i="14" s="1"/>
  <c r="X55" i="14" s="1"/>
  <c r="W55" i="14"/>
  <c r="Y55" i="14" s="1"/>
  <c r="I48" i="14"/>
  <c r="K48" i="14" s="1"/>
  <c r="R48" i="14"/>
  <c r="E49" i="14"/>
  <c r="W47" i="14"/>
  <c r="Y47" i="14" s="1"/>
  <c r="U47" i="14"/>
  <c r="V47" i="14" s="1"/>
  <c r="X47" i="14" s="1"/>
  <c r="W46" i="14"/>
  <c r="Y46" i="14" s="1"/>
  <c r="U46" i="14"/>
  <c r="V46" i="14" s="1"/>
  <c r="X46" i="14" s="1"/>
  <c r="U45" i="14"/>
  <c r="V45" i="14" s="1"/>
  <c r="W45" i="14"/>
  <c r="Y45" i="14" s="1"/>
  <c r="X45" i="14"/>
  <c r="W44" i="14"/>
  <c r="Y44" i="14" s="1"/>
  <c r="U44" i="14"/>
  <c r="V44" i="14" s="1"/>
  <c r="X44" i="14" s="1"/>
  <c r="W43" i="14"/>
  <c r="Y43" i="14" s="1"/>
  <c r="U43" i="14"/>
  <c r="V43" i="14" s="1"/>
  <c r="X43" i="14" s="1"/>
  <c r="U42" i="14"/>
  <c r="V42" i="14" s="1"/>
  <c r="X42" i="14" s="1"/>
  <c r="Y42" i="14"/>
  <c r="U41" i="14"/>
  <c r="V41" i="14" s="1"/>
  <c r="X41" i="14" s="1"/>
  <c r="Y41" i="14"/>
  <c r="U40" i="14"/>
  <c r="V40" i="14" s="1"/>
  <c r="X40" i="14" s="1"/>
  <c r="Y40" i="14"/>
  <c r="W39" i="14"/>
  <c r="Y39" i="14" s="1"/>
  <c r="U39" i="14"/>
  <c r="V39" i="14" s="1"/>
  <c r="X39" i="14" s="1"/>
  <c r="E33" i="14"/>
  <c r="I32" i="14"/>
  <c r="K32" i="14" s="1"/>
  <c r="U31" i="14"/>
  <c r="V31" i="14" s="1"/>
  <c r="X31" i="14" s="1"/>
  <c r="W31" i="14"/>
  <c r="Y31" i="14" s="1"/>
  <c r="W30" i="14"/>
  <c r="U30" i="14"/>
  <c r="Y30" i="14"/>
  <c r="Z30" i="14" s="1"/>
  <c r="W29" i="14"/>
  <c r="U29" i="14"/>
  <c r="V29" i="14" s="1"/>
  <c r="X29" i="14" s="1"/>
  <c r="Y29" i="14"/>
  <c r="W28" i="14"/>
  <c r="U28" i="14"/>
  <c r="V28" i="14" s="1"/>
  <c r="X28" i="14" s="1"/>
  <c r="Y28" i="14"/>
  <c r="W27" i="14"/>
  <c r="U27" i="14"/>
  <c r="V27" i="14" s="1"/>
  <c r="X27" i="14" s="1"/>
  <c r="Y27" i="14"/>
  <c r="U26" i="14"/>
  <c r="V26" i="14" s="1"/>
  <c r="X26" i="14" s="1"/>
  <c r="W26" i="14"/>
  <c r="Y26" i="14" s="1"/>
  <c r="U25" i="14"/>
  <c r="V25" i="14" s="1"/>
  <c r="X25" i="14" s="1"/>
  <c r="W25" i="14"/>
  <c r="Y25" i="14"/>
  <c r="U24" i="14"/>
  <c r="V24" i="14" s="1"/>
  <c r="X24" i="14" s="1"/>
  <c r="W24" i="14"/>
  <c r="Y24" i="14" s="1"/>
  <c r="Y28" i="10"/>
  <c r="X29" i="10"/>
  <c r="W27" i="10"/>
  <c r="U27" i="10"/>
  <c r="V27" i="10" s="1"/>
  <c r="X51" i="10"/>
  <c r="X27" i="10"/>
  <c r="X28" i="10"/>
  <c r="Y27" i="10"/>
  <c r="X47" i="10"/>
  <c r="X48" i="10"/>
  <c r="E51" i="13"/>
  <c r="I50" i="13"/>
  <c r="K50" i="13" s="1"/>
  <c r="R50" i="13"/>
  <c r="U49" i="13"/>
  <c r="V49" i="13" s="1"/>
  <c r="X49" i="13" s="1"/>
  <c r="W49" i="13"/>
  <c r="Y49" i="13" s="1"/>
  <c r="W48" i="13"/>
  <c r="Y48" i="13" s="1"/>
  <c r="U48" i="13"/>
  <c r="V48" i="13" s="1"/>
  <c r="X48" i="13" s="1"/>
  <c r="W47" i="13"/>
  <c r="Y47" i="13" s="1"/>
  <c r="U47" i="13"/>
  <c r="V47" i="13" s="1"/>
  <c r="X47" i="13" s="1"/>
  <c r="W46" i="13"/>
  <c r="Y46" i="13" s="1"/>
  <c r="U46" i="13"/>
  <c r="V46" i="13" s="1"/>
  <c r="X46" i="13" s="1"/>
  <c r="W45" i="13"/>
  <c r="Y45" i="13" s="1"/>
  <c r="U45" i="13"/>
  <c r="V45" i="13" s="1"/>
  <c r="X45" i="13" s="1"/>
  <c r="W44" i="13"/>
  <c r="Y44" i="13" s="1"/>
  <c r="U44" i="13"/>
  <c r="V44" i="13" s="1"/>
  <c r="X44" i="13" s="1"/>
  <c r="W43" i="13"/>
  <c r="Y43" i="13" s="1"/>
  <c r="U43" i="13"/>
  <c r="V43" i="13" s="1"/>
  <c r="X43" i="13" s="1"/>
  <c r="E33" i="13"/>
  <c r="R32" i="13"/>
  <c r="I32" i="13"/>
  <c r="K32" i="13" s="1"/>
  <c r="W31" i="13"/>
  <c r="Y31" i="13" s="1"/>
  <c r="U31" i="13"/>
  <c r="V31" i="13" s="1"/>
  <c r="X31" i="13" s="1"/>
  <c r="U30" i="13"/>
  <c r="V30" i="13" s="1"/>
  <c r="X30" i="13" s="1"/>
  <c r="W30" i="13"/>
  <c r="Y30" i="13" s="1"/>
  <c r="W29" i="13"/>
  <c r="Y29" i="13" s="1"/>
  <c r="U29" i="13"/>
  <c r="V29" i="13" s="1"/>
  <c r="X29" i="13" s="1"/>
  <c r="W28" i="13"/>
  <c r="Y28" i="13" s="1"/>
  <c r="U28" i="13"/>
  <c r="V28" i="13" s="1"/>
  <c r="X28" i="13" s="1"/>
  <c r="W27" i="13"/>
  <c r="U27" i="13"/>
  <c r="V27" i="13" s="1"/>
  <c r="X27" i="13" s="1"/>
  <c r="Y27" i="13"/>
  <c r="W26" i="13"/>
  <c r="U26" i="13"/>
  <c r="V26" i="13" s="1"/>
  <c r="X26" i="13" s="1"/>
  <c r="Y26" i="13"/>
  <c r="W25" i="13"/>
  <c r="U25" i="13"/>
  <c r="V25" i="13" s="1"/>
  <c r="X25" i="13" s="1"/>
  <c r="Y25" i="13"/>
  <c r="U24" i="13"/>
  <c r="V24" i="13" s="1"/>
  <c r="X24" i="13" s="1"/>
  <c r="W24" i="13"/>
  <c r="Y24" i="13" s="1"/>
  <c r="I53" i="10"/>
  <c r="K53" i="10" s="1"/>
  <c r="Y53" i="10" s="1"/>
  <c r="E54" i="10"/>
  <c r="R53" i="10"/>
  <c r="R34" i="10"/>
  <c r="I34" i="10"/>
  <c r="K34" i="10" s="1"/>
  <c r="E35" i="10"/>
  <c r="U24" i="10"/>
  <c r="V24" i="10" s="1"/>
  <c r="W24" i="10"/>
  <c r="U25" i="10"/>
  <c r="V25" i="10" s="1"/>
  <c r="X25" i="10" s="1"/>
  <c r="W25" i="10"/>
  <c r="Y25" i="10" s="1"/>
  <c r="U26" i="10"/>
  <c r="V26" i="10" s="1"/>
  <c r="X26" i="10" s="1"/>
  <c r="W26" i="10"/>
  <c r="Y26" i="10" s="1"/>
  <c r="E55" i="10"/>
  <c r="R54" i="10"/>
  <c r="I54" i="10"/>
  <c r="K54" i="10" s="1"/>
  <c r="U53" i="10"/>
  <c r="V53" i="10" s="1"/>
  <c r="W53" i="10"/>
  <c r="W52" i="10"/>
  <c r="Y52" i="10" s="1"/>
  <c r="U52" i="10"/>
  <c r="V52" i="10" s="1"/>
  <c r="X52" i="10" s="1"/>
  <c r="AA46" i="10"/>
  <c r="Z46" i="10"/>
  <c r="AA47" i="10"/>
  <c r="Z47" i="10"/>
  <c r="AA48" i="10"/>
  <c r="Z48" i="10"/>
  <c r="W49" i="10"/>
  <c r="Y49" i="10" s="1"/>
  <c r="U49" i="10"/>
  <c r="V49" i="10" s="1"/>
  <c r="X49" i="10" s="1"/>
  <c r="U50" i="10"/>
  <c r="V50" i="10" s="1"/>
  <c r="X50" i="10" s="1"/>
  <c r="W50" i="10"/>
  <c r="Y50" i="10" s="1"/>
  <c r="I33" i="10"/>
  <c r="K33" i="10" s="1"/>
  <c r="R33" i="10"/>
  <c r="I32" i="10"/>
  <c r="K32" i="10" s="1"/>
  <c r="R32" i="10"/>
  <c r="W31" i="10"/>
  <c r="Y31" i="10" s="1"/>
  <c r="U31" i="10"/>
  <c r="V31" i="10" s="1"/>
  <c r="X31" i="10" s="1"/>
  <c r="U30" i="10"/>
  <c r="V30" i="10" s="1"/>
  <c r="X30" i="10" s="1"/>
  <c r="W30" i="10"/>
  <c r="Y30" i="10" s="1"/>
  <c r="W29" i="10"/>
  <c r="Y29" i="10" s="1"/>
  <c r="T23" i="11"/>
  <c r="V23" i="11" s="1"/>
  <c r="W23" i="11" s="1"/>
  <c r="Y23" i="11" s="1"/>
  <c r="T23" i="12"/>
  <c r="V23" i="12" s="1"/>
  <c r="W23" i="12" s="1"/>
  <c r="Y23" i="12" s="1"/>
  <c r="V77" i="11"/>
  <c r="W66" i="11"/>
  <c r="Y66" i="11" s="1"/>
  <c r="W77" i="11"/>
  <c r="Y77" i="11" s="1"/>
  <c r="W75" i="11"/>
  <c r="Y75" i="11" s="1"/>
  <c r="W74" i="11"/>
  <c r="Y74" i="11" s="1"/>
  <c r="W73" i="11"/>
  <c r="Y73" i="11" s="1"/>
  <c r="W72" i="11"/>
  <c r="Y72" i="11" s="1"/>
  <c r="W78" i="11"/>
  <c r="Y78" i="11" s="1"/>
  <c r="W70" i="11"/>
  <c r="Y70" i="11" s="1"/>
  <c r="W80" i="11"/>
  <c r="Y80" i="11" s="1"/>
  <c r="W69" i="11"/>
  <c r="Y69" i="11" s="1"/>
  <c r="W68" i="11"/>
  <c r="Y68" i="11" s="1"/>
  <c r="V65" i="11"/>
  <c r="W65" i="11" s="1"/>
  <c r="Y65" i="11" s="1"/>
  <c r="P104" i="11"/>
  <c r="P102" i="11"/>
  <c r="S102" i="11" s="1"/>
  <c r="T102" i="11" s="1"/>
  <c r="V102" i="11" s="1"/>
  <c r="W102" i="11" s="1"/>
  <c r="Y102" i="11" s="1"/>
  <c r="P101" i="11"/>
  <c r="S101" i="11" s="1"/>
  <c r="T101" i="11" s="1"/>
  <c r="V101" i="11" s="1"/>
  <c r="W101" i="11" s="1"/>
  <c r="Y101" i="11" s="1"/>
  <c r="P100" i="11"/>
  <c r="S100" i="11" s="1"/>
  <c r="T100" i="11" s="1"/>
  <c r="V100" i="11" s="1"/>
  <c r="W100" i="11" s="1"/>
  <c r="Y100" i="11" s="1"/>
  <c r="P99" i="11"/>
  <c r="S99" i="11" s="1"/>
  <c r="T99" i="11" s="1"/>
  <c r="V99" i="11" s="1"/>
  <c r="W99" i="11" s="1"/>
  <c r="Y99" i="11" s="1"/>
  <c r="P98" i="11"/>
  <c r="S98" i="11" s="1"/>
  <c r="T98" i="11" s="1"/>
  <c r="V98" i="11" s="1"/>
  <c r="W98" i="11" s="1"/>
  <c r="Y98" i="11" s="1"/>
  <c r="P97" i="11"/>
  <c r="S97" i="11" s="1"/>
  <c r="T97" i="11" s="1"/>
  <c r="V97" i="11" s="1"/>
  <c r="W97" i="11" s="1"/>
  <c r="Y97" i="11" s="1"/>
  <c r="P96" i="11"/>
  <c r="S96" i="11" s="1"/>
  <c r="T96" i="11" s="1"/>
  <c r="V96" i="11" s="1"/>
  <c r="W96" i="11" s="1"/>
  <c r="Y96" i="11" s="1"/>
  <c r="P95" i="11"/>
  <c r="S95" i="11" s="1"/>
  <c r="T95" i="11" s="1"/>
  <c r="V95" i="11" s="1"/>
  <c r="W95" i="11" s="1"/>
  <c r="Y95" i="11" s="1"/>
  <c r="P94" i="11"/>
  <c r="S94" i="11" s="1"/>
  <c r="T94" i="11" s="1"/>
  <c r="V94" i="11" s="1"/>
  <c r="W94" i="11" s="1"/>
  <c r="Y94" i="11" s="1"/>
  <c r="P92" i="11"/>
  <c r="S92" i="11" s="1"/>
  <c r="T92" i="11" s="1"/>
  <c r="V92" i="11" s="1"/>
  <c r="W92" i="11" s="1"/>
  <c r="Y92" i="11" s="1"/>
  <c r="P90" i="11"/>
  <c r="S90" i="11" s="1"/>
  <c r="T90" i="11" s="1"/>
  <c r="V90" i="11" s="1"/>
  <c r="W90" i="11" s="1"/>
  <c r="Y90" i="11" s="1"/>
  <c r="P88" i="11"/>
  <c r="P85" i="11"/>
  <c r="S85" i="11" s="1"/>
  <c r="T85" i="11" s="1"/>
  <c r="V85" i="11" s="1"/>
  <c r="W85" i="11" s="1"/>
  <c r="Y85" i="11" s="1"/>
  <c r="P83" i="11"/>
  <c r="P64" i="11"/>
  <c r="S64" i="11" s="1"/>
  <c r="T64" i="11" s="1"/>
  <c r="V64" i="11" s="1"/>
  <c r="W64" i="11" s="1"/>
  <c r="Y64" i="11" s="1"/>
  <c r="P62" i="11"/>
  <c r="S62" i="11" s="1"/>
  <c r="T62" i="11" s="1"/>
  <c r="V62" i="11" s="1"/>
  <c r="W62" i="11" s="1"/>
  <c r="Y62" i="11" s="1"/>
  <c r="P60" i="11"/>
  <c r="S60" i="11" s="1"/>
  <c r="T60" i="11" s="1"/>
  <c r="V60" i="11" s="1"/>
  <c r="W60" i="11" s="1"/>
  <c r="Y60" i="11" s="1"/>
  <c r="P58" i="11"/>
  <c r="P56" i="11"/>
  <c r="S56" i="11" s="1"/>
  <c r="T56" i="11" s="1"/>
  <c r="V56" i="11" s="1"/>
  <c r="W56" i="11" s="1"/>
  <c r="Y56" i="11" s="1"/>
  <c r="P55" i="11"/>
  <c r="S55" i="11" s="1"/>
  <c r="T55" i="11" s="1"/>
  <c r="V55" i="11" s="1"/>
  <c r="W55" i="11" s="1"/>
  <c r="Y55" i="11" s="1"/>
  <c r="P54" i="11"/>
  <c r="S54" i="11" s="1"/>
  <c r="T54" i="11" s="1"/>
  <c r="V54" i="11" s="1"/>
  <c r="W54" i="11" s="1"/>
  <c r="Y54" i="11" s="1"/>
  <c r="P50" i="11"/>
  <c r="S50" i="11" s="1"/>
  <c r="T50" i="11" s="1"/>
  <c r="V50" i="11" s="1"/>
  <c r="W50" i="11" s="1"/>
  <c r="Y50" i="11" s="1"/>
  <c r="P48" i="11"/>
  <c r="S48" i="11" s="1"/>
  <c r="T48" i="11" s="1"/>
  <c r="V48" i="11" s="1"/>
  <c r="W48" i="11" s="1"/>
  <c r="Y48" i="11" s="1"/>
  <c r="P45" i="11"/>
  <c r="S45" i="11" s="1"/>
  <c r="T45" i="11" s="1"/>
  <c r="V45" i="11" s="1"/>
  <c r="W45" i="11" s="1"/>
  <c r="Y45" i="11" s="1"/>
  <c r="P44" i="11"/>
  <c r="S44" i="11" s="1"/>
  <c r="T44" i="11" s="1"/>
  <c r="V44" i="11" s="1"/>
  <c r="W44" i="11" s="1"/>
  <c r="Y44" i="11" s="1"/>
  <c r="S42" i="11"/>
  <c r="T42" i="11" s="1"/>
  <c r="V42" i="11" s="1"/>
  <c r="W42" i="11" s="1"/>
  <c r="Y42" i="11" s="1"/>
  <c r="P41" i="11"/>
  <c r="S41" i="11" s="1"/>
  <c r="T41" i="11" s="1"/>
  <c r="V41" i="11" s="1"/>
  <c r="W41" i="11" s="1"/>
  <c r="Y41" i="11" s="1"/>
  <c r="P40" i="11"/>
  <c r="S40" i="11" s="1"/>
  <c r="T40" i="11" s="1"/>
  <c r="V40" i="11" s="1"/>
  <c r="W40" i="11" s="1"/>
  <c r="Y40" i="11" s="1"/>
  <c r="P39" i="11"/>
  <c r="S39" i="11" s="1"/>
  <c r="T39" i="11" s="1"/>
  <c r="V39" i="11" s="1"/>
  <c r="W39" i="11" s="1"/>
  <c r="Y39" i="11" s="1"/>
  <c r="P38" i="11"/>
  <c r="S38" i="11" s="1"/>
  <c r="T38" i="11" s="1"/>
  <c r="V38" i="11" s="1"/>
  <c r="W38" i="11" s="1"/>
  <c r="Y38" i="11" s="1"/>
  <c r="P37" i="11"/>
  <c r="S37" i="11" s="1"/>
  <c r="T37" i="11" s="1"/>
  <c r="V37" i="11" s="1"/>
  <c r="W37" i="11" s="1"/>
  <c r="Y37" i="11" s="1"/>
  <c r="P35" i="11"/>
  <c r="S35" i="11" s="1"/>
  <c r="T35" i="11" s="1"/>
  <c r="V35" i="11" s="1"/>
  <c r="W35" i="11" s="1"/>
  <c r="Y35" i="11" s="1"/>
  <c r="P33" i="11"/>
  <c r="S33" i="11" s="1"/>
  <c r="T33" i="11" s="1"/>
  <c r="V33" i="11" s="1"/>
  <c r="W33" i="11" s="1"/>
  <c r="Y33" i="11" s="1"/>
  <c r="P32" i="11"/>
  <c r="S32" i="11" s="1"/>
  <c r="T32" i="11" s="1"/>
  <c r="V32" i="11" s="1"/>
  <c r="W32" i="11" s="1"/>
  <c r="Y32" i="11" s="1"/>
  <c r="P30" i="11"/>
  <c r="S30" i="11" s="1"/>
  <c r="T30" i="11" s="1"/>
  <c r="V30" i="11" s="1"/>
  <c r="W30" i="11" s="1"/>
  <c r="Y30" i="11" s="1"/>
  <c r="P29" i="11"/>
  <c r="S29" i="11" s="1"/>
  <c r="T29" i="11" s="1"/>
  <c r="V29" i="11" s="1"/>
  <c r="W29" i="11" s="1"/>
  <c r="Y29" i="11" s="1"/>
  <c r="P28" i="11"/>
  <c r="S28" i="11" s="1"/>
  <c r="T28" i="11" s="1"/>
  <c r="V28" i="11" s="1"/>
  <c r="W28" i="11" s="1"/>
  <c r="Y28" i="11" s="1"/>
  <c r="P27" i="11"/>
  <c r="S27" i="11" s="1"/>
  <c r="T27" i="11" s="1"/>
  <c r="V27" i="11" s="1"/>
  <c r="W27" i="11" s="1"/>
  <c r="Y27" i="11" s="1"/>
  <c r="P26" i="11"/>
  <c r="S26" i="11" s="1"/>
  <c r="T26" i="11" s="1"/>
  <c r="V26" i="11" s="1"/>
  <c r="W26" i="11" s="1"/>
  <c r="Y26" i="11" s="1"/>
  <c r="P25" i="11"/>
  <c r="S25" i="11" s="1"/>
  <c r="T25" i="11" s="1"/>
  <c r="V25" i="11" s="1"/>
  <c r="W25" i="11" s="1"/>
  <c r="Y25" i="11" s="1"/>
  <c r="P103" i="11"/>
  <c r="S103" i="11" s="1"/>
  <c r="T103" i="11" s="1"/>
  <c r="V103" i="11" s="1"/>
  <c r="W103" i="11" s="1"/>
  <c r="Y103" i="11" s="1"/>
  <c r="P93" i="11"/>
  <c r="S93" i="11" s="1"/>
  <c r="T93" i="11" s="1"/>
  <c r="V93" i="11" s="1"/>
  <c r="W93" i="11" s="1"/>
  <c r="Y93" i="11" s="1"/>
  <c r="P91" i="11"/>
  <c r="S91" i="11" s="1"/>
  <c r="T91" i="11" s="1"/>
  <c r="V91" i="11" s="1"/>
  <c r="W91" i="11" s="1"/>
  <c r="Y91" i="11" s="1"/>
  <c r="P89" i="11"/>
  <c r="P87" i="11"/>
  <c r="P86" i="11"/>
  <c r="S86" i="11" s="1"/>
  <c r="T86" i="11" s="1"/>
  <c r="V86" i="11" s="1"/>
  <c r="W86" i="11" s="1"/>
  <c r="Y86" i="11" s="1"/>
  <c r="P84" i="11"/>
  <c r="P82" i="11"/>
  <c r="S82" i="11" s="1"/>
  <c r="T82" i="11" s="1"/>
  <c r="V82" i="11" s="1"/>
  <c r="W82" i="11" s="1"/>
  <c r="Y82" i="11" s="1"/>
  <c r="P81" i="11"/>
  <c r="S81" i="11" s="1"/>
  <c r="T81" i="11" s="1"/>
  <c r="V81" i="11" s="1"/>
  <c r="W81" i="11" s="1"/>
  <c r="Y81" i="11" s="1"/>
  <c r="P63" i="11"/>
  <c r="S63" i="11" s="1"/>
  <c r="T63" i="11" s="1"/>
  <c r="V63" i="11" s="1"/>
  <c r="W63" i="11" s="1"/>
  <c r="Y63" i="11" s="1"/>
  <c r="P61" i="11"/>
  <c r="S61" i="11" s="1"/>
  <c r="T61" i="11" s="1"/>
  <c r="V61" i="11" s="1"/>
  <c r="W61" i="11" s="1"/>
  <c r="Y61" i="11" s="1"/>
  <c r="P59" i="11"/>
  <c r="S59" i="11" s="1"/>
  <c r="T59" i="11" s="1"/>
  <c r="V59" i="11" s="1"/>
  <c r="W59" i="11" s="1"/>
  <c r="Y59" i="11" s="1"/>
  <c r="P57" i="11"/>
  <c r="S57" i="11" s="1"/>
  <c r="T57" i="11" s="1"/>
  <c r="V57" i="11" s="1"/>
  <c r="W57" i="11" s="1"/>
  <c r="Y57" i="11" s="1"/>
  <c r="P53" i="11"/>
  <c r="S53" i="11" s="1"/>
  <c r="T53" i="11" s="1"/>
  <c r="V53" i="11" s="1"/>
  <c r="W53" i="11" s="1"/>
  <c r="Y53" i="11" s="1"/>
  <c r="P52" i="11"/>
  <c r="S52" i="11" s="1"/>
  <c r="T52" i="11" s="1"/>
  <c r="V52" i="11" s="1"/>
  <c r="W52" i="11" s="1"/>
  <c r="Y52" i="11" s="1"/>
  <c r="P51" i="11"/>
  <c r="S51" i="11" s="1"/>
  <c r="T51" i="11" s="1"/>
  <c r="V51" i="11" s="1"/>
  <c r="W51" i="11" s="1"/>
  <c r="Y51" i="11" s="1"/>
  <c r="P49" i="11"/>
  <c r="S49" i="11" s="1"/>
  <c r="T49" i="11" s="1"/>
  <c r="V49" i="11" s="1"/>
  <c r="W49" i="11" s="1"/>
  <c r="Y49" i="11" s="1"/>
  <c r="P47" i="11"/>
  <c r="S47" i="11" s="1"/>
  <c r="T47" i="11" s="1"/>
  <c r="V47" i="11" s="1"/>
  <c r="W47" i="11" s="1"/>
  <c r="Y47" i="11" s="1"/>
  <c r="P46" i="11"/>
  <c r="S46" i="11" s="1"/>
  <c r="T46" i="11" s="1"/>
  <c r="V46" i="11" s="1"/>
  <c r="W46" i="11" s="1"/>
  <c r="Y46" i="11" s="1"/>
  <c r="P43" i="11"/>
  <c r="S43" i="11" s="1"/>
  <c r="T43" i="11" s="1"/>
  <c r="V43" i="11" s="1"/>
  <c r="W43" i="11" s="1"/>
  <c r="Y43" i="11" s="1"/>
  <c r="P36" i="11"/>
  <c r="S36" i="11" s="1"/>
  <c r="T36" i="11" s="1"/>
  <c r="V36" i="11" s="1"/>
  <c r="W36" i="11" s="1"/>
  <c r="Y36" i="11" s="1"/>
  <c r="P34" i="11"/>
  <c r="S34" i="11" s="1"/>
  <c r="T34" i="11" s="1"/>
  <c r="V34" i="11" s="1"/>
  <c r="W34" i="11" s="1"/>
  <c r="Y34" i="11" s="1"/>
  <c r="P31" i="11"/>
  <c r="S31" i="11" s="1"/>
  <c r="T31" i="11" s="1"/>
  <c r="V31" i="11" s="1"/>
  <c r="W31" i="11" s="1"/>
  <c r="Y31" i="11" s="1"/>
  <c r="S96" i="12"/>
  <c r="T96" i="12" s="1"/>
  <c r="V96" i="12" s="1"/>
  <c r="W96" i="12" s="1"/>
  <c r="Y96" i="12" s="1"/>
  <c r="S95" i="12"/>
  <c r="T95" i="12" s="1"/>
  <c r="V95" i="12" s="1"/>
  <c r="W95" i="12" s="1"/>
  <c r="Y95" i="12" s="1"/>
  <c r="S94" i="12"/>
  <c r="T94" i="12" s="1"/>
  <c r="V94" i="12" s="1"/>
  <c r="W94" i="12" s="1"/>
  <c r="Y94" i="12" s="1"/>
  <c r="S93" i="12"/>
  <c r="T93" i="12" s="1"/>
  <c r="V93" i="12" s="1"/>
  <c r="W93" i="12" s="1"/>
  <c r="Y93" i="12" s="1"/>
  <c r="S92" i="12"/>
  <c r="T92" i="12" s="1"/>
  <c r="V92" i="12" s="1"/>
  <c r="W92" i="12" s="1"/>
  <c r="Y92" i="12" s="1"/>
  <c r="S91" i="12"/>
  <c r="T91" i="12" s="1"/>
  <c r="V91" i="12" s="1"/>
  <c r="W91" i="12" s="1"/>
  <c r="Y91" i="12" s="1"/>
  <c r="S90" i="12"/>
  <c r="T90" i="12" s="1"/>
  <c r="V90" i="12" s="1"/>
  <c r="W90" i="12" s="1"/>
  <c r="Y90" i="12" s="1"/>
  <c r="S89" i="12"/>
  <c r="T89" i="12" s="1"/>
  <c r="V89" i="12" s="1"/>
  <c r="W89" i="12" s="1"/>
  <c r="Y89" i="12" s="1"/>
  <c r="S88" i="12"/>
  <c r="T88" i="12" s="1"/>
  <c r="V88" i="12" s="1"/>
  <c r="W88" i="12" s="1"/>
  <c r="Y88" i="12" s="1"/>
  <c r="S87" i="12"/>
  <c r="T87" i="12" s="1"/>
  <c r="V87" i="12" s="1"/>
  <c r="W87" i="12" s="1"/>
  <c r="Y87" i="12" s="1"/>
  <c r="S86" i="12"/>
  <c r="T86" i="12" s="1"/>
  <c r="V86" i="12" s="1"/>
  <c r="W86" i="12" s="1"/>
  <c r="Y86" i="12" s="1"/>
  <c r="S85" i="12"/>
  <c r="T85" i="12" s="1"/>
  <c r="V85" i="12" s="1"/>
  <c r="W85" i="12" s="1"/>
  <c r="Y85" i="12" s="1"/>
  <c r="S84" i="12"/>
  <c r="T84" i="12" s="1"/>
  <c r="V84" i="12" s="1"/>
  <c r="W84" i="12" s="1"/>
  <c r="Y84" i="12" s="1"/>
  <c r="S83" i="12"/>
  <c r="T83" i="12" s="1"/>
  <c r="V83" i="12" s="1"/>
  <c r="W83" i="12" s="1"/>
  <c r="Y83" i="12" s="1"/>
  <c r="S82" i="12"/>
  <c r="T82" i="12" s="1"/>
  <c r="V82" i="12" s="1"/>
  <c r="W82" i="12" s="1"/>
  <c r="Y82" i="12" s="1"/>
  <c r="S81" i="12"/>
  <c r="T81" i="12" s="1"/>
  <c r="V81" i="12" s="1"/>
  <c r="W81" i="12" s="1"/>
  <c r="Y81" i="12" s="1"/>
  <c r="S80" i="12"/>
  <c r="T80" i="12" s="1"/>
  <c r="V80" i="12" s="1"/>
  <c r="W80" i="12" s="1"/>
  <c r="Y80" i="12" s="1"/>
  <c r="S79" i="12"/>
  <c r="T79" i="12" s="1"/>
  <c r="V79" i="12" s="1"/>
  <c r="W79" i="12" s="1"/>
  <c r="Y79" i="12" s="1"/>
  <c r="S78" i="12"/>
  <c r="T78" i="12" s="1"/>
  <c r="V78" i="12" s="1"/>
  <c r="W78" i="12" s="1"/>
  <c r="Y78" i="12" s="1"/>
  <c r="S77" i="12"/>
  <c r="T77" i="12" s="1"/>
  <c r="V77" i="12" s="1"/>
  <c r="W77" i="12" s="1"/>
  <c r="Y77" i="12" s="1"/>
  <c r="S76" i="12"/>
  <c r="T76" i="12" s="1"/>
  <c r="V76" i="12" s="1"/>
  <c r="W76" i="12" s="1"/>
  <c r="Y76" i="12" s="1"/>
  <c r="S75" i="12"/>
  <c r="T75" i="12" s="1"/>
  <c r="V75" i="12" s="1"/>
  <c r="W75" i="12" s="1"/>
  <c r="Y75" i="12" s="1"/>
  <c r="S74" i="12"/>
  <c r="T74" i="12" s="1"/>
  <c r="V74" i="12" s="1"/>
  <c r="W74" i="12" s="1"/>
  <c r="Y74" i="12" s="1"/>
  <c r="S73" i="12"/>
  <c r="T73" i="12" s="1"/>
  <c r="V73" i="12" s="1"/>
  <c r="W73" i="12" s="1"/>
  <c r="Y73" i="12" s="1"/>
  <c r="S72" i="12"/>
  <c r="T72" i="12" s="1"/>
  <c r="V72" i="12" s="1"/>
  <c r="W72" i="12" s="1"/>
  <c r="Y72" i="12" s="1"/>
  <c r="S71" i="12"/>
  <c r="T71" i="12" s="1"/>
  <c r="V71" i="12" s="1"/>
  <c r="W71" i="12" s="1"/>
  <c r="Y71" i="12" s="1"/>
  <c r="S70" i="12"/>
  <c r="T70" i="12" s="1"/>
  <c r="V70" i="12" s="1"/>
  <c r="W70" i="12" s="1"/>
  <c r="Y70" i="12" s="1"/>
  <c r="S69" i="12"/>
  <c r="T69" i="12" s="1"/>
  <c r="V69" i="12" s="1"/>
  <c r="W69" i="12" s="1"/>
  <c r="Y69" i="12" s="1"/>
  <c r="S68" i="12"/>
  <c r="T68" i="12" s="1"/>
  <c r="V68" i="12" s="1"/>
  <c r="W68" i="12" s="1"/>
  <c r="Y68" i="12" s="1"/>
  <c r="S67" i="12"/>
  <c r="T67" i="12" s="1"/>
  <c r="V67" i="12" s="1"/>
  <c r="W67" i="12" s="1"/>
  <c r="Y67" i="12" s="1"/>
  <c r="S66" i="12"/>
  <c r="T66" i="12" s="1"/>
  <c r="V66" i="12" s="1"/>
  <c r="W66" i="12" s="1"/>
  <c r="Y66" i="12" s="1"/>
  <c r="S65" i="12"/>
  <c r="T65" i="12" s="1"/>
  <c r="V65" i="12" s="1"/>
  <c r="W65" i="12" s="1"/>
  <c r="Y65" i="12" s="1"/>
  <c r="S64" i="12"/>
  <c r="T64" i="12" s="1"/>
  <c r="V64" i="12" s="1"/>
  <c r="W64" i="12" s="1"/>
  <c r="Y64" i="12" s="1"/>
  <c r="S63" i="12"/>
  <c r="T63" i="12" s="1"/>
  <c r="V63" i="12" s="1"/>
  <c r="W63" i="12" s="1"/>
  <c r="Y63" i="12" s="1"/>
  <c r="S62" i="12"/>
  <c r="T62" i="12" s="1"/>
  <c r="V62" i="12" s="1"/>
  <c r="W62" i="12" s="1"/>
  <c r="Y62" i="12" s="1"/>
  <c r="S61" i="12"/>
  <c r="T61" i="12" s="1"/>
  <c r="V61" i="12" s="1"/>
  <c r="W61" i="12" s="1"/>
  <c r="Y61" i="12" s="1"/>
  <c r="S60" i="12"/>
  <c r="T60" i="12" s="1"/>
  <c r="V60" i="12" s="1"/>
  <c r="W60" i="12" s="1"/>
  <c r="Y60" i="12" s="1"/>
  <c r="S59" i="12"/>
  <c r="T59" i="12" s="1"/>
  <c r="V59" i="12" s="1"/>
  <c r="W59" i="12" s="1"/>
  <c r="Y59" i="12" s="1"/>
  <c r="S58" i="12"/>
  <c r="T58" i="12" s="1"/>
  <c r="V58" i="12" s="1"/>
  <c r="W58" i="12" s="1"/>
  <c r="Y58" i="12" s="1"/>
  <c r="S57" i="12"/>
  <c r="T57" i="12" s="1"/>
  <c r="V57" i="12" s="1"/>
  <c r="W57" i="12" s="1"/>
  <c r="Y57" i="12" s="1"/>
  <c r="S56" i="12"/>
  <c r="T56" i="12" s="1"/>
  <c r="V56" i="12" s="1"/>
  <c r="W56" i="12" s="1"/>
  <c r="Y56" i="12" s="1"/>
  <c r="S55" i="12"/>
  <c r="T55" i="12" s="1"/>
  <c r="V55" i="12" s="1"/>
  <c r="W55" i="12" s="1"/>
  <c r="Y55" i="12" s="1"/>
  <c r="S54" i="12"/>
  <c r="T54" i="12" s="1"/>
  <c r="V54" i="12" s="1"/>
  <c r="W54" i="12" s="1"/>
  <c r="Y54" i="12" s="1"/>
  <c r="S53" i="12"/>
  <c r="T53" i="12" s="1"/>
  <c r="V53" i="12" s="1"/>
  <c r="W53" i="12" s="1"/>
  <c r="Y53" i="12" s="1"/>
  <c r="S52" i="12"/>
  <c r="T52" i="12" s="1"/>
  <c r="V52" i="12" s="1"/>
  <c r="W52" i="12" s="1"/>
  <c r="Y52" i="12" s="1"/>
  <c r="S51" i="12"/>
  <c r="T51" i="12" s="1"/>
  <c r="V51" i="12" s="1"/>
  <c r="W51" i="12" s="1"/>
  <c r="Y51" i="12" s="1"/>
  <c r="S50" i="12"/>
  <c r="T50" i="12" s="1"/>
  <c r="V50" i="12" s="1"/>
  <c r="W50" i="12" s="1"/>
  <c r="Y50" i="12" s="1"/>
  <c r="S49" i="12"/>
  <c r="T49" i="12" s="1"/>
  <c r="V49" i="12" s="1"/>
  <c r="W49" i="12" s="1"/>
  <c r="Y49" i="12" s="1"/>
  <c r="S48" i="12"/>
  <c r="T48" i="12" s="1"/>
  <c r="V48" i="12" s="1"/>
  <c r="W48" i="12" s="1"/>
  <c r="Y48" i="12" s="1"/>
  <c r="S47" i="12"/>
  <c r="T47" i="12" s="1"/>
  <c r="V47" i="12" s="1"/>
  <c r="W47" i="12" s="1"/>
  <c r="Y47" i="12" s="1"/>
  <c r="S46" i="12"/>
  <c r="T46" i="12" s="1"/>
  <c r="V46" i="12" s="1"/>
  <c r="W46" i="12" s="1"/>
  <c r="Y46" i="12" s="1"/>
  <c r="S45" i="12"/>
  <c r="T45" i="12" s="1"/>
  <c r="V45" i="12" s="1"/>
  <c r="W45" i="12" s="1"/>
  <c r="Y45" i="12" s="1"/>
  <c r="S44" i="12"/>
  <c r="T44" i="12" s="1"/>
  <c r="V44" i="12" s="1"/>
  <c r="W44" i="12" s="1"/>
  <c r="Y44" i="12" s="1"/>
  <c r="S43" i="12"/>
  <c r="T43" i="12" s="1"/>
  <c r="V43" i="12" s="1"/>
  <c r="W43" i="12" s="1"/>
  <c r="Y43" i="12" s="1"/>
  <c r="S42" i="12"/>
  <c r="T42" i="12" s="1"/>
  <c r="V42" i="12" s="1"/>
  <c r="W42" i="12" s="1"/>
  <c r="Y42" i="12" s="1"/>
  <c r="S41" i="12"/>
  <c r="T41" i="12" s="1"/>
  <c r="V41" i="12" s="1"/>
  <c r="W41" i="12" s="1"/>
  <c r="Y41" i="12" s="1"/>
  <c r="S40" i="12"/>
  <c r="T40" i="12" s="1"/>
  <c r="V40" i="12" s="1"/>
  <c r="W40" i="12" s="1"/>
  <c r="Y40" i="12" s="1"/>
  <c r="S39" i="12"/>
  <c r="T39" i="12" s="1"/>
  <c r="V39" i="12" s="1"/>
  <c r="W39" i="12" s="1"/>
  <c r="Y39" i="12" s="1"/>
  <c r="AH18" i="12"/>
  <c r="AH17" i="12"/>
  <c r="V30" i="12"/>
  <c r="W30" i="12" s="1"/>
  <c r="Y30" i="12" s="1"/>
  <c r="V26" i="12"/>
  <c r="W26" i="12" s="1"/>
  <c r="Y26" i="12" s="1"/>
  <c r="V36" i="12"/>
  <c r="W36" i="12" s="1"/>
  <c r="Y36" i="12" s="1"/>
  <c r="V33" i="12"/>
  <c r="W33" i="12" s="1"/>
  <c r="Y33" i="12" s="1"/>
  <c r="V37" i="12"/>
  <c r="W37" i="12" s="1"/>
  <c r="Y37" i="12" s="1"/>
  <c r="V35" i="12"/>
  <c r="W35" i="12" s="1"/>
  <c r="Y35" i="12" s="1"/>
  <c r="V34" i="12"/>
  <c r="W34" i="12" s="1"/>
  <c r="Y34" i="12" s="1"/>
  <c r="V32" i="12"/>
  <c r="W32" i="12" s="1"/>
  <c r="Y32" i="12" s="1"/>
  <c r="V31" i="12"/>
  <c r="W31" i="12" s="1"/>
  <c r="Y31" i="12" s="1"/>
  <c r="V29" i="12"/>
  <c r="W29" i="12" s="1"/>
  <c r="Y29" i="12" s="1"/>
  <c r="V28" i="12"/>
  <c r="W28" i="12" s="1"/>
  <c r="Y28" i="12" s="1"/>
  <c r="V27" i="12"/>
  <c r="W27" i="12" s="1"/>
  <c r="Y27" i="12" s="1"/>
  <c r="V38" i="12"/>
  <c r="W38" i="12" s="1"/>
  <c r="Y38" i="12" s="1"/>
  <c r="V25" i="12"/>
  <c r="W25" i="12" s="1"/>
  <c r="Y25" i="12" s="1"/>
  <c r="V24" i="12"/>
  <c r="W24" i="12" s="1"/>
  <c r="Y24" i="12" s="1"/>
  <c r="AH17" i="11"/>
  <c r="AH18" i="11"/>
  <c r="V24" i="11"/>
  <c r="W24" i="11" s="1"/>
  <c r="Y24" i="11" s="1"/>
  <c r="V73" i="5"/>
  <c r="W73" i="5" s="1"/>
  <c r="Y73" i="5" s="1"/>
  <c r="S116" i="5"/>
  <c r="T116" i="5" s="1"/>
  <c r="V116" i="5" s="1"/>
  <c r="W116" i="5" s="1"/>
  <c r="Y116" i="5" s="1"/>
  <c r="S115" i="5"/>
  <c r="T115" i="5" s="1"/>
  <c r="V115" i="5" s="1"/>
  <c r="W115" i="5" s="1"/>
  <c r="Y115" i="5" s="1"/>
  <c r="S114" i="5"/>
  <c r="T114" i="5" s="1"/>
  <c r="V114" i="5" s="1"/>
  <c r="W114" i="5" s="1"/>
  <c r="Y114" i="5" s="1"/>
  <c r="S113" i="5"/>
  <c r="T113" i="5" s="1"/>
  <c r="V113" i="5" s="1"/>
  <c r="W113" i="5" s="1"/>
  <c r="Y113" i="5" s="1"/>
  <c r="S112" i="5"/>
  <c r="T112" i="5" s="1"/>
  <c r="V112" i="5" s="1"/>
  <c r="W112" i="5" s="1"/>
  <c r="Y112" i="5" s="1"/>
  <c r="S111" i="5"/>
  <c r="T111" i="5" s="1"/>
  <c r="V111" i="5" s="1"/>
  <c r="W111" i="5" s="1"/>
  <c r="Y111" i="5" s="1"/>
  <c r="S110" i="5"/>
  <c r="T110" i="5" s="1"/>
  <c r="V110" i="5" s="1"/>
  <c r="W110" i="5" s="1"/>
  <c r="Y110" i="5" s="1"/>
  <c r="S109" i="5"/>
  <c r="T109" i="5" s="1"/>
  <c r="V109" i="5" s="1"/>
  <c r="W109" i="5" s="1"/>
  <c r="Y109" i="5" s="1"/>
  <c r="S108" i="5"/>
  <c r="T108" i="5" s="1"/>
  <c r="V108" i="5" s="1"/>
  <c r="W108" i="5" s="1"/>
  <c r="Y108" i="5" s="1"/>
  <c r="S107" i="5"/>
  <c r="T107" i="5" s="1"/>
  <c r="V107" i="5" s="1"/>
  <c r="W107" i="5" s="1"/>
  <c r="Y107" i="5" s="1"/>
  <c r="S106" i="5"/>
  <c r="T106" i="5" s="1"/>
  <c r="V106" i="5" s="1"/>
  <c r="W106" i="5" s="1"/>
  <c r="Y106" i="5" s="1"/>
  <c r="S105" i="5"/>
  <c r="T105" i="5" s="1"/>
  <c r="V105" i="5" s="1"/>
  <c r="W105" i="5" s="1"/>
  <c r="Y105" i="5" s="1"/>
  <c r="S104" i="5"/>
  <c r="T104" i="5" s="1"/>
  <c r="V104" i="5" s="1"/>
  <c r="W104" i="5" s="1"/>
  <c r="Y104" i="5" s="1"/>
  <c r="S103" i="5"/>
  <c r="T103" i="5" s="1"/>
  <c r="V103" i="5" s="1"/>
  <c r="W103" i="5" s="1"/>
  <c r="Y103" i="5" s="1"/>
  <c r="S102" i="5"/>
  <c r="T102" i="5" s="1"/>
  <c r="V102" i="5" s="1"/>
  <c r="W102" i="5" s="1"/>
  <c r="Y102" i="5" s="1"/>
  <c r="S101" i="5"/>
  <c r="T101" i="5" s="1"/>
  <c r="V101" i="5" s="1"/>
  <c r="W101" i="5" s="1"/>
  <c r="Y101" i="5" s="1"/>
  <c r="S100" i="5"/>
  <c r="T100" i="5" s="1"/>
  <c r="V100" i="5" s="1"/>
  <c r="W100" i="5" s="1"/>
  <c r="Y100" i="5" s="1"/>
  <c r="S99" i="5"/>
  <c r="T99" i="5" s="1"/>
  <c r="V99" i="5" s="1"/>
  <c r="W99" i="5" s="1"/>
  <c r="Y99" i="5" s="1"/>
  <c r="S98" i="5"/>
  <c r="T98" i="5" s="1"/>
  <c r="V98" i="5" s="1"/>
  <c r="W98" i="5" s="1"/>
  <c r="Y98" i="5" s="1"/>
  <c r="S97" i="5"/>
  <c r="T97" i="5" s="1"/>
  <c r="V97" i="5" s="1"/>
  <c r="W97" i="5" s="1"/>
  <c r="Y97" i="5" s="1"/>
  <c r="S96" i="5"/>
  <c r="T96" i="5" s="1"/>
  <c r="V96" i="5" s="1"/>
  <c r="W96" i="5" s="1"/>
  <c r="Y96" i="5" s="1"/>
  <c r="S95" i="5"/>
  <c r="T95" i="5" s="1"/>
  <c r="V95" i="5" s="1"/>
  <c r="W95" i="5" s="1"/>
  <c r="Y95" i="5" s="1"/>
  <c r="S94" i="5"/>
  <c r="T94" i="5" s="1"/>
  <c r="V94" i="5" s="1"/>
  <c r="W94" i="5" s="1"/>
  <c r="Y94" i="5" s="1"/>
  <c r="S93" i="5"/>
  <c r="T93" i="5" s="1"/>
  <c r="V93" i="5" s="1"/>
  <c r="W93" i="5" s="1"/>
  <c r="Y93" i="5" s="1"/>
  <c r="S92" i="5"/>
  <c r="T92" i="5" s="1"/>
  <c r="V92" i="5" s="1"/>
  <c r="W92" i="5" s="1"/>
  <c r="Y92" i="5" s="1"/>
  <c r="S91" i="5"/>
  <c r="T91" i="5" s="1"/>
  <c r="V91" i="5" s="1"/>
  <c r="W91" i="5" s="1"/>
  <c r="Y91" i="5" s="1"/>
  <c r="S90" i="5"/>
  <c r="T90" i="5" s="1"/>
  <c r="V90" i="5" s="1"/>
  <c r="W90" i="5" s="1"/>
  <c r="Y90" i="5" s="1"/>
  <c r="S89" i="5"/>
  <c r="T89" i="5" s="1"/>
  <c r="V89" i="5" s="1"/>
  <c r="W89" i="5" s="1"/>
  <c r="Y89" i="5" s="1"/>
  <c r="S88" i="5"/>
  <c r="T88" i="5" s="1"/>
  <c r="W88" i="5" s="1"/>
  <c r="Y88" i="5" s="1"/>
  <c r="S87" i="5"/>
  <c r="T87" i="5" s="1"/>
  <c r="W87" i="5" s="1"/>
  <c r="Y87" i="5" s="1"/>
  <c r="S86" i="5"/>
  <c r="T86" i="5" s="1"/>
  <c r="V86" i="5" s="1"/>
  <c r="W86" i="5" s="1"/>
  <c r="Y86" i="5" s="1"/>
  <c r="S85" i="5"/>
  <c r="T85" i="5" s="1"/>
  <c r="V85" i="5" s="1"/>
  <c r="W85" i="5" s="1"/>
  <c r="Y85" i="5" s="1"/>
  <c r="S84" i="5"/>
  <c r="T84" i="5" s="1"/>
  <c r="V84" i="5" s="1"/>
  <c r="W84" i="5" s="1"/>
  <c r="Y84" i="5" s="1"/>
  <c r="S83" i="5"/>
  <c r="T83" i="5" s="1"/>
  <c r="V83" i="5" s="1"/>
  <c r="W83" i="5" s="1"/>
  <c r="Y83" i="5" s="1"/>
  <c r="S82" i="5"/>
  <c r="T82" i="5" s="1"/>
  <c r="V82" i="5" s="1"/>
  <c r="W82" i="5" s="1"/>
  <c r="Y82" i="5" s="1"/>
  <c r="S81" i="5"/>
  <c r="T81" i="5" s="1"/>
  <c r="V81" i="5" s="1"/>
  <c r="W81" i="5" s="1"/>
  <c r="Y81" i="5" s="1"/>
  <c r="S80" i="5"/>
  <c r="T80" i="5" s="1"/>
  <c r="V80" i="5" s="1"/>
  <c r="W80" i="5" s="1"/>
  <c r="Y80" i="5" s="1"/>
  <c r="S79" i="5"/>
  <c r="T79" i="5" s="1"/>
  <c r="V79" i="5" s="1"/>
  <c r="W79" i="5" s="1"/>
  <c r="Y79" i="5" s="1"/>
  <c r="S78" i="5"/>
  <c r="T78" i="5" s="1"/>
  <c r="V78" i="5" s="1"/>
  <c r="W78" i="5" s="1"/>
  <c r="Y78" i="5" s="1"/>
  <c r="S77" i="5"/>
  <c r="T77" i="5" s="1"/>
  <c r="V77" i="5" s="1"/>
  <c r="W77" i="5" s="1"/>
  <c r="Y77" i="5" s="1"/>
  <c r="S76" i="5"/>
  <c r="T76" i="5" s="1"/>
  <c r="V76" i="5" s="1"/>
  <c r="W76" i="5" s="1"/>
  <c r="Y76" i="5" s="1"/>
  <c r="S75" i="5"/>
  <c r="T75" i="5" s="1"/>
  <c r="V75" i="5" s="1"/>
  <c r="W75" i="5" s="1"/>
  <c r="Y75" i="5" s="1"/>
  <c r="S74" i="5"/>
  <c r="T74" i="5" s="1"/>
  <c r="V74" i="5" s="1"/>
  <c r="W74" i="5" s="1"/>
  <c r="Y74" i="5" s="1"/>
  <c r="S72" i="5"/>
  <c r="T72" i="5" s="1"/>
  <c r="V72" i="5" s="1"/>
  <c r="W72" i="5" s="1"/>
  <c r="Y72" i="5" s="1"/>
  <c r="S71" i="5"/>
  <c r="T71" i="5" s="1"/>
  <c r="V71" i="5" s="1"/>
  <c r="W71" i="5" s="1"/>
  <c r="Y71" i="5" s="1"/>
  <c r="S39" i="5"/>
  <c r="T39" i="5" s="1"/>
  <c r="V37" i="5"/>
  <c r="V36" i="5"/>
  <c r="V35" i="5"/>
  <c r="V34" i="5"/>
  <c r="V33" i="5"/>
  <c r="V32" i="5"/>
  <c r="V65" i="5"/>
  <c r="W65" i="5" s="1"/>
  <c r="Y65" i="5" s="1"/>
  <c r="V31" i="5"/>
  <c r="V30" i="5"/>
  <c r="V29" i="5"/>
  <c r="V38" i="5"/>
  <c r="W38" i="5" s="1"/>
  <c r="Y38" i="5" s="1"/>
  <c r="V42" i="5"/>
  <c r="W42" i="5" s="1"/>
  <c r="Y42" i="5" s="1"/>
  <c r="V43" i="5"/>
  <c r="W43" i="5" s="1"/>
  <c r="Y43" i="5" s="1"/>
  <c r="V44" i="5"/>
  <c r="W44" i="5" s="1"/>
  <c r="Y44" i="5" s="1"/>
  <c r="V45" i="5"/>
  <c r="W45" i="5" s="1"/>
  <c r="Y45" i="5" s="1"/>
  <c r="V54" i="5"/>
  <c r="W54" i="5" s="1"/>
  <c r="Y54" i="5" s="1"/>
  <c r="V55" i="5"/>
  <c r="V56" i="5"/>
  <c r="W56" i="5" s="1"/>
  <c r="Y56" i="5" s="1"/>
  <c r="V57" i="5"/>
  <c r="W57" i="5" s="1"/>
  <c r="Y57" i="5" s="1"/>
  <c r="V63" i="5"/>
  <c r="W63" i="5" s="1"/>
  <c r="Y63" i="5" s="1"/>
  <c r="W55" i="5"/>
  <c r="Y55" i="5" s="1"/>
  <c r="V41" i="5"/>
  <c r="W41" i="5" s="1"/>
  <c r="Y41" i="5" s="1"/>
  <c r="V53" i="5"/>
  <c r="W53" i="5" s="1"/>
  <c r="Y53" i="5" s="1"/>
  <c r="V28" i="5"/>
  <c r="V61" i="5"/>
  <c r="W61" i="5" s="1"/>
  <c r="Y61" i="5" s="1"/>
  <c r="V60" i="5"/>
  <c r="W60" i="5" s="1"/>
  <c r="Y60" i="5" s="1"/>
  <c r="V59" i="5"/>
  <c r="W59" i="5" s="1"/>
  <c r="Y59" i="5" s="1"/>
  <c r="V58" i="5"/>
  <c r="W58" i="5" s="1"/>
  <c r="Y58" i="5" s="1"/>
  <c r="V40" i="5"/>
  <c r="W40" i="5" s="1"/>
  <c r="Y40" i="5" s="1"/>
  <c r="V46" i="5"/>
  <c r="W46" i="5" s="1"/>
  <c r="Y46" i="5" s="1"/>
  <c r="V47" i="5"/>
  <c r="W47" i="5" s="1"/>
  <c r="Y47" i="5" s="1"/>
  <c r="V48" i="5"/>
  <c r="W48" i="5" s="1"/>
  <c r="Y48" i="5" s="1"/>
  <c r="V49" i="5"/>
  <c r="W49" i="5" s="1"/>
  <c r="Y49" i="5" s="1"/>
  <c r="V50" i="5"/>
  <c r="W50" i="5" s="1"/>
  <c r="Y50" i="5" s="1"/>
  <c r="V51" i="5"/>
  <c r="W51" i="5" s="1"/>
  <c r="Y51" i="5" s="1"/>
  <c r="V52" i="5"/>
  <c r="W52" i="5" s="1"/>
  <c r="Y52" i="5" s="1"/>
  <c r="V70" i="5"/>
  <c r="W70" i="5" s="1"/>
  <c r="Y70" i="5" s="1"/>
  <c r="V69" i="5"/>
  <c r="W69" i="5" s="1"/>
  <c r="Y69" i="5" s="1"/>
  <c r="V68" i="5"/>
  <c r="W68" i="5" s="1"/>
  <c r="Y68" i="5" s="1"/>
  <c r="V66" i="5"/>
  <c r="W66" i="5" s="1"/>
  <c r="Y66" i="5" s="1"/>
  <c r="V64" i="5"/>
  <c r="W64" i="5" s="1"/>
  <c r="Y64" i="5" s="1"/>
  <c r="V62" i="5"/>
  <c r="W62" i="5" s="1"/>
  <c r="Y62" i="5" s="1"/>
  <c r="M43" i="10"/>
  <c r="M44" i="10"/>
  <c r="F16" i="10"/>
  <c r="F14" i="10"/>
  <c r="I24" i="10"/>
  <c r="K24" i="10" s="1"/>
  <c r="T24" i="5"/>
  <c r="T25" i="5"/>
  <c r="T26" i="5"/>
  <c r="T27" i="5"/>
  <c r="V27" i="5" s="1"/>
  <c r="G39" i="5"/>
  <c r="I39" i="5" s="1"/>
  <c r="F39" i="5"/>
  <c r="I24" i="5"/>
  <c r="I23" i="5"/>
  <c r="V23" i="5" s="1"/>
  <c r="F24" i="5"/>
  <c r="F25" i="5"/>
  <c r="F26" i="5"/>
  <c r="F23" i="5"/>
  <c r="L43" i="10" a="1"/>
  <c r="L44" i="10" a="1"/>
  <c r="U48" i="14" l="1"/>
  <c r="V48" i="14" s="1"/>
  <c r="X48" i="14" s="1"/>
  <c r="W48" i="14"/>
  <c r="Y48" i="14" s="1"/>
  <c r="I49" i="14"/>
  <c r="K49" i="14" s="1"/>
  <c r="R49" i="14"/>
  <c r="E50" i="14"/>
  <c r="I33" i="14"/>
  <c r="K33" i="14" s="1"/>
  <c r="R33" i="14"/>
  <c r="E34" i="14"/>
  <c r="U32" i="14"/>
  <c r="V32" i="14" s="1"/>
  <c r="X32" i="14" s="1"/>
  <c r="W32" i="14"/>
  <c r="Y32" i="14" s="1"/>
  <c r="Z55" i="14"/>
  <c r="AA55" i="14"/>
  <c r="Z47" i="14"/>
  <c r="AA47" i="14"/>
  <c r="Z46" i="14"/>
  <c r="AA46" i="14"/>
  <c r="AA45" i="14"/>
  <c r="Z45" i="14"/>
  <c r="AA44" i="14"/>
  <c r="Z44" i="14"/>
  <c r="AA43" i="14"/>
  <c r="Z43" i="14"/>
  <c r="AA42" i="14"/>
  <c r="Z42" i="14"/>
  <c r="Z41" i="14"/>
  <c r="AA41" i="14"/>
  <c r="Z40" i="14"/>
  <c r="AA40" i="14"/>
  <c r="AA39" i="14"/>
  <c r="Z39" i="14"/>
  <c r="Z31" i="14"/>
  <c r="AA31" i="14"/>
  <c r="AA30" i="14"/>
  <c r="AA29" i="14"/>
  <c r="Z29" i="14"/>
  <c r="Z28" i="14"/>
  <c r="AA28" i="14"/>
  <c r="Z27" i="14"/>
  <c r="AA27" i="14"/>
  <c r="Z26" i="14"/>
  <c r="AA26" i="14"/>
  <c r="Z25" i="14"/>
  <c r="AA25" i="14"/>
  <c r="AA24" i="14"/>
  <c r="Z24" i="14"/>
  <c r="X53" i="10"/>
  <c r="I51" i="13"/>
  <c r="K51" i="13" s="1"/>
  <c r="R51" i="13"/>
  <c r="E52" i="13"/>
  <c r="U50" i="13"/>
  <c r="V50" i="13" s="1"/>
  <c r="X50" i="13" s="1"/>
  <c r="W50" i="13"/>
  <c r="Y50" i="13" s="1"/>
  <c r="I33" i="13"/>
  <c r="K33" i="13" s="1"/>
  <c r="R33" i="13"/>
  <c r="E34" i="13"/>
  <c r="U32" i="13"/>
  <c r="V32" i="13" s="1"/>
  <c r="X32" i="13" s="1"/>
  <c r="W32" i="13"/>
  <c r="Y32" i="13" s="1"/>
  <c r="Z49" i="13"/>
  <c r="AA49" i="13"/>
  <c r="Z48" i="13"/>
  <c r="AA48" i="13"/>
  <c r="AA47" i="13"/>
  <c r="Z47" i="13"/>
  <c r="AA46" i="13"/>
  <c r="Z46" i="13"/>
  <c r="AA45" i="13"/>
  <c r="Z45" i="13"/>
  <c r="Z44" i="13"/>
  <c r="AA44" i="13"/>
  <c r="Z43" i="13"/>
  <c r="AA43" i="13"/>
  <c r="Z31" i="13"/>
  <c r="AA31" i="13"/>
  <c r="AA30" i="13"/>
  <c r="Z30" i="13"/>
  <c r="AA29" i="13"/>
  <c r="Z29" i="13"/>
  <c r="Z28" i="13"/>
  <c r="AA28" i="13"/>
  <c r="Z27" i="13"/>
  <c r="AA27" i="13"/>
  <c r="Z26" i="13"/>
  <c r="AA26" i="13"/>
  <c r="AA25" i="13"/>
  <c r="Z25" i="13"/>
  <c r="Z24" i="13"/>
  <c r="AA24" i="13"/>
  <c r="U34" i="10"/>
  <c r="V34" i="10" s="1"/>
  <c r="X34" i="10" s="1"/>
  <c r="W34" i="10"/>
  <c r="Y34" i="10" s="1"/>
  <c r="R35" i="10"/>
  <c r="I35" i="10"/>
  <c r="K35" i="10" s="1"/>
  <c r="E36" i="10"/>
  <c r="X24" i="10"/>
  <c r="I55" i="10"/>
  <c r="K55" i="10" s="1"/>
  <c r="R55" i="10"/>
  <c r="E56" i="10"/>
  <c r="W54" i="10"/>
  <c r="Y54" i="10" s="1"/>
  <c r="U54" i="10"/>
  <c r="V54" i="10" s="1"/>
  <c r="X54" i="10" s="1"/>
  <c r="AA52" i="10"/>
  <c r="Z52" i="10"/>
  <c r="Z49" i="10"/>
  <c r="AA49" i="10"/>
  <c r="AA50" i="10"/>
  <c r="Z50" i="10"/>
  <c r="AA51" i="10"/>
  <c r="Z51" i="10"/>
  <c r="U33" i="10"/>
  <c r="V33" i="10" s="1"/>
  <c r="X33" i="10" s="1"/>
  <c r="W33" i="10"/>
  <c r="Y33" i="10" s="1"/>
  <c r="U32" i="10"/>
  <c r="V32" i="10" s="1"/>
  <c r="X32" i="10" s="1"/>
  <c r="W32" i="10"/>
  <c r="Y32" i="10" s="1"/>
  <c r="AA27" i="10"/>
  <c r="Z25" i="10"/>
  <c r="AA25" i="10"/>
  <c r="Z26" i="10"/>
  <c r="AA26" i="10"/>
  <c r="AA29" i="10"/>
  <c r="Z29" i="10"/>
  <c r="Z30" i="10"/>
  <c r="AA30" i="10"/>
  <c r="Z31" i="10"/>
  <c r="AA31" i="10"/>
  <c r="S89" i="11"/>
  <c r="T89" i="11" s="1"/>
  <c r="V89" i="11" s="1"/>
  <c r="W89" i="11" s="1"/>
  <c r="Y89" i="11" s="1"/>
  <c r="S87" i="11"/>
  <c r="T87" i="11" s="1"/>
  <c r="V87" i="11" s="1"/>
  <c r="W87" i="11" s="1"/>
  <c r="Y87" i="11" s="1"/>
  <c r="S104" i="11"/>
  <c r="T104" i="11" s="1"/>
  <c r="V104" i="11" s="1"/>
  <c r="W104" i="11" s="1"/>
  <c r="Y104" i="11" s="1"/>
  <c r="S88" i="11"/>
  <c r="T88" i="11" s="1"/>
  <c r="V88" i="11" s="1"/>
  <c r="W88" i="11" s="1"/>
  <c r="Y88" i="11" s="1"/>
  <c r="S83" i="11"/>
  <c r="T83" i="11" s="1"/>
  <c r="V83" i="11" s="1"/>
  <c r="W83" i="11" s="1"/>
  <c r="Y83" i="11" s="1"/>
  <c r="S58" i="11"/>
  <c r="T58" i="11" s="1"/>
  <c r="V58" i="11" s="1"/>
  <c r="W58" i="11" s="1"/>
  <c r="Y58" i="11" s="1"/>
  <c r="S84" i="11"/>
  <c r="T84" i="11" s="1"/>
  <c r="V84" i="11" s="1"/>
  <c r="W84" i="11" s="1"/>
  <c r="Y84" i="11" s="1"/>
  <c r="V39" i="5"/>
  <c r="W39" i="5" s="1"/>
  <c r="Y39" i="5" s="1"/>
  <c r="V24" i="5"/>
  <c r="W24" i="5" s="1"/>
  <c r="Y24" i="5" s="1"/>
  <c r="I25" i="5"/>
  <c r="V25" i="5" s="1"/>
  <c r="I26" i="5"/>
  <c r="V26" i="5" s="1"/>
  <c r="W23" i="5"/>
  <c r="Y23" i="5" s="1"/>
  <c r="L44" i="10"/>
  <c r="L43" i="10"/>
  <c r="W27" i="5"/>
  <c r="Y27" i="5" s="1"/>
  <c r="AG17" i="5"/>
  <c r="AD17" i="5"/>
  <c r="Z53" i="10" l="1"/>
  <c r="AA53" i="10"/>
  <c r="Z48" i="14"/>
  <c r="AA48" i="14"/>
  <c r="U49" i="14"/>
  <c r="V49" i="14" s="1"/>
  <c r="X49" i="14" s="1"/>
  <c r="W49" i="14"/>
  <c r="Y49" i="14" s="1"/>
  <c r="E51" i="14"/>
  <c r="I50" i="14"/>
  <c r="K50" i="14" s="1"/>
  <c r="R50" i="14"/>
  <c r="U33" i="14"/>
  <c r="V33" i="14" s="1"/>
  <c r="X33" i="14" s="1"/>
  <c r="W33" i="14"/>
  <c r="Y33" i="14" s="1"/>
  <c r="I34" i="14"/>
  <c r="K34" i="14" s="1"/>
  <c r="R34" i="14"/>
  <c r="E35" i="14"/>
  <c r="Z32" i="14"/>
  <c r="AA32" i="14"/>
  <c r="Z34" i="10"/>
  <c r="AA34" i="10"/>
  <c r="U51" i="13"/>
  <c r="V51" i="13" s="1"/>
  <c r="X51" i="13" s="1"/>
  <c r="W51" i="13"/>
  <c r="Y51" i="13" s="1"/>
  <c r="I52" i="13"/>
  <c r="K52" i="13" s="1"/>
  <c r="R52" i="13"/>
  <c r="E53" i="13"/>
  <c r="AA50" i="13"/>
  <c r="Z50" i="13"/>
  <c r="U33" i="13"/>
  <c r="V33" i="13" s="1"/>
  <c r="X33" i="13" s="1"/>
  <c r="W33" i="13"/>
  <c r="Y33" i="13" s="1"/>
  <c r="I34" i="13"/>
  <c r="K34" i="13" s="1"/>
  <c r="R34" i="13"/>
  <c r="E35" i="13"/>
  <c r="Z32" i="13"/>
  <c r="AA32" i="13"/>
  <c r="W35" i="10"/>
  <c r="Y35" i="10" s="1"/>
  <c r="U35" i="10"/>
  <c r="V35" i="10" s="1"/>
  <c r="X35" i="10" s="1"/>
  <c r="R36" i="10"/>
  <c r="I36" i="10"/>
  <c r="K36" i="10" s="1"/>
  <c r="E37" i="10"/>
  <c r="W55" i="10"/>
  <c r="Y55" i="10" s="1"/>
  <c r="U55" i="10"/>
  <c r="V55" i="10" s="1"/>
  <c r="X55" i="10" s="1"/>
  <c r="R56" i="10"/>
  <c r="E57" i="10"/>
  <c r="I56" i="10"/>
  <c r="K56" i="10" s="1"/>
  <c r="Z54" i="10"/>
  <c r="AA54" i="10"/>
  <c r="AA33" i="10"/>
  <c r="Z33" i="10"/>
  <c r="Z32" i="10"/>
  <c r="AA32" i="10"/>
  <c r="AA28" i="10"/>
  <c r="Z28" i="10"/>
  <c r="Z27" i="10"/>
  <c r="W34" i="5"/>
  <c r="Y34" i="5" s="1"/>
  <c r="W29" i="5"/>
  <c r="Y29" i="5" s="1"/>
  <c r="W35" i="5"/>
  <c r="Y35" i="5" s="1"/>
  <c r="W33" i="5"/>
  <c r="Y33" i="5" s="1"/>
  <c r="W37" i="5"/>
  <c r="Y37" i="5" s="1"/>
  <c r="W28" i="5"/>
  <c r="Y28" i="5" s="1"/>
  <c r="AA24" i="10"/>
  <c r="W26" i="5"/>
  <c r="Y26" i="5" s="1"/>
  <c r="W25" i="5"/>
  <c r="Y25" i="5" s="1"/>
  <c r="AH18" i="5"/>
  <c r="AH17" i="5"/>
  <c r="F14" i="5"/>
  <c r="F12" i="5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H7" i="1"/>
  <c r="C7" i="1"/>
  <c r="H6" i="1"/>
  <c r="C6" i="1"/>
  <c r="H5" i="1"/>
  <c r="C5" i="1"/>
  <c r="H4" i="1"/>
  <c r="C4" i="1"/>
  <c r="H3" i="1"/>
  <c r="C3" i="1"/>
  <c r="C2" i="1"/>
  <c r="C1" i="1"/>
  <c r="Z49" i="14" l="1"/>
  <c r="AA49" i="14"/>
  <c r="I51" i="14"/>
  <c r="K51" i="14" s="1"/>
  <c r="R51" i="14"/>
  <c r="E52" i="14"/>
  <c r="U50" i="14"/>
  <c r="V50" i="14" s="1"/>
  <c r="X50" i="14" s="1"/>
  <c r="W50" i="14"/>
  <c r="Y50" i="14" s="1"/>
  <c r="AA33" i="14"/>
  <c r="Z33" i="14"/>
  <c r="W34" i="14"/>
  <c r="Y34" i="14" s="1"/>
  <c r="U34" i="14"/>
  <c r="V34" i="14" s="1"/>
  <c r="X34" i="14" s="1"/>
  <c r="E36" i="14"/>
  <c r="R35" i="14"/>
  <c r="I35" i="14"/>
  <c r="K35" i="14" s="1"/>
  <c r="Z51" i="13"/>
  <c r="AA51" i="13"/>
  <c r="U52" i="13"/>
  <c r="V52" i="13" s="1"/>
  <c r="X52" i="13" s="1"/>
  <c r="W52" i="13"/>
  <c r="Y52" i="13" s="1"/>
  <c r="I53" i="13"/>
  <c r="K53" i="13" s="1"/>
  <c r="R53" i="13"/>
  <c r="E54" i="13"/>
  <c r="AA33" i="13"/>
  <c r="Z33" i="13"/>
  <c r="U34" i="13"/>
  <c r="V34" i="13" s="1"/>
  <c r="X34" i="13" s="1"/>
  <c r="W34" i="13"/>
  <c r="Y34" i="13" s="1"/>
  <c r="I35" i="13"/>
  <c r="K35" i="13" s="1"/>
  <c r="R35" i="13"/>
  <c r="E36" i="13"/>
  <c r="U36" i="10"/>
  <c r="V36" i="10" s="1"/>
  <c r="X36" i="10" s="1"/>
  <c r="W36" i="10"/>
  <c r="Y36" i="10" s="1"/>
  <c r="I37" i="10"/>
  <c r="K37" i="10" s="1"/>
  <c r="E38" i="10"/>
  <c r="Z35" i="10"/>
  <c r="AA35" i="10"/>
  <c r="AA55" i="10"/>
  <c r="Z55" i="10"/>
  <c r="U56" i="10"/>
  <c r="V56" i="10" s="1"/>
  <c r="X56" i="10" s="1"/>
  <c r="W56" i="10"/>
  <c r="Y56" i="10" s="1"/>
  <c r="I57" i="10"/>
  <c r="K57" i="10" s="1"/>
  <c r="R57" i="10"/>
  <c r="E58" i="10"/>
  <c r="W36" i="5"/>
  <c r="Y36" i="5" s="1"/>
  <c r="W32" i="5"/>
  <c r="Y32" i="5" s="1"/>
  <c r="W31" i="5"/>
  <c r="Y31" i="5" s="1"/>
  <c r="W30" i="5"/>
  <c r="Y30" i="5" s="1"/>
  <c r="Z24" i="10"/>
  <c r="U51" i="14" l="1"/>
  <c r="V51" i="14" s="1"/>
  <c r="X51" i="14" s="1"/>
  <c r="W51" i="14"/>
  <c r="Y51" i="14" s="1"/>
  <c r="R52" i="14"/>
  <c r="E53" i="14"/>
  <c r="I52" i="14"/>
  <c r="K52" i="14" s="1"/>
  <c r="Z50" i="14"/>
  <c r="AA50" i="14"/>
  <c r="AA34" i="14"/>
  <c r="Z34" i="14"/>
  <c r="R36" i="14"/>
  <c r="E37" i="14"/>
  <c r="I36" i="14"/>
  <c r="K36" i="14" s="1"/>
  <c r="W35" i="14"/>
  <c r="Y35" i="14" s="1"/>
  <c r="U35" i="14"/>
  <c r="V35" i="14" s="1"/>
  <c r="X35" i="14" s="1"/>
  <c r="AA52" i="13"/>
  <c r="Z52" i="13"/>
  <c r="U53" i="13"/>
  <c r="V53" i="13" s="1"/>
  <c r="X53" i="13" s="1"/>
  <c r="W53" i="13"/>
  <c r="Y53" i="13" s="1"/>
  <c r="I54" i="13"/>
  <c r="K54" i="13" s="1"/>
  <c r="R54" i="13"/>
  <c r="E55" i="13"/>
  <c r="AA34" i="13"/>
  <c r="Z34" i="13"/>
  <c r="U35" i="13"/>
  <c r="V35" i="13" s="1"/>
  <c r="X35" i="13" s="1"/>
  <c r="W35" i="13"/>
  <c r="Y35" i="13" s="1"/>
  <c r="E37" i="13"/>
  <c r="I36" i="13"/>
  <c r="K36" i="13" s="1"/>
  <c r="R36" i="13"/>
  <c r="AA36" i="10"/>
  <c r="Z36" i="10"/>
  <c r="I38" i="10"/>
  <c r="K38" i="10" s="1"/>
  <c r="E39" i="10"/>
  <c r="R38" i="10"/>
  <c r="U57" i="10"/>
  <c r="V57" i="10" s="1"/>
  <c r="X57" i="10" s="1"/>
  <c r="W57" i="10"/>
  <c r="Y57" i="10" s="1"/>
  <c r="I58" i="10"/>
  <c r="K58" i="10" s="1"/>
  <c r="E59" i="10"/>
  <c r="Z56" i="10"/>
  <c r="AA56" i="10"/>
  <c r="Z51" i="14" l="1"/>
  <c r="AA51" i="14"/>
  <c r="W52" i="14"/>
  <c r="U52" i="14"/>
  <c r="V52" i="14" s="1"/>
  <c r="X52" i="14" s="1"/>
  <c r="I53" i="14"/>
  <c r="K53" i="14" s="1"/>
  <c r="E54" i="14"/>
  <c r="Y52" i="14"/>
  <c r="U36" i="14"/>
  <c r="V36" i="14" s="1"/>
  <c r="X36" i="14" s="1"/>
  <c r="W36" i="14"/>
  <c r="Y36" i="14" s="1"/>
  <c r="I37" i="14"/>
  <c r="K37" i="14" s="1"/>
  <c r="AA35" i="14"/>
  <c r="Z35" i="14"/>
  <c r="AA53" i="13"/>
  <c r="Z53" i="13"/>
  <c r="U54" i="13"/>
  <c r="V54" i="13" s="1"/>
  <c r="X54" i="13" s="1"/>
  <c r="W54" i="13"/>
  <c r="Y54" i="13" s="1"/>
  <c r="I55" i="13"/>
  <c r="K55" i="13" s="1"/>
  <c r="E56" i="13"/>
  <c r="AA35" i="13"/>
  <c r="Z35" i="13"/>
  <c r="I37" i="13"/>
  <c r="K37" i="13" s="1"/>
  <c r="E38" i="13"/>
  <c r="W36" i="13"/>
  <c r="Y36" i="13" s="1"/>
  <c r="U36" i="13"/>
  <c r="V36" i="13" s="1"/>
  <c r="X36" i="13" s="1"/>
  <c r="E40" i="10"/>
  <c r="I39" i="10"/>
  <c r="K39" i="10" s="1"/>
  <c r="R39" i="10"/>
  <c r="W38" i="10"/>
  <c r="Y38" i="10" s="1"/>
  <c r="U38" i="10"/>
  <c r="V38" i="10" s="1"/>
  <c r="X38" i="10" s="1"/>
  <c r="Z57" i="10"/>
  <c r="AA57" i="10"/>
  <c r="I59" i="10"/>
  <c r="K59" i="10" s="1"/>
  <c r="R59" i="10"/>
  <c r="E60" i="10"/>
  <c r="I54" i="14" l="1"/>
  <c r="K54" i="14" s="1"/>
  <c r="R54" i="14"/>
  <c r="Z52" i="14"/>
  <c r="AA52" i="14"/>
  <c r="I38" i="14"/>
  <c r="K38" i="14" s="1"/>
  <c r="R38" i="14"/>
  <c r="AA36" i="14"/>
  <c r="Z36" i="14"/>
  <c r="Z54" i="13"/>
  <c r="AA54" i="13"/>
  <c r="I56" i="13"/>
  <c r="K56" i="13" s="1"/>
  <c r="R56" i="13"/>
  <c r="I38" i="13"/>
  <c r="K38" i="13" s="1"/>
  <c r="R38" i="13"/>
  <c r="Z36" i="13"/>
  <c r="AA36" i="13"/>
  <c r="Z38" i="10"/>
  <c r="AA38" i="10"/>
  <c r="E41" i="10"/>
  <c r="R40" i="10"/>
  <c r="I40" i="10"/>
  <c r="K40" i="10" s="1"/>
  <c r="U39" i="10"/>
  <c r="V39" i="10" s="1"/>
  <c r="X39" i="10" s="1"/>
  <c r="W39" i="10"/>
  <c r="Y39" i="10" s="1"/>
  <c r="U59" i="10"/>
  <c r="V59" i="10" s="1"/>
  <c r="X59" i="10" s="1"/>
  <c r="W59" i="10"/>
  <c r="Y59" i="10" s="1"/>
  <c r="I60" i="10"/>
  <c r="K60" i="10" s="1"/>
  <c r="R60" i="10"/>
  <c r="E61" i="10"/>
  <c r="U54" i="14" l="1"/>
  <c r="V54" i="14" s="1"/>
  <c r="X54" i="14" s="1"/>
  <c r="W54" i="14"/>
  <c r="Y54" i="14" s="1"/>
  <c r="U38" i="14"/>
  <c r="V38" i="14" s="1"/>
  <c r="X38" i="14" s="1"/>
  <c r="W38" i="14"/>
  <c r="Y38" i="14" s="1"/>
  <c r="U56" i="13"/>
  <c r="V56" i="13" s="1"/>
  <c r="X56" i="13" s="1"/>
  <c r="W56" i="13"/>
  <c r="Y56" i="13" s="1"/>
  <c r="I57" i="13"/>
  <c r="K57" i="13" s="1"/>
  <c r="R57" i="13"/>
  <c r="U38" i="13"/>
  <c r="V38" i="13" s="1"/>
  <c r="X38" i="13" s="1"/>
  <c r="W38" i="13"/>
  <c r="Y38" i="13" s="1"/>
  <c r="I39" i="13"/>
  <c r="K39" i="13" s="1"/>
  <c r="R39" i="13"/>
  <c r="E40" i="13"/>
  <c r="I41" i="10"/>
  <c r="K41" i="10" s="1"/>
  <c r="R41" i="10"/>
  <c r="E42" i="10"/>
  <c r="U40" i="10"/>
  <c r="V40" i="10" s="1"/>
  <c r="X40" i="10" s="1"/>
  <c r="W40" i="10"/>
  <c r="Y40" i="10" s="1"/>
  <c r="AA39" i="10"/>
  <c r="Z39" i="10"/>
  <c r="AA59" i="10"/>
  <c r="Z59" i="10"/>
  <c r="W60" i="10"/>
  <c r="Y60" i="10" s="1"/>
  <c r="U60" i="10"/>
  <c r="V60" i="10" s="1"/>
  <c r="X60" i="10" s="1"/>
  <c r="I61" i="10"/>
  <c r="K61" i="10" s="1"/>
  <c r="E62" i="10"/>
  <c r="R61" i="10"/>
  <c r="Z54" i="14" l="1"/>
  <c r="AA54" i="14"/>
  <c r="AA38" i="14"/>
  <c r="Z38" i="14"/>
  <c r="AA56" i="13"/>
  <c r="Z56" i="13"/>
  <c r="I58" i="13"/>
  <c r="K58" i="13" s="1"/>
  <c r="R58" i="13"/>
  <c r="U57" i="13"/>
  <c r="V57" i="13" s="1"/>
  <c r="X57" i="13" s="1"/>
  <c r="W57" i="13"/>
  <c r="Y57" i="13" s="1"/>
  <c r="Z38" i="13"/>
  <c r="AA38" i="13"/>
  <c r="U39" i="13"/>
  <c r="V39" i="13" s="1"/>
  <c r="X39" i="13" s="1"/>
  <c r="W39" i="13"/>
  <c r="Y39" i="13" s="1"/>
  <c r="I40" i="13"/>
  <c r="K40" i="13" s="1"/>
  <c r="R40" i="13"/>
  <c r="E41" i="13"/>
  <c r="U41" i="10"/>
  <c r="V41" i="10" s="1"/>
  <c r="X41" i="10" s="1"/>
  <c r="W41" i="10"/>
  <c r="Y41" i="10" s="1"/>
  <c r="R42" i="10"/>
  <c r="I42" i="10"/>
  <c r="K42" i="10" s="1"/>
  <c r="E43" i="10"/>
  <c r="AA40" i="10"/>
  <c r="Z40" i="10"/>
  <c r="AA60" i="10"/>
  <c r="Z60" i="10"/>
  <c r="R62" i="10"/>
  <c r="I62" i="10"/>
  <c r="K62" i="10" s="1"/>
  <c r="E63" i="10"/>
  <c r="W61" i="10"/>
  <c r="Y61" i="10" s="1"/>
  <c r="U61" i="10"/>
  <c r="V61" i="10" s="1"/>
  <c r="X61" i="10" s="1"/>
  <c r="I59" i="13" l="1"/>
  <c r="K59" i="13" s="1"/>
  <c r="R59" i="13"/>
  <c r="W58" i="13"/>
  <c r="Y58" i="13" s="1"/>
  <c r="U58" i="13"/>
  <c r="V58" i="13" s="1"/>
  <c r="X58" i="13" s="1"/>
  <c r="AA57" i="13"/>
  <c r="Z57" i="13"/>
  <c r="AA39" i="13"/>
  <c r="Z39" i="13"/>
  <c r="U40" i="13"/>
  <c r="V40" i="13" s="1"/>
  <c r="X40" i="13" s="1"/>
  <c r="W40" i="13"/>
  <c r="Y40" i="13" s="1"/>
  <c r="I41" i="13"/>
  <c r="K41" i="13" s="1"/>
  <c r="R41" i="13"/>
  <c r="Z41" i="10"/>
  <c r="AA41" i="10"/>
  <c r="U42" i="10"/>
  <c r="V42" i="10" s="1"/>
  <c r="X42" i="10" s="1"/>
  <c r="W42" i="10"/>
  <c r="Y42" i="10" s="1"/>
  <c r="R43" i="10"/>
  <c r="I43" i="10"/>
  <c r="K43" i="10" s="1"/>
  <c r="E44" i="10"/>
  <c r="Z61" i="10"/>
  <c r="AA61" i="10"/>
  <c r="U62" i="10"/>
  <c r="V62" i="10" s="1"/>
  <c r="X62" i="10" s="1"/>
  <c r="W62" i="10"/>
  <c r="Y62" i="10" s="1"/>
  <c r="I63" i="10"/>
  <c r="K63" i="10" s="1"/>
  <c r="R63" i="10"/>
  <c r="E64" i="10"/>
  <c r="AA58" i="13" l="1"/>
  <c r="Z58" i="13"/>
  <c r="W59" i="13"/>
  <c r="Y59" i="13" s="1"/>
  <c r="U59" i="13"/>
  <c r="V59" i="13" s="1"/>
  <c r="X59" i="13" s="1"/>
  <c r="AA40" i="13"/>
  <c r="Z40" i="13"/>
  <c r="U41" i="13"/>
  <c r="V41" i="13" s="1"/>
  <c r="X41" i="13" s="1"/>
  <c r="W41" i="13"/>
  <c r="Y41" i="13" s="1"/>
  <c r="Z42" i="10"/>
  <c r="AA42" i="10"/>
  <c r="W43" i="10"/>
  <c r="Y43" i="10" s="1"/>
  <c r="U43" i="10"/>
  <c r="V43" i="10" s="1"/>
  <c r="X43" i="10" s="1"/>
  <c r="R44" i="10"/>
  <c r="I44" i="10"/>
  <c r="K44" i="10" s="1"/>
  <c r="E45" i="10"/>
  <c r="AA62" i="10"/>
  <c r="Z62" i="10"/>
  <c r="U63" i="10"/>
  <c r="V63" i="10" s="1"/>
  <c r="X63" i="10" s="1"/>
  <c r="W63" i="10"/>
  <c r="Y63" i="10" s="1"/>
  <c r="R64" i="10"/>
  <c r="I64" i="10"/>
  <c r="K64" i="10" s="1"/>
  <c r="E65" i="10"/>
  <c r="Z59" i="13" l="1"/>
  <c r="AA59" i="13"/>
  <c r="AA41" i="13"/>
  <c r="Z41" i="13"/>
  <c r="AA43" i="10"/>
  <c r="Z43" i="10"/>
  <c r="U44" i="10"/>
  <c r="V44" i="10" s="1"/>
  <c r="X44" i="10" s="1"/>
  <c r="W44" i="10"/>
  <c r="Y44" i="10" s="1"/>
  <c r="R45" i="10"/>
  <c r="I45" i="10"/>
  <c r="K45" i="10" s="1"/>
  <c r="AA63" i="10"/>
  <c r="Z63" i="10"/>
  <c r="U64" i="10"/>
  <c r="V64" i="10" s="1"/>
  <c r="X64" i="10" s="1"/>
  <c r="W64" i="10"/>
  <c r="Y64" i="10" s="1"/>
  <c r="R65" i="10"/>
  <c r="I65" i="10"/>
  <c r="K65" i="10" s="1"/>
  <c r="Z44" i="10" l="1"/>
  <c r="AA44" i="10"/>
  <c r="W45" i="10"/>
  <c r="Y45" i="10" s="1"/>
  <c r="U45" i="10"/>
  <c r="V45" i="10" s="1"/>
  <c r="X45" i="10" s="1"/>
  <c r="Z64" i="10"/>
  <c r="AA64" i="10"/>
  <c r="U65" i="10"/>
  <c r="V65" i="10" s="1"/>
  <c r="X65" i="10" s="1"/>
  <c r="W65" i="10"/>
  <c r="Y65" i="10" s="1"/>
  <c r="I42" i="13" l="1"/>
  <c r="K42" i="13" s="1"/>
  <c r="R42" i="13"/>
  <c r="U42" i="13" s="1"/>
  <c r="Z45" i="10"/>
  <c r="AA45" i="10"/>
  <c r="Z65" i="10"/>
  <c r="AA65" i="10"/>
  <c r="V42" i="13" l="1"/>
  <c r="X42" i="13" s="1"/>
  <c r="W42" i="13"/>
  <c r="Y42" i="13" s="1"/>
  <c r="Z42" i="13" l="1"/>
  <c r="AA42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tc={FC9F39E1-A3CC-4371-9674-539CB1B9EFFA}</author>
    <author>wjeong</author>
  </authors>
  <commentList>
    <comment ref="E21" authorId="0" shapeId="0" xr:uid="{FC9F39E1-A3CC-4371-9674-539CB1B9EFF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E6EB3CD-1DF7-46D5-94C9-388D95C8094E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tc={2D040C47-7A94-4C7A-90B7-E8C9A4BF57FB}</author>
    <author>wjeong</author>
  </authors>
  <commentList>
    <comment ref="E21" authorId="0" shapeId="0" xr:uid="{2D040C47-7A94-4C7A-90B7-E8C9A4BF57FB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768CF6B1-024C-43C8-BFB2-C80E636FA7FC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tc={C1D43B44-78A8-41B1-902D-6F95B89F5B94}</author>
    <author>wjeong</author>
  </authors>
  <commentList>
    <comment ref="E21" authorId="0" shapeId="0" xr:uid="{C1D43B44-78A8-41B1-902D-6F95B89F5B94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037ECA3B-0FC7-4B51-A5F8-65A9E37710AA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tc={12EEE733-8123-4F49-ADC4-D691FCFA3476}</author>
    <author>wjeong</author>
  </authors>
  <commentList>
    <comment ref="E21" authorId="0" shapeId="0" xr:uid="{12EEE733-8123-4F49-ADC4-D691FCFA347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D1E72878-B218-4F50-8D02-66790C6FB2BB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tc={5E57ECFC-6B5F-42B8-A41B-0A6BC46CF76A}</author>
    <author>wjeong</author>
  </authors>
  <commentList>
    <comment ref="E21" authorId="0" shapeId="0" xr:uid="{5E57ECFC-6B5F-42B8-A41B-0A6BC46CF7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  <comment ref="O21" authorId="1" shapeId="0" xr:uid="{8F8F65FE-3397-4751-B749-C598C2277192}">
      <text>
        <r>
          <rPr>
            <b/>
            <sz val="9"/>
            <color indexed="81"/>
            <rFont val="Tahoma"/>
            <family val="2"/>
          </rPr>
          <t>Fixation parameter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tc={B614696E-D733-451C-B0E2-35263FB8A779}</author>
  </authors>
  <commentList>
    <comment ref="G22" authorId="0" shapeId="0" xr:uid="{B614696E-D733-451C-B0E2-35263FB8A77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tc={389B2DDB-A3CE-428F-AE22-362AC81C8D82}</author>
  </authors>
  <commentList>
    <comment ref="G22" authorId="0" shapeId="0" xr:uid="{389B2DDB-A3CE-428F-AE22-362AC81C8D82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tc={32380463-8C1F-4C8C-BC7F-F858F36F3D10}</author>
  </authors>
  <commentList>
    <comment ref="G22" authorId="0" shapeId="0" xr:uid="{32380463-8C1F-4C8C-BC7F-F858F36F3D1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From Aqwa .ahd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<sst xmlns="http://schemas.openxmlformats.org/spreadsheetml/2006/main" count="2809" uniqueCount="289">
  <si>
    <t>A</t>
    <phoneticPr fontId="5" type="noConversion"/>
  </si>
  <si>
    <t>a</t>
    <phoneticPr fontId="5" type="noConversion"/>
  </si>
  <si>
    <t>Offshore Structure</t>
    <phoneticPr fontId="5" type="noConversion"/>
  </si>
  <si>
    <t>B</t>
    <phoneticPr fontId="5" type="noConversion"/>
  </si>
  <si>
    <t>b</t>
    <phoneticPr fontId="5" type="noConversion"/>
  </si>
  <si>
    <t>C</t>
    <phoneticPr fontId="5" type="noConversion"/>
  </si>
  <si>
    <t>c</t>
    <phoneticPr fontId="5" type="noConversion"/>
  </si>
  <si>
    <t>NV-NS</t>
    <phoneticPr fontId="5" type="noConversion"/>
  </si>
  <si>
    <t>EA</t>
  </si>
  <si>
    <t>D</t>
    <phoneticPr fontId="5" type="noConversion"/>
  </si>
  <si>
    <t>d</t>
    <phoneticPr fontId="5" type="noConversion"/>
  </si>
  <si>
    <t>NV-27</t>
    <phoneticPr fontId="5" type="noConversion"/>
  </si>
  <si>
    <t>UA</t>
  </si>
  <si>
    <t>E</t>
    <phoneticPr fontId="5" type="noConversion"/>
  </si>
  <si>
    <t>e</t>
    <phoneticPr fontId="5" type="noConversion"/>
  </si>
  <si>
    <t>NV-32</t>
    <phoneticPr fontId="5" type="noConversion"/>
  </si>
  <si>
    <t>IA</t>
  </si>
  <si>
    <t>F</t>
    <phoneticPr fontId="5" type="noConversion"/>
  </si>
  <si>
    <t>f</t>
    <phoneticPr fontId="5" type="noConversion"/>
  </si>
  <si>
    <t>NV-36</t>
    <phoneticPr fontId="5" type="noConversion"/>
  </si>
  <si>
    <t>T</t>
  </si>
  <si>
    <t>G</t>
    <phoneticPr fontId="5" type="noConversion"/>
  </si>
  <si>
    <t>g</t>
    <phoneticPr fontId="5" type="noConversion"/>
  </si>
  <si>
    <t>NV-40</t>
    <phoneticPr fontId="5" type="noConversion"/>
  </si>
  <si>
    <t>L1</t>
  </si>
  <si>
    <t>H</t>
    <phoneticPr fontId="5" type="noConversion"/>
  </si>
  <si>
    <t>h</t>
    <phoneticPr fontId="5" type="noConversion"/>
  </si>
  <si>
    <t>L2</t>
  </si>
  <si>
    <t>I</t>
    <phoneticPr fontId="5" type="noConversion"/>
  </si>
  <si>
    <t>i</t>
    <phoneticPr fontId="5" type="noConversion"/>
  </si>
  <si>
    <t>J</t>
    <phoneticPr fontId="5" type="noConversion"/>
  </si>
  <si>
    <t>j</t>
    <phoneticPr fontId="5" type="noConversion"/>
  </si>
  <si>
    <t>K</t>
    <phoneticPr fontId="5" type="noConversion"/>
  </si>
  <si>
    <t>k</t>
    <phoneticPr fontId="5" type="noConversion"/>
  </si>
  <si>
    <t>L</t>
    <phoneticPr fontId="5" type="noConversion"/>
  </si>
  <si>
    <t>l</t>
    <phoneticPr fontId="5" type="noConversion"/>
  </si>
  <si>
    <t>M</t>
    <phoneticPr fontId="5" type="noConversion"/>
  </si>
  <si>
    <t>m</t>
    <phoneticPr fontId="5" type="noConversion"/>
  </si>
  <si>
    <t>N</t>
    <phoneticPr fontId="5" type="noConversion"/>
  </si>
  <si>
    <t>n</t>
    <phoneticPr fontId="5" type="noConversion"/>
  </si>
  <si>
    <t>O</t>
    <phoneticPr fontId="5" type="noConversion"/>
  </si>
  <si>
    <t>o</t>
    <phoneticPr fontId="5" type="noConversion"/>
  </si>
  <si>
    <t>P</t>
    <phoneticPr fontId="5" type="noConversion"/>
  </si>
  <si>
    <t>p</t>
    <phoneticPr fontId="5" type="noConversion"/>
  </si>
  <si>
    <t>Q</t>
    <phoneticPr fontId="5" type="noConversion"/>
  </si>
  <si>
    <t>q</t>
    <phoneticPr fontId="5" type="noConversion"/>
  </si>
  <si>
    <t>R</t>
    <phoneticPr fontId="5" type="noConversion"/>
  </si>
  <si>
    <t>r</t>
    <phoneticPr fontId="5" type="noConversion"/>
  </si>
  <si>
    <t>S</t>
    <phoneticPr fontId="5" type="noConversion"/>
  </si>
  <si>
    <t>s</t>
    <phoneticPr fontId="5" type="noConversion"/>
  </si>
  <si>
    <t>T</t>
    <phoneticPr fontId="5" type="noConversion"/>
  </si>
  <si>
    <t>t</t>
    <phoneticPr fontId="5" type="noConversion"/>
  </si>
  <si>
    <t>U</t>
    <phoneticPr fontId="5" type="noConversion"/>
  </si>
  <si>
    <t>u</t>
    <phoneticPr fontId="5" type="noConversion"/>
  </si>
  <si>
    <t>V</t>
    <phoneticPr fontId="5" type="noConversion"/>
  </si>
  <si>
    <t>v</t>
    <phoneticPr fontId="5" type="noConversion"/>
  </si>
  <si>
    <t>W</t>
    <phoneticPr fontId="5" type="noConversion"/>
  </si>
  <si>
    <t>w</t>
    <phoneticPr fontId="5" type="noConversion"/>
  </si>
  <si>
    <t>X</t>
    <phoneticPr fontId="5" type="noConversion"/>
  </si>
  <si>
    <t>x</t>
    <phoneticPr fontId="5" type="noConversion"/>
  </si>
  <si>
    <t>Y</t>
    <phoneticPr fontId="5" type="noConversion"/>
  </si>
  <si>
    <t>y</t>
    <phoneticPr fontId="5" type="noConversion"/>
  </si>
  <si>
    <t>Z</t>
    <phoneticPr fontId="5" type="noConversion"/>
  </si>
  <si>
    <t>z</t>
    <phoneticPr fontId="5" type="noConversion"/>
  </si>
  <si>
    <t>Plating</t>
    <phoneticPr fontId="5" type="noConversion"/>
  </si>
  <si>
    <t>Material factor</t>
    <phoneticPr fontId="5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</si>
  <si>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=</t>
    </r>
    <phoneticPr fontId="5" type="noConversion"/>
  </si>
  <si>
    <t>minimum thickness</t>
  </si>
  <si>
    <t>t0 =</t>
  </si>
  <si>
    <t>- 7.0 mm for primary structural elements, 5.0 mm for secondary structural elements</t>
    <phoneticPr fontId="4" type="noConversion"/>
  </si>
  <si>
    <t>Extreme draught</t>
  </si>
  <si>
    <r>
      <t>T</t>
    </r>
    <r>
      <rPr>
        <vertAlign val="subscript"/>
        <sz val="8"/>
        <color theme="0"/>
        <rFont val="맑은 고딕"/>
        <family val="2"/>
        <scheme val="minor"/>
      </rPr>
      <t>E</t>
    </r>
    <r>
      <rPr>
        <sz val="8"/>
        <color theme="0"/>
        <rFont val="맑은 고딕"/>
        <family val="2"/>
        <scheme val="minor"/>
      </rPr>
      <t xml:space="preserve"> =</t>
    </r>
  </si>
  <si>
    <t>Tank Top from B/L</t>
  </si>
  <si>
    <t>m</t>
  </si>
  <si>
    <t>[ Hull girder strength ]</t>
    <phoneticPr fontId="4" type="noConversion"/>
  </si>
  <si>
    <t>period</t>
    <phoneticPr fontId="5" type="noConversion"/>
  </si>
  <si>
    <t>T =</t>
    <phoneticPr fontId="5" type="noConversion"/>
  </si>
  <si>
    <t>sec</t>
    <phoneticPr fontId="5" type="noConversion"/>
  </si>
  <si>
    <t>Hull girder bending moment</t>
    <phoneticPr fontId="4" type="noConversion"/>
  </si>
  <si>
    <t>kN-m</t>
    <phoneticPr fontId="4" type="noConversion"/>
  </si>
  <si>
    <t>angular wave frequency</t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</si>
  <si>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</si>
  <si>
    <t xml:space="preserve">Sectional Inertia Moment </t>
    <phoneticPr fontId="4" type="noConversion"/>
  </si>
  <si>
    <t>m^4</t>
    <phoneticPr fontId="4" type="noConversion"/>
  </si>
  <si>
    <t>wave length</t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</si>
  <si>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</si>
  <si>
    <t>Neutral Aixs :</t>
    <phoneticPr fontId="4" type="noConversion"/>
  </si>
  <si>
    <t>m</t>
    <phoneticPr fontId="4" type="noConversion"/>
  </si>
  <si>
    <t>wave number</t>
    <phoneticPr fontId="5" type="noConversion"/>
  </si>
  <si>
    <t>k =</t>
    <phoneticPr fontId="5" type="noConversion"/>
  </si>
  <si>
    <t>tank height</t>
    <phoneticPr fontId="5" type="noConversion"/>
  </si>
  <si>
    <t>h =</t>
    <phoneticPr fontId="5" type="noConversion"/>
  </si>
  <si>
    <t>Hull girder shear force</t>
    <phoneticPr fontId="4" type="noConversion"/>
  </si>
  <si>
    <t>kN</t>
    <phoneticPr fontId="4" type="noConversion"/>
  </si>
  <si>
    <t>Load factor for Func. &amp; Env. Loads</t>
  </si>
  <si>
    <r>
      <t>g</t>
    </r>
    <r>
      <rPr>
        <sz val="8"/>
        <color theme="1"/>
        <rFont val="맑은 고딕"/>
        <family val="3"/>
        <charset val="129"/>
        <scheme val="minor"/>
      </rPr>
      <t>f =</t>
    </r>
  </si>
  <si>
    <t>Load factor for Permanent Loads</t>
  </si>
  <si>
    <t>`</t>
    <phoneticPr fontId="4" type="noConversion"/>
  </si>
  <si>
    <t>Installation/Operating Conditions</t>
  </si>
  <si>
    <t>Transportation Condition :</t>
  </si>
  <si>
    <t>tank filling height:</t>
  </si>
  <si>
    <t>Members</t>
    <phoneticPr fontId="4" type="noConversion"/>
  </si>
  <si>
    <t xml:space="preserve">zb </t>
    <phoneticPr fontId="5" type="noConversion"/>
  </si>
  <si>
    <t>Pse</t>
    <phoneticPr fontId="4" type="noConversion"/>
  </si>
  <si>
    <t>Pwe</t>
    <phoneticPr fontId="4" type="noConversion"/>
  </si>
  <si>
    <t>Pe</t>
  </si>
  <si>
    <t>Psi</t>
    <phoneticPr fontId="4" type="noConversion"/>
  </si>
  <si>
    <t>Pdi</t>
    <phoneticPr fontId="4" type="noConversion"/>
  </si>
  <si>
    <t>Pi</t>
  </si>
  <si>
    <t xml:space="preserve">fy </t>
    <phoneticPr fontId="5" type="noConversion"/>
  </si>
  <si>
    <t xml:space="preserve">space </t>
    <phoneticPr fontId="5" type="noConversion"/>
  </si>
  <si>
    <t xml:space="preserve">span </t>
    <phoneticPr fontId="5" type="noConversion"/>
  </si>
  <si>
    <t xml:space="preserve">ka </t>
    <phoneticPr fontId="5" type="noConversion"/>
  </si>
  <si>
    <t xml:space="preserve">tc </t>
    <phoneticPr fontId="5" type="noConversion"/>
  </si>
  <si>
    <t>kpp</t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</si>
  <si>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xd </t>
    </r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</si>
  <si>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yd </t>
    </r>
  </si>
  <si>
    <r>
      <t>t</t>
    </r>
    <r>
      <rPr>
        <sz val="8"/>
        <color theme="1"/>
        <rFont val="Arial"/>
        <family val="2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</si>
  <si>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 xml:space="preserve">jd 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</si>
  <si>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pd1</t>
    </r>
    <phoneticPr fontId="5" type="noConversion"/>
  </si>
  <si>
    <t>tmin</t>
    <phoneticPr fontId="4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</si>
  <si>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ULS</t>
    </r>
    <phoneticPr fontId="4" type="noConversion"/>
  </si>
  <si>
    <t>treq</t>
    <phoneticPr fontId="4" type="noConversion"/>
  </si>
  <si>
    <t>tact</t>
    <phoneticPr fontId="4" type="noConversion"/>
  </si>
  <si>
    <t>Eval.</t>
    <phoneticPr fontId="4" type="noConversion"/>
  </si>
  <si>
    <r>
      <rPr>
        <sz val="8"/>
        <color theme="1"/>
        <rFont val="Symbol"/>
        <family val="1"/>
        <charset val="2"/>
      </rPr>
      <t>r</t>
    </r>
    <r>
      <rPr>
        <sz val="10.4"/>
        <color theme="1"/>
        <rFont val="Calibri"/>
        <family val="2"/>
        <charset val="129"/>
      </rPr>
      <t xml:space="preserve"> =</t>
    </r>
  </si>
  <si>
    <r>
      <t>N/mm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</si>
  <si>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5" type="noConversion"/>
  </si>
  <si>
    <r>
      <t>kN/m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</si>
  <si>
    <t>mm</t>
    <phoneticPr fontId="5" type="noConversion"/>
  </si>
  <si>
    <t>mm</t>
    <phoneticPr fontId="4" type="noConversion"/>
  </si>
  <si>
    <t>g0 =</t>
  </si>
  <si>
    <t>BTM</t>
    <phoneticPr fontId="4" type="noConversion"/>
  </si>
  <si>
    <t>Zd =</t>
  </si>
  <si>
    <t>X =</t>
  </si>
  <si>
    <t>Y =</t>
  </si>
  <si>
    <t>Cw =</t>
  </si>
  <si>
    <t>Ce =</t>
  </si>
  <si>
    <t>P =</t>
  </si>
  <si>
    <t>SSHL</t>
    <phoneticPr fontId="4" type="noConversion"/>
  </si>
  <si>
    <t>MDK</t>
    <phoneticPr fontId="4" type="noConversion"/>
  </si>
  <si>
    <t>LBD</t>
    <phoneticPr fontId="4" type="noConversion"/>
  </si>
  <si>
    <t>* Note</t>
    <phoneticPr fontId="4" type="noConversion"/>
  </si>
  <si>
    <t>1.  tmin, treq include corrosion addition(tc)</t>
    <phoneticPr fontId="4" type="noConversion"/>
  </si>
  <si>
    <t>2. zb is vertical distance in m, from base line to load point</t>
    <phoneticPr fontId="4" type="noConversion"/>
  </si>
  <si>
    <t>Block-1, Block-2 Bottom Shell</t>
    <phoneticPr fontId="5" type="noConversion"/>
  </si>
  <si>
    <t>fy /</t>
    <phoneticPr fontId="5" type="noConversion"/>
  </si>
  <si>
    <r>
      <rPr>
        <sz val="8"/>
        <color theme="1"/>
        <rFont val="Symbol"/>
        <family val="1"/>
        <charset val="2"/>
      </rPr>
      <t>g,</t>
    </r>
    <r>
      <rPr>
        <sz val="8"/>
        <color theme="1"/>
        <rFont val="맑은 고딕"/>
        <family val="3"/>
        <charset val="129"/>
        <scheme val="minor"/>
      </rPr>
      <t>m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</si>
  <si>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l.p /</t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</si>
  <si>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jd /</t>
    </r>
    <phoneticPr fontId="5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</si>
  <si>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3"/>
        <charset val="129"/>
        <scheme val="minor"/>
      </rPr>
      <t>pd1</t>
    </r>
    <r>
      <rPr>
        <sz val="8"/>
        <color theme="1"/>
        <rFont val="맑은 고딕"/>
        <family val="1"/>
        <charset val="2"/>
        <scheme val="minor"/>
      </rPr>
      <t xml:space="preserve"> /</t>
    </r>
    <phoneticPr fontId="5" type="noConversion"/>
  </si>
  <si>
    <t>space /</t>
    <phoneticPr fontId="5" type="noConversion"/>
  </si>
  <si>
    <t>span /</t>
    <phoneticPr fontId="5" type="noConversion"/>
  </si>
  <si>
    <t>tc /</t>
    <phoneticPr fontId="5" type="noConversion"/>
  </si>
  <si>
    <t>ka /</t>
    <phoneticPr fontId="5" type="noConversion"/>
  </si>
  <si>
    <t>kpp /</t>
    <phoneticPr fontId="5" type="noConversion"/>
  </si>
  <si>
    <t>tmin /</t>
    <phoneticPr fontId="5" type="noConversion"/>
  </si>
  <si>
    <t>external sea pressure for ultimate limit state</t>
    <phoneticPr fontId="5" type="noConversion"/>
  </si>
  <si>
    <t>internal tank pressure</t>
    <phoneticPr fontId="5" type="noConversion"/>
  </si>
  <si>
    <r>
      <t>T</t>
    </r>
    <r>
      <rPr>
        <vertAlign val="subscript"/>
        <sz val="8"/>
        <color theme="1"/>
        <rFont val="맑은 고딕"/>
        <family val="3"/>
        <charset val="129"/>
        <scheme val="minor"/>
      </rPr>
      <t>E</t>
    </r>
    <r>
      <rPr>
        <sz val="8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8"/>
        <color theme="1"/>
        <rFont val="맑은 고딕"/>
        <family val="3"/>
        <charset val="129"/>
        <scheme val="minor"/>
      </rPr>
      <t>D</t>
    </r>
    <phoneticPr fontId="5" type="noConversion"/>
  </si>
  <si>
    <r>
      <t>Ps/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f,G,Q</t>
    </r>
    <phoneticPr fontId="5" type="noConversion"/>
  </si>
  <si>
    <r>
      <t>Pd/</t>
    </r>
    <r>
      <rPr>
        <sz val="8"/>
        <color theme="1"/>
        <rFont val="Symbol"/>
        <family val="1"/>
        <charset val="2"/>
      </rPr>
      <t>g</t>
    </r>
    <r>
      <rPr>
        <vertAlign val="subscript"/>
        <sz val="8"/>
        <color theme="1"/>
        <rFont val="맑은 고딕"/>
        <family val="3"/>
        <charset val="129"/>
        <scheme val="minor"/>
      </rPr>
      <t>f,E</t>
    </r>
    <phoneticPr fontId="5" type="noConversion"/>
  </si>
  <si>
    <t>Pe /</t>
    <phoneticPr fontId="5" type="noConversion"/>
  </si>
  <si>
    <t>Pi /</t>
    <phoneticPr fontId="5" type="noConversion"/>
  </si>
  <si>
    <t>pd /</t>
    <phoneticPr fontId="5" type="noConversion"/>
  </si>
  <si>
    <t>treq+tc</t>
    <phoneticPr fontId="5" type="noConversion"/>
  </si>
  <si>
    <t>4.29/4.29/15.04/11.4/11.81</t>
  </si>
  <si>
    <t>Block-1, Block-2 Side Shell -1</t>
    <phoneticPr fontId="5" type="noConversion"/>
  </si>
  <si>
    <t>4.29/4.29/15.04/11.4/11.81</t>
    <phoneticPr fontId="5" type="noConversion"/>
  </si>
  <si>
    <t>Block-1, Block-2 Side Shell -2</t>
    <phoneticPr fontId="5" type="noConversion"/>
  </si>
  <si>
    <t>4.29/1.39/15.04/11.4/11.81</t>
    <phoneticPr fontId="5" type="noConversion"/>
  </si>
  <si>
    <t>Block-1, Block-2 Side Shell -3</t>
    <phoneticPr fontId="5" type="noConversion"/>
  </si>
  <si>
    <t>4.29/1.51/15.04/11.4/11.81</t>
    <phoneticPr fontId="5" type="noConversion"/>
  </si>
  <si>
    <t>Block-1, Block-2 Deck</t>
    <phoneticPr fontId="5" type="noConversion"/>
  </si>
  <si>
    <t>4.29/6.21/15.04/11.4/11.81</t>
    <phoneticPr fontId="5" type="noConversion"/>
  </si>
  <si>
    <t>Block-2 Deck</t>
    <phoneticPr fontId="5" type="noConversion"/>
  </si>
  <si>
    <t>4.29/2.71/15.04/11.4/11.81</t>
    <phoneticPr fontId="5" type="noConversion"/>
  </si>
  <si>
    <t>Block-3 Bottom Shell</t>
    <phoneticPr fontId="5" type="noConversion"/>
  </si>
  <si>
    <t>Block-3 Side Shell-1</t>
    <phoneticPr fontId="5" type="noConversion"/>
  </si>
  <si>
    <t>Block-3 Side Shell-2</t>
    <phoneticPr fontId="5" type="noConversion"/>
  </si>
  <si>
    <t>Block-3 Side Shell-3</t>
    <phoneticPr fontId="5" type="noConversion"/>
  </si>
  <si>
    <t>Block-3 Deck</t>
    <phoneticPr fontId="5" type="noConversion"/>
  </si>
  <si>
    <t>SHL</t>
    <phoneticPr fontId="4" type="noConversion"/>
  </si>
  <si>
    <t>LBD</t>
  </si>
  <si>
    <t>Stiffeners</t>
    <phoneticPr fontId="5" type="noConversion"/>
  </si>
  <si>
    <t>bending moment factor</t>
  </si>
  <si>
    <t>km =</t>
    <phoneticPr fontId="4" type="noConversion"/>
  </si>
  <si>
    <t>Fixation parameter</t>
    <phoneticPr fontId="5" type="noConversion"/>
  </si>
  <si>
    <t>kps =</t>
    <phoneticPr fontId="5" type="noConversion"/>
  </si>
  <si>
    <t>Tank height</t>
    <phoneticPr fontId="5" type="noConversion"/>
  </si>
  <si>
    <t xml:space="preserve"> h =</t>
    <phoneticPr fontId="4" type="noConversion"/>
  </si>
  <si>
    <r>
      <t>T</t>
    </r>
    <r>
      <rPr>
        <vertAlign val="subscript"/>
        <sz val="8"/>
        <color theme="0"/>
        <rFont val="맑은 고딕"/>
        <family val="3"/>
        <charset val="129"/>
        <scheme val="minor"/>
      </rPr>
      <t>E</t>
    </r>
    <r>
      <rPr>
        <sz val="8"/>
        <color theme="0"/>
        <rFont val="맑은 고딕"/>
        <family val="2"/>
        <charset val="129"/>
        <scheme val="minor"/>
      </rPr>
      <t xml:space="preserve"> =</t>
    </r>
    <phoneticPr fontId="5" type="noConversion"/>
  </si>
  <si>
    <r>
      <rPr>
        <sz val="8"/>
        <color theme="0"/>
        <rFont val="Symbol"/>
        <family val="1"/>
        <charset val="2"/>
      </rPr>
      <t xml:space="preserve">w </t>
    </r>
    <r>
      <rPr>
        <sz val="8"/>
        <color theme="0"/>
        <rFont val="맑은 고딕"/>
        <family val="3"/>
        <charset val="129"/>
        <scheme val="minor"/>
      </rPr>
      <t>=</t>
    </r>
    <phoneticPr fontId="5" type="noConversion"/>
  </si>
  <si>
    <r>
      <rPr>
        <sz val="8"/>
        <color theme="0"/>
        <rFont val="Symbol"/>
        <family val="1"/>
        <charset val="2"/>
      </rPr>
      <t xml:space="preserve">l </t>
    </r>
    <r>
      <rPr>
        <sz val="8"/>
        <color theme="0"/>
        <rFont val="맑은 고딕"/>
        <family val="2"/>
        <charset val="129"/>
        <scheme val="minor"/>
      </rPr>
      <t>=</t>
    </r>
    <phoneticPr fontId="5" type="noConversion"/>
  </si>
  <si>
    <t>Zact</t>
    <phoneticPr fontId="5" type="noConversion"/>
  </si>
  <si>
    <t>As</t>
    <phoneticPr fontId="4" type="noConversion"/>
  </si>
  <si>
    <t>span</t>
    <phoneticPr fontId="4" type="noConversion"/>
  </si>
  <si>
    <t>space</t>
    <phoneticPr fontId="4" type="noConversion"/>
  </si>
  <si>
    <t>kps</t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</si>
  <si>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f</t>
    </r>
    <phoneticPr fontId="4" type="noConversion"/>
  </si>
  <si>
    <r>
      <rPr>
        <sz val="8"/>
        <color theme="1"/>
        <rFont val="Symbol"/>
        <family val="1"/>
        <charset val="2"/>
      </rPr>
      <t xml:space="preserve"> t</t>
    </r>
    <r>
      <rPr>
        <sz val="8"/>
        <color theme="1"/>
        <rFont val="맑은 고딕"/>
        <family val="3"/>
        <charset val="129"/>
      </rPr>
      <t>d</t>
    </r>
    <phoneticPr fontId="4" type="noConversion"/>
  </si>
  <si>
    <r>
      <rPr>
        <sz val="8"/>
        <color theme="1"/>
        <rFont val="Symbol"/>
        <family val="1"/>
        <charset val="2"/>
      </rPr>
      <t>s</t>
    </r>
    <r>
      <rPr>
        <sz val="8"/>
        <color theme="1"/>
        <rFont val="맑은 고딕"/>
        <family val="1"/>
        <charset val="2"/>
      </rPr>
      <t>pd2</t>
    </r>
    <phoneticPr fontId="5" type="noConversion"/>
  </si>
  <si>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1"/>
        <charset val="2"/>
      </rPr>
      <t>pds</t>
    </r>
    <phoneticPr fontId="5" type="noConversion"/>
  </si>
  <si>
    <t>Zreq</t>
    <phoneticPr fontId="4" type="noConversion"/>
  </si>
  <si>
    <t>As_req</t>
    <phoneticPr fontId="4" type="noConversion"/>
  </si>
  <si>
    <r>
      <t>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phoneticPr fontId="4" type="noConversion"/>
  </si>
  <si>
    <r>
      <t>mm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phoneticPr fontId="4" type="noConversion"/>
  </si>
  <si>
    <t>BTM01</t>
    <phoneticPr fontId="4" type="noConversion"/>
  </si>
  <si>
    <t>450x125X11.5/18 IA</t>
  </si>
  <si>
    <t>BTM02</t>
  </si>
  <si>
    <t>BTM03</t>
  </si>
  <si>
    <t>BTM04</t>
  </si>
  <si>
    <t>BTM05</t>
  </si>
  <si>
    <t>BTM06</t>
  </si>
  <si>
    <t>BTM07</t>
  </si>
  <si>
    <t>SHL01</t>
    <phoneticPr fontId="4" type="noConversion"/>
  </si>
  <si>
    <t>250X90X10/15 IA</t>
  </si>
  <si>
    <t>SHL02</t>
  </si>
  <si>
    <t>SHL03</t>
  </si>
  <si>
    <t>SHL04</t>
  </si>
  <si>
    <t>SHL05</t>
  </si>
  <si>
    <t>SHL06</t>
  </si>
  <si>
    <t>SHL07</t>
  </si>
  <si>
    <t>STRINGER</t>
    <phoneticPr fontId="4" type="noConversion"/>
  </si>
  <si>
    <t>SHL08</t>
  </si>
  <si>
    <t>150X90X12 UA</t>
  </si>
  <si>
    <t>SHL09</t>
  </si>
  <si>
    <t>SHL10</t>
  </si>
  <si>
    <t>SHL11</t>
  </si>
  <si>
    <t>SHL12</t>
  </si>
  <si>
    <t>SHL13</t>
  </si>
  <si>
    <t>SHL14</t>
  </si>
  <si>
    <t>MDK01</t>
    <phoneticPr fontId="4" type="noConversion"/>
  </si>
  <si>
    <t>350X100X12/17 IA</t>
  </si>
  <si>
    <t>MDK02</t>
  </si>
  <si>
    <t>MDK03</t>
  </si>
  <si>
    <t>MDK04</t>
  </si>
  <si>
    <t>MDK05</t>
  </si>
  <si>
    <t>MDK06</t>
  </si>
  <si>
    <t>MDK07</t>
  </si>
  <si>
    <t>LBD01</t>
    <phoneticPr fontId="4" type="noConversion"/>
  </si>
  <si>
    <t>400x100X13/18 IA</t>
  </si>
  <si>
    <t>LBD02</t>
    <phoneticPr fontId="4" type="noConversion"/>
  </si>
  <si>
    <t>LBD03</t>
  </si>
  <si>
    <t>LBD04</t>
  </si>
  <si>
    <t>300X90X13/17 IA</t>
  </si>
  <si>
    <t>LBD05</t>
  </si>
  <si>
    <t>300X90X11/16 IA</t>
  </si>
  <si>
    <t>LBD06</t>
  </si>
  <si>
    <t>LBD07</t>
  </si>
  <si>
    <t>LBD08</t>
  </si>
  <si>
    <t>LBD09</t>
  </si>
  <si>
    <t>250X90X10/15 IA</t>
    <phoneticPr fontId="4" type="noConversion"/>
  </si>
  <si>
    <t>LBD10</t>
  </si>
  <si>
    <t>LBD11</t>
  </si>
  <si>
    <t>LBD12</t>
  </si>
  <si>
    <t>LBD13</t>
  </si>
  <si>
    <t>LBD14</t>
  </si>
  <si>
    <t>400X100X13/18 IA</t>
  </si>
  <si>
    <t>STRINGER</t>
  </si>
  <si>
    <t>250X90X12/16 IA</t>
  </si>
  <si>
    <t>300X90X11/16 IA</t>
    <phoneticPr fontId="4" type="noConversion"/>
  </si>
  <si>
    <t>FR#2</t>
  </si>
  <si>
    <t>FR#4+2000</t>
  </si>
  <si>
    <t>FR#7</t>
  </si>
  <si>
    <t>FR#9</t>
  </si>
  <si>
    <t>tank filling height</t>
    <phoneticPr fontId="5" type="noConversion"/>
  </si>
  <si>
    <t>FR #0</t>
    <phoneticPr fontId="5" type="noConversion"/>
  </si>
  <si>
    <t>FR#2</t>
    <phoneticPr fontId="5" type="noConversion"/>
  </si>
  <si>
    <t>FR#4</t>
    <phoneticPr fontId="5" type="noConversion"/>
  </si>
  <si>
    <t>FR#6</t>
  </si>
  <si>
    <t>FR#7+2000</t>
    <phoneticPr fontId="5" type="noConversion"/>
  </si>
  <si>
    <t>FR#9</t>
    <phoneticPr fontId="5" type="noConversion"/>
  </si>
  <si>
    <t>FR#11</t>
    <phoneticPr fontId="5" type="noConversion"/>
  </si>
  <si>
    <t>TOP</t>
    <phoneticPr fontId="5" type="noConversion"/>
  </si>
  <si>
    <t>NA</t>
    <phoneticPr fontId="5" type="noConversion"/>
  </si>
  <si>
    <t>IY</t>
    <phoneticPr fontId="5" type="noConversion"/>
  </si>
  <si>
    <t>m4</t>
    <phoneticPr fontId="5" type="noConversion"/>
  </si>
  <si>
    <t>IZ</t>
    <phoneticPr fontId="5" type="noConversion"/>
  </si>
  <si>
    <t>ZD</t>
    <phoneticPr fontId="5" type="noConversion"/>
  </si>
  <si>
    <t>m3</t>
    <phoneticPr fontId="5" type="noConversion"/>
  </si>
  <si>
    <t>ZB</t>
    <phoneticPr fontId="5" type="noConversion"/>
  </si>
  <si>
    <t>B.M</t>
    <phoneticPr fontId="5" type="noConversion"/>
  </si>
  <si>
    <t>kN-m</t>
    <phoneticPr fontId="5" type="noConversion"/>
  </si>
  <si>
    <t>N/mm2</t>
    <phoneticPr fontId="5" type="noConversion"/>
  </si>
  <si>
    <t>fd</t>
    <phoneticPr fontId="5" type="noConversion"/>
  </si>
  <si>
    <t>fb</t>
    <phoneticPr fontId="5" type="noConversion"/>
  </si>
  <si>
    <t>sd</t>
    <phoneticPr fontId="5" type="noConversion"/>
  </si>
  <si>
    <t>sb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</si>
</sst>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00"/>
    <numFmt numFmtId="177" formatCode="0.0"/>
    <numFmt numFmtId="178" formatCode="0.0%"/>
    <numFmt numFmtId="179" formatCode="0.00_);[Red]\(0.00\)"/>
    <numFmt numFmtId="180" formatCode="0_);[Red]\(0\)"/>
    <numFmt numFmtId="181" formatCode="0_ "/>
    <numFmt numFmtId="182" formatCode="0.000_);[Red]\(0.000\)"/>
    <numFmt numFmtId="183" formatCode="#,##0_);[Red]\(#,##0\)"/>
  </numFmts>
  <fonts count="4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vertAlign val="super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bscript"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1"/>
      <charset val="2"/>
      <scheme val="minor"/>
    </font>
    <font>
      <i/>
      <sz val="8"/>
      <color theme="1"/>
      <name val="맑은 고딕"/>
      <family val="3"/>
      <charset val="129"/>
      <scheme val="minor"/>
    </font>
    <font>
      <sz val="8"/>
      <color rgb="FF000000"/>
      <name val="Times New Roman"/>
      <family val="1"/>
    </font>
    <font>
      <b/>
      <sz val="9"/>
      <color indexed="81"/>
      <name val="Tahoma"/>
      <family val="2"/>
    </font>
    <font>
      <b/>
      <sz val="10"/>
      <name val="Segoe UI"/>
      <family val="2"/>
    </font>
    <font>
      <sz val="10"/>
      <name val="Segoe UI"/>
      <family val="2"/>
    </font>
    <font>
      <sz val="8"/>
      <name val="Segoe UI"/>
      <family val="2"/>
    </font>
    <font>
      <sz val="8"/>
      <color rgb="FF0070C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color theme="1"/>
      <name val="Arial"/>
      <family val="2"/>
    </font>
    <font>
      <sz val="10.4"/>
      <color theme="1"/>
      <name val="Calibri"/>
      <family val="2"/>
      <charset val="129"/>
    </font>
    <font>
      <sz val="8"/>
      <color theme="1"/>
      <name val="Calibri"/>
      <family val="1"/>
      <charset val="2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8"/>
      <color theme="1"/>
      <name val="맑은 고딕"/>
      <family val="3"/>
      <charset val="129"/>
      <scheme val="minor"/>
    </font>
    <font>
      <sz val="10"/>
      <color rgb="FF000000"/>
      <name val="Calibri"/>
      <family val="2"/>
    </font>
    <font>
      <vertAlign val="subscript"/>
      <sz val="8"/>
      <color theme="0"/>
      <name val="맑은 고딕"/>
      <family val="3"/>
      <charset val="129"/>
      <scheme val="minor"/>
    </font>
    <font>
      <sz val="8"/>
      <color theme="0"/>
      <name val="맑은 고딕"/>
      <family val="1"/>
      <charset val="2"/>
      <scheme val="minor"/>
    </font>
    <font>
      <sz val="8"/>
      <color theme="0"/>
      <name val="Symbol"/>
      <family val="1"/>
      <charset val="2"/>
    </font>
    <font>
      <sz val="8"/>
      <name val="맑은 고딕"/>
      <family val="3"/>
      <charset val="129"/>
    </font>
    <font>
      <sz val="8"/>
      <name val="맑은 고딕"/>
      <family val="2"/>
      <scheme val="minor"/>
    </font>
    <font>
      <b/>
      <sz val="8"/>
      <color rgb="FFFF0000"/>
      <name val="맑은 고딕"/>
      <family val="3"/>
      <charset val="129"/>
      <scheme val="minor"/>
    </font>
    <font>
      <b/>
      <sz val="8"/>
      <color rgb="FFFF0000"/>
      <name val="맑은 고딕"/>
      <family val="2"/>
      <scheme val="minor"/>
    </font>
    <font>
      <b/>
      <sz val="8"/>
      <color rgb="FF0070C0"/>
      <name val="맑은 고딕"/>
      <family val="3"/>
      <charset val="129"/>
      <scheme val="minor"/>
    </font>
    <font>
      <sz val="8"/>
      <color theme="0"/>
      <name val="맑은 고딕"/>
      <family val="2"/>
      <scheme val="minor"/>
    </font>
    <font>
      <vertAlign val="subscript"/>
      <sz val="8"/>
      <color theme="0"/>
      <name val="맑은 고딕"/>
      <family val="2"/>
      <scheme val="minor"/>
    </font>
    <font>
      <b/>
      <sz val="8"/>
      <color rgb="FF0070C0"/>
      <name val="맑은 고딕"/>
      <family val="2"/>
      <scheme val="minor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2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8">
    <xf numFmtId="0" fontId="0" fillId="0" borderId="0" xfId="0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Alignment="1">
      <alignment vertical="center"/>
    </xf>
    <xf numFmtId="0" fontId="7" fillId="0" borderId="0" xfId="1" applyFon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>
      <alignment vertical="center"/>
    </xf>
    <xf numFmtId="0" fontId="10" fillId="0" borderId="0" xfId="1" applyFont="1" applyAlignment="1">
      <alignment horizontal="right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77" fontId="8" fillId="0" borderId="2" xfId="1" applyNumberFormat="1" applyFont="1" applyBorder="1" applyAlignment="1">
      <alignment horizontal="center" vertical="center"/>
    </xf>
    <xf numFmtId="0" fontId="7" fillId="0" borderId="0" xfId="1" applyFont="1" applyAlignment="1">
      <alignment horizontal="right" vertical="center"/>
    </xf>
    <xf numFmtId="2" fontId="7" fillId="0" borderId="2" xfId="1" applyNumberFormat="1" applyFont="1" applyBorder="1" applyAlignment="1">
      <alignment horizontal="center" vertical="center"/>
    </xf>
    <xf numFmtId="0" fontId="11" fillId="0" borderId="0" xfId="1" applyFont="1" applyAlignment="1">
      <alignment horizontal="right" vertical="center"/>
    </xf>
    <xf numFmtId="2" fontId="8" fillId="0" borderId="2" xfId="1" applyNumberFormat="1" applyFont="1" applyBorder="1" applyAlignment="1">
      <alignment horizontal="center" vertical="center"/>
    </xf>
    <xf numFmtId="0" fontId="8" fillId="0" borderId="3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14" fillId="0" borderId="6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1" fontId="8" fillId="0" borderId="8" xfId="1" applyNumberFormat="1" applyFont="1" applyBorder="1" applyAlignment="1">
      <alignment horizontal="center" vertical="center"/>
    </xf>
    <xf numFmtId="2" fontId="8" fillId="0" borderId="9" xfId="1" applyNumberFormat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1" fontId="8" fillId="0" borderId="9" xfId="1" applyNumberFormat="1" applyFont="1" applyBorder="1" applyAlignment="1">
      <alignment horizontal="center" vertical="center"/>
    </xf>
    <xf numFmtId="2" fontId="8" fillId="0" borderId="10" xfId="1" applyNumberFormat="1" applyFont="1" applyBorder="1" applyAlignment="1">
      <alignment horizontal="center" vertical="center"/>
    </xf>
    <xf numFmtId="1" fontId="15" fillId="0" borderId="6" xfId="1" applyNumberFormat="1" applyFont="1" applyBorder="1">
      <alignment vertical="center"/>
    </xf>
    <xf numFmtId="2" fontId="8" fillId="0" borderId="6" xfId="1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center" vertical="center"/>
    </xf>
    <xf numFmtId="2" fontId="8" fillId="0" borderId="11" xfId="1" applyNumberFormat="1" applyFont="1" applyBorder="1" applyAlignment="1">
      <alignment horizontal="center" vertical="center"/>
    </xf>
    <xf numFmtId="2" fontId="8" fillId="0" borderId="12" xfId="1" applyNumberFormat="1" applyFont="1" applyBorder="1">
      <alignment vertical="center"/>
    </xf>
    <xf numFmtId="2" fontId="8" fillId="0" borderId="0" xfId="1" applyNumberFormat="1" applyFont="1" applyAlignment="1">
      <alignment horizontal="center" vertical="center"/>
    </xf>
    <xf numFmtId="0" fontId="8" fillId="0" borderId="13" xfId="1" applyFont="1" applyBorder="1" applyAlignment="1">
      <alignment horizontal="center" vertical="center"/>
    </xf>
    <xf numFmtId="0" fontId="7" fillId="0" borderId="6" xfId="1" applyFont="1" applyBorder="1">
      <alignment vertical="center"/>
    </xf>
    <xf numFmtId="0" fontId="7" fillId="0" borderId="11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7" fillId="0" borderId="9" xfId="1" applyFont="1" applyBorder="1">
      <alignment vertical="center"/>
    </xf>
    <xf numFmtId="1" fontId="7" fillId="0" borderId="9" xfId="1" applyNumberFormat="1" applyFont="1" applyBorder="1" applyAlignment="1">
      <alignment horizontal="center" vertical="center"/>
    </xf>
    <xf numFmtId="177" fontId="7" fillId="0" borderId="9" xfId="1" applyNumberFormat="1" applyFont="1" applyBorder="1" applyAlignment="1">
      <alignment horizontal="center" vertical="center"/>
    </xf>
    <xf numFmtId="177" fontId="7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76" fontId="7" fillId="2" borderId="2" xfId="1" applyNumberFormat="1" applyFont="1" applyFill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16" fillId="0" borderId="0" xfId="0" quotePrefix="1" applyFont="1" applyAlignment="1">
      <alignment vertical="center"/>
    </xf>
    <xf numFmtId="0" fontId="0" fillId="0" borderId="0" xfId="0" applyAlignment="1">
      <alignment horizontal="center" vertical="center"/>
    </xf>
    <xf numFmtId="176" fontId="7" fillId="0" borderId="0" xfId="1" applyNumberFormat="1" applyFont="1" applyAlignment="1">
      <alignment horizontal="right" vertical="center"/>
    </xf>
    <xf numFmtId="2" fontId="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 wrapText="1"/>
    </xf>
    <xf numFmtId="176" fontId="19" fillId="0" borderId="0" xfId="0" applyNumberFormat="1" applyFont="1" applyAlignment="1">
      <alignment horizontal="right" vertical="center" wrapText="1"/>
    </xf>
    <xf numFmtId="0" fontId="7" fillId="3" borderId="2" xfId="1" applyFont="1" applyFill="1" applyBorder="1" applyAlignment="1">
      <alignment horizontal="center" vertical="center"/>
    </xf>
    <xf numFmtId="1" fontId="7" fillId="3" borderId="2" xfId="1" applyNumberFormat="1" applyFont="1" applyFill="1" applyBorder="1" applyAlignment="1">
      <alignment horizontal="center" vertical="center"/>
    </xf>
    <xf numFmtId="177" fontId="7" fillId="3" borderId="2" xfId="1" applyNumberFormat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10" fillId="2" borderId="2" xfId="1" applyFont="1" applyFill="1" applyBorder="1" applyAlignment="1">
      <alignment horizontal="center" vertical="center"/>
    </xf>
    <xf numFmtId="0" fontId="7" fillId="2" borderId="2" xfId="1" applyFont="1" applyFill="1" applyBorder="1">
      <alignment vertical="center"/>
    </xf>
    <xf numFmtId="176" fontId="8" fillId="3" borderId="2" xfId="1" applyNumberFormat="1" applyFont="1" applyFill="1" applyBorder="1" applyAlignment="1">
      <alignment horizontal="center" vertical="center"/>
    </xf>
    <xf numFmtId="177" fontId="8" fillId="3" borderId="2" xfId="1" applyNumberFormat="1" applyFont="1" applyFill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0" fontId="7" fillId="0" borderId="16" xfId="1" applyFont="1" applyBorder="1">
      <alignment vertical="center"/>
    </xf>
    <xf numFmtId="0" fontId="7" fillId="0" borderId="17" xfId="1" applyFont="1" applyBorder="1">
      <alignment vertical="center"/>
    </xf>
    <xf numFmtId="0" fontId="7" fillId="0" borderId="19" xfId="1" applyFont="1" applyBorder="1">
      <alignment vertical="center"/>
    </xf>
    <xf numFmtId="0" fontId="7" fillId="0" borderId="21" xfId="1" applyFont="1" applyBorder="1">
      <alignment vertical="center"/>
    </xf>
    <xf numFmtId="0" fontId="7" fillId="0" borderId="22" xfId="1" applyFont="1" applyBorder="1">
      <alignment vertical="center"/>
    </xf>
    <xf numFmtId="0" fontId="7" fillId="0" borderId="18" xfId="1" applyFont="1" applyBorder="1">
      <alignment vertical="center"/>
    </xf>
    <xf numFmtId="0" fontId="7" fillId="0" borderId="20" xfId="1" applyFont="1" applyBorder="1">
      <alignment vertical="center"/>
    </xf>
    <xf numFmtId="177" fontId="7" fillId="0" borderId="0" xfId="1" applyNumberFormat="1" applyFont="1">
      <alignment vertical="center"/>
    </xf>
    <xf numFmtId="0" fontId="25" fillId="0" borderId="0" xfId="1" applyFont="1">
      <alignment vertical="center"/>
    </xf>
    <xf numFmtId="176" fontId="7" fillId="0" borderId="0" xfId="1" applyNumberFormat="1" applyFont="1">
      <alignment vertical="center"/>
    </xf>
    <xf numFmtId="0" fontId="26" fillId="0" borderId="0" xfId="1" applyFont="1">
      <alignment vertical="center"/>
    </xf>
    <xf numFmtId="0" fontId="26" fillId="0" borderId="0" xfId="1" applyFont="1" applyAlignment="1">
      <alignment horizontal="center" vertical="center"/>
    </xf>
    <xf numFmtId="176" fontId="26" fillId="0" borderId="0" xfId="1" applyNumberFormat="1" applyFont="1" applyAlignment="1">
      <alignment horizontal="right" vertical="center"/>
    </xf>
    <xf numFmtId="0" fontId="11" fillId="2" borderId="2" xfId="1" applyFont="1" applyFill="1" applyBorder="1" applyAlignment="1">
      <alignment horizontal="center" vertical="center"/>
    </xf>
    <xf numFmtId="177" fontId="7" fillId="0" borderId="0" xfId="1" applyNumberFormat="1" applyFont="1" applyAlignment="1">
      <alignment horizontal="center" vertical="center"/>
    </xf>
    <xf numFmtId="0" fontId="7" fillId="4" borderId="2" xfId="1" applyFont="1" applyFill="1" applyBorder="1" applyAlignment="1">
      <alignment horizontal="center" vertical="center"/>
    </xf>
    <xf numFmtId="1" fontId="7" fillId="4" borderId="2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7" fontId="8" fillId="4" borderId="2" xfId="1" applyNumberFormat="1" applyFont="1" applyFill="1" applyBorder="1" applyAlignment="1">
      <alignment horizontal="center" vertical="center"/>
    </xf>
    <xf numFmtId="177" fontId="7" fillId="4" borderId="2" xfId="1" applyNumberFormat="1" applyFont="1" applyFill="1" applyBorder="1" applyAlignment="1">
      <alignment horizontal="center" vertical="center"/>
    </xf>
    <xf numFmtId="0" fontId="7" fillId="5" borderId="2" xfId="1" applyFont="1" applyFill="1" applyBorder="1" applyAlignment="1">
      <alignment horizontal="center" vertical="center"/>
    </xf>
    <xf numFmtId="1" fontId="7" fillId="5" borderId="2" xfId="1" applyNumberFormat="1" applyFont="1" applyFill="1" applyBorder="1" applyAlignment="1">
      <alignment horizontal="center" vertical="center"/>
    </xf>
    <xf numFmtId="176" fontId="8" fillId="5" borderId="2" xfId="1" applyNumberFormat="1" applyFont="1" applyFill="1" applyBorder="1" applyAlignment="1">
      <alignment horizontal="center" vertical="center"/>
    </xf>
    <xf numFmtId="177" fontId="8" fillId="5" borderId="2" xfId="1" applyNumberFormat="1" applyFont="1" applyFill="1" applyBorder="1" applyAlignment="1">
      <alignment horizontal="center" vertical="center"/>
    </xf>
    <xf numFmtId="177" fontId="7" fillId="5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 applyAlignment="1">
      <alignment horizontal="center" vertical="center"/>
    </xf>
    <xf numFmtId="1" fontId="7" fillId="6" borderId="2" xfId="1" applyNumberFormat="1" applyFont="1" applyFill="1" applyBorder="1" applyAlignment="1">
      <alignment horizontal="center" vertical="center"/>
    </xf>
    <xf numFmtId="176" fontId="8" fillId="6" borderId="2" xfId="1" applyNumberFormat="1" applyFont="1" applyFill="1" applyBorder="1" applyAlignment="1">
      <alignment horizontal="center" vertical="center"/>
    </xf>
    <xf numFmtId="177" fontId="8" fillId="6" borderId="2" xfId="1" applyNumberFormat="1" applyFont="1" applyFill="1" applyBorder="1" applyAlignment="1">
      <alignment horizontal="center" vertical="center"/>
    </xf>
    <xf numFmtId="177" fontId="7" fillId="6" borderId="2" xfId="1" applyNumberFormat="1" applyFont="1" applyFill="1" applyBorder="1" applyAlignment="1">
      <alignment horizontal="center" vertical="center"/>
    </xf>
    <xf numFmtId="0" fontId="30" fillId="7" borderId="23" xfId="0" applyFont="1" applyFill="1" applyBorder="1" applyAlignment="1">
      <alignment horizontal="center" vertical="center"/>
    </xf>
    <xf numFmtId="11" fontId="30" fillId="7" borderId="22" xfId="0" applyNumberFormat="1" applyFont="1" applyFill="1" applyBorder="1" applyAlignment="1">
      <alignment horizontal="center" vertical="center"/>
    </xf>
    <xf numFmtId="11" fontId="30" fillId="7" borderId="24" xfId="0" applyNumberFormat="1" applyFont="1" applyFill="1" applyBorder="1" applyAlignment="1">
      <alignment horizontal="center" vertical="center"/>
    </xf>
    <xf numFmtId="179" fontId="7" fillId="0" borderId="0" xfId="1" applyNumberFormat="1" applyFont="1">
      <alignment vertical="center"/>
    </xf>
    <xf numFmtId="180" fontId="7" fillId="0" borderId="0" xfId="1" applyNumberFormat="1" applyFont="1">
      <alignment vertical="center"/>
    </xf>
    <xf numFmtId="11" fontId="30" fillId="7" borderId="23" xfId="0" applyNumberFormat="1" applyFont="1" applyFill="1" applyBorder="1" applyAlignment="1">
      <alignment horizontal="center" vertical="center"/>
    </xf>
    <xf numFmtId="0" fontId="7" fillId="8" borderId="2" xfId="1" applyFont="1" applyFill="1" applyBorder="1" applyAlignment="1">
      <alignment horizontal="center" vertical="center"/>
    </xf>
    <xf numFmtId="1" fontId="7" fillId="8" borderId="2" xfId="1" applyNumberFormat="1" applyFont="1" applyFill="1" applyBorder="1" applyAlignment="1">
      <alignment horizontal="center" vertical="center"/>
    </xf>
    <xf numFmtId="176" fontId="8" fillId="8" borderId="2" xfId="1" applyNumberFormat="1" applyFont="1" applyFill="1" applyBorder="1" applyAlignment="1">
      <alignment horizontal="center" vertical="center"/>
    </xf>
    <xf numFmtId="177" fontId="8" fillId="8" borderId="2" xfId="1" applyNumberFormat="1" applyFont="1" applyFill="1" applyBorder="1" applyAlignment="1">
      <alignment horizontal="center" vertical="center"/>
    </xf>
    <xf numFmtId="177" fontId="7" fillId="8" borderId="2" xfId="1" applyNumberFormat="1" applyFont="1" applyFill="1" applyBorder="1" applyAlignment="1">
      <alignment horizontal="center" vertical="center"/>
    </xf>
    <xf numFmtId="0" fontId="29" fillId="0" borderId="0" xfId="1" applyFont="1">
      <alignment vertical="center"/>
    </xf>
    <xf numFmtId="11" fontId="30" fillId="0" borderId="0" xfId="0" applyNumberFormat="1" applyFont="1"/>
    <xf numFmtId="0" fontId="7" fillId="9" borderId="2" xfId="1" applyFont="1" applyFill="1" applyBorder="1" applyAlignment="1">
      <alignment horizontal="center" vertical="center"/>
    </xf>
    <xf numFmtId="1" fontId="7" fillId="9" borderId="2" xfId="1" applyNumberFormat="1" applyFont="1" applyFill="1" applyBorder="1" applyAlignment="1">
      <alignment horizontal="center" vertical="center"/>
    </xf>
    <xf numFmtId="176" fontId="8" fillId="9" borderId="2" xfId="1" applyNumberFormat="1" applyFont="1" applyFill="1" applyBorder="1" applyAlignment="1">
      <alignment horizontal="center" vertical="center"/>
    </xf>
    <xf numFmtId="177" fontId="8" fillId="9" borderId="2" xfId="1" applyNumberFormat="1" applyFont="1" applyFill="1" applyBorder="1" applyAlignment="1">
      <alignment horizontal="center" vertical="center"/>
    </xf>
    <xf numFmtId="177" fontId="7" fillId="9" borderId="2" xfId="1" applyNumberFormat="1" applyFont="1" applyFill="1" applyBorder="1" applyAlignment="1">
      <alignment horizontal="center" vertical="center"/>
    </xf>
    <xf numFmtId="0" fontId="7" fillId="6" borderId="2" xfId="1" applyFont="1" applyFill="1" applyBorder="1">
      <alignment vertical="center"/>
    </xf>
    <xf numFmtId="176" fontId="7" fillId="6" borderId="2" xfId="1" applyNumberFormat="1" applyFont="1" applyFill="1" applyBorder="1" applyAlignment="1">
      <alignment horizontal="center" vertical="center"/>
    </xf>
    <xf numFmtId="0" fontId="21" fillId="6" borderId="2" xfId="1" applyFont="1" applyFill="1" applyBorder="1" applyAlignment="1">
      <alignment horizontal="center" vertical="center"/>
    </xf>
    <xf numFmtId="178" fontId="7" fillId="6" borderId="2" xfId="4" applyNumberFormat="1" applyFont="1" applyFill="1" applyBorder="1" applyAlignment="1">
      <alignment horizontal="center" vertical="center"/>
    </xf>
    <xf numFmtId="0" fontId="7" fillId="5" borderId="2" xfId="1" applyFont="1" applyFill="1" applyBorder="1">
      <alignment vertical="center"/>
    </xf>
    <xf numFmtId="176" fontId="7" fillId="5" borderId="2" xfId="1" applyNumberFormat="1" applyFont="1" applyFill="1" applyBorder="1" applyAlignment="1">
      <alignment horizontal="center" vertical="center"/>
    </xf>
    <xf numFmtId="177" fontId="20" fillId="5" borderId="2" xfId="0" applyNumberFormat="1" applyFont="1" applyFill="1" applyBorder="1" applyAlignment="1">
      <alignment horizontal="right" vertical="center" wrapText="1"/>
    </xf>
    <xf numFmtId="0" fontId="21" fillId="5" borderId="2" xfId="1" applyFont="1" applyFill="1" applyBorder="1" applyAlignment="1">
      <alignment horizontal="center" vertical="center"/>
    </xf>
    <xf numFmtId="178" fontId="7" fillId="5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center" vertical="center"/>
    </xf>
    <xf numFmtId="0" fontId="7" fillId="10" borderId="2" xfId="1" applyFont="1" applyFill="1" applyBorder="1">
      <alignment vertical="center"/>
    </xf>
    <xf numFmtId="176" fontId="7" fillId="10" borderId="2" xfId="1" applyNumberFormat="1" applyFont="1" applyFill="1" applyBorder="1" applyAlignment="1">
      <alignment horizontal="center" vertical="center"/>
    </xf>
    <xf numFmtId="177" fontId="7" fillId="10" borderId="2" xfId="1" applyNumberFormat="1" applyFont="1" applyFill="1" applyBorder="1" applyAlignment="1">
      <alignment horizontal="center" vertical="center"/>
    </xf>
    <xf numFmtId="1" fontId="7" fillId="10" borderId="2" xfId="1" applyNumberFormat="1" applyFont="1" applyFill="1" applyBorder="1" applyAlignment="1">
      <alignment horizontal="center" vertical="center"/>
    </xf>
    <xf numFmtId="177" fontId="20" fillId="10" borderId="2" xfId="0" applyNumberFormat="1" applyFont="1" applyFill="1" applyBorder="1" applyAlignment="1">
      <alignment horizontal="right" vertical="center" wrapText="1"/>
    </xf>
    <xf numFmtId="0" fontId="21" fillId="10" borderId="2" xfId="1" applyFont="1" applyFill="1" applyBorder="1" applyAlignment="1">
      <alignment horizontal="center" vertical="center"/>
    </xf>
    <xf numFmtId="178" fontId="7" fillId="10" borderId="2" xfId="4" applyNumberFormat="1" applyFont="1" applyFill="1" applyBorder="1" applyAlignment="1">
      <alignment horizontal="center" vertical="center"/>
    </xf>
    <xf numFmtId="0" fontId="7" fillId="10" borderId="2" xfId="1" applyFont="1" applyFill="1" applyBorder="1" applyAlignment="1">
      <alignment horizontal="left" vertical="center"/>
    </xf>
    <xf numFmtId="0" fontId="7" fillId="11" borderId="2" xfId="1" applyFont="1" applyFill="1" applyBorder="1" applyAlignment="1">
      <alignment horizontal="center" vertical="center"/>
    </xf>
    <xf numFmtId="0" fontId="7" fillId="11" borderId="2" xfId="1" applyFont="1" applyFill="1" applyBorder="1">
      <alignment vertical="center"/>
    </xf>
    <xf numFmtId="176" fontId="7" fillId="11" borderId="2" xfId="1" applyNumberFormat="1" applyFont="1" applyFill="1" applyBorder="1" applyAlignment="1">
      <alignment horizontal="center" vertical="center"/>
    </xf>
    <xf numFmtId="177" fontId="7" fillId="11" borderId="2" xfId="1" applyNumberFormat="1" applyFont="1" applyFill="1" applyBorder="1" applyAlignment="1">
      <alignment horizontal="center" vertical="center"/>
    </xf>
    <xf numFmtId="1" fontId="7" fillId="11" borderId="2" xfId="1" applyNumberFormat="1" applyFont="1" applyFill="1" applyBorder="1" applyAlignment="1">
      <alignment horizontal="center" vertical="center"/>
    </xf>
    <xf numFmtId="177" fontId="20" fillId="11" borderId="2" xfId="0" applyNumberFormat="1" applyFont="1" applyFill="1" applyBorder="1" applyAlignment="1">
      <alignment horizontal="right" vertical="center" wrapText="1"/>
    </xf>
    <xf numFmtId="0" fontId="21" fillId="11" borderId="2" xfId="1" applyFont="1" applyFill="1" applyBorder="1" applyAlignment="1">
      <alignment horizontal="center" vertical="center"/>
    </xf>
    <xf numFmtId="178" fontId="7" fillId="11" borderId="2" xfId="4" applyNumberFormat="1" applyFont="1" applyFill="1" applyBorder="1" applyAlignment="1">
      <alignment horizontal="center" vertical="center"/>
    </xf>
    <xf numFmtId="0" fontId="26" fillId="0" borderId="0" xfId="1" applyFont="1" applyAlignment="1">
      <alignment horizontal="right" vertical="center"/>
    </xf>
    <xf numFmtId="0" fontId="27" fillId="0" borderId="0" xfId="1" applyFont="1">
      <alignment vertical="center"/>
    </xf>
    <xf numFmtId="0" fontId="32" fillId="0" borderId="0" xfId="1" applyFont="1" applyAlignment="1">
      <alignment horizontal="right" vertical="center"/>
    </xf>
    <xf numFmtId="0" fontId="27" fillId="0" borderId="0" xfId="1" applyFont="1" applyAlignment="1">
      <alignment horizontal="right" vertical="center"/>
    </xf>
    <xf numFmtId="176" fontId="26" fillId="12" borderId="2" xfId="1" applyNumberFormat="1" applyFont="1" applyFill="1" applyBorder="1" applyAlignment="1">
      <alignment horizontal="center" vertical="center"/>
    </xf>
    <xf numFmtId="0" fontId="26" fillId="12" borderId="2" xfId="1" applyFont="1" applyFill="1" applyBorder="1" applyAlignment="1">
      <alignment horizontal="center" vertical="center"/>
    </xf>
    <xf numFmtId="2" fontId="26" fillId="12" borderId="2" xfId="1" applyNumberFormat="1" applyFont="1" applyFill="1" applyBorder="1" applyAlignment="1">
      <alignment horizontal="center" vertical="center"/>
    </xf>
    <xf numFmtId="177" fontId="27" fillId="12" borderId="2" xfId="1" applyNumberFormat="1" applyFont="1" applyFill="1" applyBorder="1" applyAlignment="1">
      <alignment horizontal="center" vertical="center"/>
    </xf>
    <xf numFmtId="176" fontId="27" fillId="12" borderId="2" xfId="1" applyNumberFormat="1" applyFont="1" applyFill="1" applyBorder="1" applyAlignment="1">
      <alignment horizontal="center" vertical="center"/>
    </xf>
    <xf numFmtId="2" fontId="8" fillId="12" borderId="2" xfId="1" applyNumberFormat="1" applyFont="1" applyFill="1" applyBorder="1" applyAlignment="1">
      <alignment horizontal="center" vertical="center"/>
    </xf>
    <xf numFmtId="0" fontId="26" fillId="12" borderId="0" xfId="1" applyFont="1" applyFill="1" applyAlignment="1">
      <alignment horizontal="center" vertical="center"/>
    </xf>
    <xf numFmtId="0" fontId="27" fillId="12" borderId="0" xfId="1" applyFont="1" applyFill="1" applyAlignment="1">
      <alignment horizontal="center" vertical="center"/>
    </xf>
    <xf numFmtId="0" fontId="27" fillId="12" borderId="0" xfId="1" applyFont="1" applyFill="1">
      <alignment vertical="center"/>
    </xf>
    <xf numFmtId="0" fontId="27" fillId="12" borderId="2" xfId="1" applyFont="1" applyFill="1" applyBorder="1" applyAlignment="1">
      <alignment horizontal="center" vertical="center"/>
    </xf>
    <xf numFmtId="2" fontId="27" fillId="12" borderId="2" xfId="1" applyNumberFormat="1" applyFont="1" applyFill="1" applyBorder="1" applyAlignment="1">
      <alignment horizontal="center" vertical="center"/>
    </xf>
    <xf numFmtId="177" fontId="34" fillId="5" borderId="2" xfId="0" applyNumberFormat="1" applyFont="1" applyFill="1" applyBorder="1" applyAlignment="1">
      <alignment horizontal="center" vertical="center" wrapText="1"/>
    </xf>
    <xf numFmtId="177" fontId="34" fillId="10" borderId="2" xfId="0" applyNumberFormat="1" applyFont="1" applyFill="1" applyBorder="1" applyAlignment="1">
      <alignment horizontal="center" vertical="center" wrapText="1"/>
    </xf>
    <xf numFmtId="177" fontId="34" fillId="11" borderId="2" xfId="0" applyNumberFormat="1" applyFont="1" applyFill="1" applyBorder="1" applyAlignment="1">
      <alignment horizontal="center" vertical="center" wrapText="1"/>
    </xf>
    <xf numFmtId="181" fontId="7" fillId="0" borderId="0" xfId="1" applyNumberFormat="1" applyFont="1">
      <alignment vertical="center"/>
    </xf>
    <xf numFmtId="177" fontId="35" fillId="4" borderId="2" xfId="1" applyNumberFormat="1" applyFont="1" applyFill="1" applyBorder="1" applyAlignment="1">
      <alignment horizontal="center" vertical="center"/>
    </xf>
    <xf numFmtId="177" fontId="35" fillId="8" borderId="2" xfId="1" applyNumberFormat="1" applyFont="1" applyFill="1" applyBorder="1" applyAlignment="1">
      <alignment horizontal="center" vertical="center"/>
    </xf>
    <xf numFmtId="177" fontId="35" fillId="6" borderId="2" xfId="1" applyNumberFormat="1" applyFont="1" applyFill="1" applyBorder="1" applyAlignment="1">
      <alignment horizontal="center" vertical="center"/>
    </xf>
    <xf numFmtId="177" fontId="36" fillId="3" borderId="2" xfId="1" applyNumberFormat="1" applyFont="1" applyFill="1" applyBorder="1" applyAlignment="1">
      <alignment horizontal="center" vertical="center"/>
    </xf>
    <xf numFmtId="177" fontId="36" fillId="4" borderId="2" xfId="1" applyNumberFormat="1" applyFont="1" applyFill="1" applyBorder="1" applyAlignment="1">
      <alignment horizontal="center" vertical="center"/>
    </xf>
    <xf numFmtId="177" fontId="35" fillId="9" borderId="2" xfId="1" applyNumberFormat="1" applyFont="1" applyFill="1" applyBorder="1" applyAlignment="1">
      <alignment horizontal="center" vertical="center"/>
    </xf>
    <xf numFmtId="177" fontId="35" fillId="5" borderId="2" xfId="1" applyNumberFormat="1" applyFont="1" applyFill="1" applyBorder="1" applyAlignment="1">
      <alignment horizontal="center" vertical="center"/>
    </xf>
    <xf numFmtId="0" fontId="37" fillId="11" borderId="2" xfId="1" applyFont="1" applyFill="1" applyBorder="1">
      <alignment vertical="center"/>
    </xf>
    <xf numFmtId="177" fontId="37" fillId="6" borderId="2" xfId="1" applyNumberFormat="1" applyFont="1" applyFill="1" applyBorder="1" applyAlignment="1">
      <alignment horizontal="center" vertical="center"/>
    </xf>
    <xf numFmtId="177" fontId="38" fillId="3" borderId="2" xfId="1" applyNumberFormat="1" applyFont="1" applyFill="1" applyBorder="1" applyAlignment="1">
      <alignment horizontal="center" vertical="center"/>
    </xf>
    <xf numFmtId="0" fontId="26" fillId="12" borderId="0" xfId="1" applyFont="1" applyFill="1">
      <alignment vertical="center"/>
    </xf>
    <xf numFmtId="0" fontId="26" fillId="12" borderId="0" xfId="1" applyFont="1" applyFill="1" applyAlignment="1">
      <alignment horizontal="right" vertical="center"/>
    </xf>
    <xf numFmtId="0" fontId="32" fillId="12" borderId="0" xfId="1" applyFont="1" applyFill="1" applyAlignment="1">
      <alignment horizontal="right" vertical="center"/>
    </xf>
    <xf numFmtId="0" fontId="27" fillId="12" borderId="0" xfId="1" applyFont="1" applyFill="1" applyAlignment="1">
      <alignment horizontal="right" vertical="center"/>
    </xf>
    <xf numFmtId="0" fontId="39" fillId="12" borderId="0" xfId="1" applyFont="1" applyFill="1">
      <alignment vertical="center"/>
    </xf>
    <xf numFmtId="0" fontId="39" fillId="12" borderId="0" xfId="1" applyFont="1" applyFill="1" applyAlignment="1">
      <alignment horizontal="right" vertical="center"/>
    </xf>
    <xf numFmtId="176" fontId="39" fillId="12" borderId="2" xfId="1" applyNumberFormat="1" applyFont="1" applyFill="1" applyBorder="1" applyAlignment="1">
      <alignment horizontal="center" vertical="center"/>
    </xf>
    <xf numFmtId="0" fontId="39" fillId="12" borderId="0" xfId="1" applyFont="1" applyFill="1" applyAlignment="1">
      <alignment horizontal="center" vertical="center"/>
    </xf>
    <xf numFmtId="177" fontId="41" fillId="4" borderId="2" xfId="1" applyNumberFormat="1" applyFont="1" applyFill="1" applyBorder="1" applyAlignment="1">
      <alignment horizontal="center" vertical="center"/>
    </xf>
    <xf numFmtId="177" fontId="38" fillId="6" borderId="2" xfId="1" applyNumberFormat="1" applyFont="1" applyFill="1" applyBorder="1" applyAlignment="1">
      <alignment horizontal="center" vertical="center"/>
    </xf>
    <xf numFmtId="0" fontId="4" fillId="12" borderId="0" xfId="1" applyFont="1" applyFill="1">
      <alignment vertical="center"/>
    </xf>
    <xf numFmtId="0" fontId="4" fillId="12" borderId="0" xfId="1" applyFont="1" applyFill="1" applyAlignment="1">
      <alignment horizontal="right" vertical="center"/>
    </xf>
    <xf numFmtId="2" fontId="4" fillId="12" borderId="2" xfId="1" applyNumberFormat="1" applyFont="1" applyFill="1" applyBorder="1" applyAlignment="1">
      <alignment horizontal="center" vertical="center"/>
    </xf>
    <xf numFmtId="0" fontId="1" fillId="0" borderId="0" xfId="6" applyAlignment="1">
      <alignment horizontal="center" vertical="center"/>
    </xf>
    <xf numFmtId="0" fontId="1" fillId="0" borderId="0" xfId="6">
      <alignment vertical="center"/>
    </xf>
    <xf numFmtId="182" fontId="42" fillId="0" borderId="2" xfId="6" applyNumberFormat="1" applyFont="1" applyBorder="1" applyAlignment="1">
      <alignment horizontal="center" vertical="center"/>
    </xf>
    <xf numFmtId="182" fontId="42" fillId="0" borderId="2" xfId="7" applyNumberFormat="1" applyFont="1" applyBorder="1" applyAlignment="1">
      <alignment horizontal="center" vertical="center"/>
    </xf>
    <xf numFmtId="180" fontId="42" fillId="0" borderId="2" xfId="6" applyNumberFormat="1" applyFont="1" applyBorder="1" applyAlignment="1">
      <alignment horizontal="center" vertical="center"/>
    </xf>
    <xf numFmtId="183" fontId="42" fillId="0" borderId="2" xfId="5" applyNumberFormat="1" applyFont="1" applyBorder="1" applyAlignment="1">
      <alignment horizontal="center" vertical="center"/>
    </xf>
    <xf numFmtId="183" fontId="42" fillId="0" borderId="2" xfId="7" applyNumberFormat="1" applyFon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7" fillId="0" borderId="20" xfId="1" applyFont="1" applyBorder="1" applyAlignment="1">
      <alignment horizontal="center" vertical="center"/>
    </xf>
    <xf numFmtId="0" fontId="7" fillId="0" borderId="22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</cellXfs>
  <cellStyles count="8">
    <cellStyle name="백분율" xfId="4" builtinId="5"/>
    <cellStyle name="백분율 2" xfId="2" xr:uid="{C4EA7A45-F508-40D6-BDCD-5FFE1683725D}"/>
    <cellStyle name="쉼표 [0]" xfId="5" builtinId="6"/>
    <cellStyle name="쉼표 [0] 2" xfId="7" xr:uid="{BDBED605-B44C-4399-97CC-F64364A2D7C7}"/>
    <cellStyle name="표준" xfId="0" builtinId="0"/>
    <cellStyle name="표준 2" xfId="1" xr:uid="{321D5B45-FD5B-4D33-BF5E-AE3ABAA1C2BB}"/>
    <cellStyle name="표준 3" xfId="3" xr:uid="{2BD1CEC8-6FA6-40D1-82F3-846D42096EC9}"/>
    <cellStyle name="표준 4" xfId="6" xr:uid="{DFF6D445-94AC-42AE-BC69-1DDED65C0DFD}"/>
  </cellStyles>
  <dxfs count="11"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color rgb="FF9C0006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'Stiffeners(FR#2)'!$AB$8:$AB$16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'Stiffeners(FR#2)'!$AC$8:$AC$16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B-4BF2-AB92-2F6F315B9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'Stiffeners(FR#4+2000)'!$AB$8:$AB$16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'Stiffeners(FR#4+2000)'!$AC$8:$AC$16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3-4D03-BCEF-DFAABB3FD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'Stiffeners(FR#7)'!$AB$8:$AB$16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4.29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'Stiffeners(FR#7)'!$AC$8:$AC$16</c:f>
              <c:numCache>
                <c:formatCode>General</c:formatCode>
                <c:ptCount val="9"/>
                <c:pt idx="0">
                  <c:v>38.008845000000001</c:v>
                </c:pt>
                <c:pt idx="1">
                  <c:v>38.008845000000001</c:v>
                </c:pt>
                <c:pt idx="2">
                  <c:v>38.008845000000001</c:v>
                </c:pt>
                <c:pt idx="3">
                  <c:v>38.008845000000001</c:v>
                </c:pt>
                <c:pt idx="4">
                  <c:v>38.008845000000001</c:v>
                </c:pt>
                <c:pt idx="5">
                  <c:v>30.8696175</c:v>
                </c:pt>
                <c:pt idx="6">
                  <c:v>20.814367499999999</c:v>
                </c:pt>
                <c:pt idx="7">
                  <c:v>10.759117500000002</c:v>
                </c:pt>
                <c:pt idx="8">
                  <c:v>0.70386750000000275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49-45DD-BBDA-CC8E8E690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007455"/>
        <c:axId val="416009375"/>
      </c:scatterChart>
      <c:valAx>
        <c:axId val="41600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9375"/>
        <c:crosses val="autoZero"/>
        <c:crossBetween val="midCat"/>
      </c:valAx>
      <c:valAx>
        <c:axId val="416009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007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2D41F7A8-C044-4EDD-9A8B-B7DD10669B7E}"/>
            </a:ext>
          </a:extLst>
        </xdr:cNvPr>
        <xdr:cNvSpPr/>
      </xdr:nvSpPr>
      <xdr:spPr>
        <a:xfrm>
          <a:off x="0" y="0"/>
          <a:ext cx="204787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E3552B-9784-429B-8A2D-2F6877D6080E}"/>
            </a:ext>
          </a:extLst>
        </xdr:cNvPr>
        <xdr:cNvSpPr/>
      </xdr:nvSpPr>
      <xdr:spPr>
        <a:xfrm>
          <a:off x="2045432" y="1"/>
          <a:ext cx="37147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DA750EFC-6D55-493B-AEC0-27C5D964F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517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D48E64FE-1B5A-442F-AF17-D38E426A1AF4}"/>
            </a:ext>
          </a:extLst>
        </xdr:cNvPr>
        <xdr:cNvSpPr/>
      </xdr:nvSpPr>
      <xdr:spPr>
        <a:xfrm>
          <a:off x="2047875" y="457201"/>
          <a:ext cx="37147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20193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020032" y="1"/>
          <a:ext cx="40385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24773" cy="87151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019300" y="457201"/>
          <a:ext cx="403860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12229A0B-7A54-478C-9D7F-25E7BCABC62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89C2B527-5B6E-4D4F-84D4-A0E5B92BF771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5265602-690C-4E24-98BC-0E7A96697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8909B134-2B58-42E0-846D-6DF81F0C608F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928FD1EA-B942-4E04-81A5-8E8686E35928}"/>
            </a:ext>
          </a:extLst>
        </xdr:cNvPr>
        <xdr:cNvSpPr/>
      </xdr:nvSpPr>
      <xdr:spPr>
        <a:xfrm>
          <a:off x="0" y="0"/>
          <a:ext cx="19050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F7EEF27-6354-4742-AAE0-9CC80E75417D}"/>
            </a:ext>
          </a:extLst>
        </xdr:cNvPr>
        <xdr:cNvSpPr/>
      </xdr:nvSpPr>
      <xdr:spPr>
        <a:xfrm>
          <a:off x="1902557" y="1"/>
          <a:ext cx="34480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A9B8AC3-C5B2-4BD7-B408-CD8EF3A63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374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111ADC8A-6A4D-418D-8BE1-253B6D733C02}"/>
            </a:ext>
          </a:extLst>
        </xdr:cNvPr>
        <xdr:cNvSpPr/>
      </xdr:nvSpPr>
      <xdr:spPr>
        <a:xfrm>
          <a:off x="1905000" y="457201"/>
          <a:ext cx="34480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E44DC0C-BE10-4BB3-8D44-B2E843E17497}"/>
            </a:ext>
          </a:extLst>
        </xdr:cNvPr>
        <xdr:cNvSpPr/>
      </xdr:nvSpPr>
      <xdr:spPr>
        <a:xfrm>
          <a:off x="0" y="0"/>
          <a:ext cx="209550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DDE64B5-60ED-4881-A4FB-02CE69BDA7CA}"/>
            </a:ext>
          </a:extLst>
        </xdr:cNvPr>
        <xdr:cNvSpPr/>
      </xdr:nvSpPr>
      <xdr:spPr>
        <a:xfrm>
          <a:off x="2093057" y="1"/>
          <a:ext cx="37909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9BCABA1-6E42-4732-8968-3B8D041E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89873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AC2B65BC-1882-4CF4-AA80-BBA1529C18C0}"/>
            </a:ext>
          </a:extLst>
        </xdr:cNvPr>
        <xdr:cNvSpPr/>
      </xdr:nvSpPr>
      <xdr:spPr>
        <a:xfrm>
          <a:off x="2095500" y="457201"/>
          <a:ext cx="37909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66673040-AF59-499C-AB30-9AB127E18123}"/>
            </a:ext>
          </a:extLst>
        </xdr:cNvPr>
        <xdr:cNvSpPr/>
      </xdr:nvSpPr>
      <xdr:spPr>
        <a:xfrm>
          <a:off x="857250" y="0"/>
          <a:ext cx="222885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D1FF0935-F44B-4108-86E2-DF740C8B7BA8}"/>
            </a:ext>
          </a:extLst>
        </xdr:cNvPr>
        <xdr:cNvSpPr/>
      </xdr:nvSpPr>
      <xdr:spPr>
        <a:xfrm>
          <a:off x="3086832" y="1"/>
          <a:ext cx="342899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E067A967-FB54-434E-8B63-5865DAA47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" y="0"/>
          <a:ext cx="2115285" cy="876277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90BA61D-5870-4BEB-BBA0-09A952CB33A9}"/>
            </a:ext>
          </a:extLst>
        </xdr:cNvPr>
        <xdr:cNvSpPr/>
      </xdr:nvSpPr>
      <xdr:spPr>
        <a:xfrm>
          <a:off x="2272862" y="459829"/>
          <a:ext cx="4296104" cy="3065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28</xdr:col>
      <xdr:colOff>64717</xdr:colOff>
      <xdr:row>3</xdr:row>
      <xdr:rowOff>64172</xdr:rowOff>
    </xdr:from>
    <xdr:to>
      <xdr:col>35</xdr:col>
      <xdr:colOff>13590</xdr:colOff>
      <xdr:row>5</xdr:row>
      <xdr:rowOff>130435</xdr:rowOff>
    </xdr:to>
    <xdr:pic>
      <xdr:nvPicPr>
        <xdr:cNvPr id="2" name="그림 1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B37848FD-BE14-C3A6-EB1A-ACD702F86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3436" y="528516"/>
          <a:ext cx="2824232" cy="375825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43</xdr:row>
      <xdr:rowOff>148003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212990FD-563E-2699-73EB-E8E7F71EA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BD5C1404-CBB8-44C5-9469-9F1341C7A8DE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EE1B0D2-DA50-4718-9EF9-56E69CAB0CC3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307FB01-B4A2-45AA-B830-41749FE5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427A363A-6E4E-4852-96A4-AF12A56E4C41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162419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07158C57-36F6-4049-8D68-286646CF2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41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74839C20-4920-4C8B-A3C8-EF40F4CF1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6D599238-7C7B-45ED-A6A3-0BD5DA9683B3}"/>
            </a:ext>
          </a:extLst>
        </xdr:cNvPr>
        <xdr:cNvSpPr/>
      </xdr:nvSpPr>
      <xdr:spPr>
        <a:xfrm>
          <a:off x="0" y="0"/>
          <a:ext cx="2257425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505557</xdr:colOff>
      <xdr:row>0</xdr:row>
      <xdr:rowOff>1</xdr:rowOff>
    </xdr:from>
    <xdr:to>
      <xdr:col>13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F8DB7FF8-435E-401B-BB57-2C1FC1426AE6}"/>
            </a:ext>
          </a:extLst>
        </xdr:cNvPr>
        <xdr:cNvSpPr/>
      </xdr:nvSpPr>
      <xdr:spPr>
        <a:xfrm>
          <a:off x="2254982" y="1"/>
          <a:ext cx="428624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BA14512-0B68-4BD9-89C3-145BD604C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094648" cy="86834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</xdr:row>
      <xdr:rowOff>1</xdr:rowOff>
    </xdr:from>
    <xdr:to>
      <xdr:col>14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A053CC3-4AC1-4341-94F7-D071D5974EAF}"/>
            </a:ext>
          </a:extLst>
        </xdr:cNvPr>
        <xdr:cNvSpPr/>
      </xdr:nvSpPr>
      <xdr:spPr>
        <a:xfrm>
          <a:off x="2257425" y="457201"/>
          <a:ext cx="428625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xdr:twoCellAnchor editAs="oneCell">
    <xdr:from>
      <xdr:col>17</xdr:col>
      <xdr:colOff>344515</xdr:colOff>
      <xdr:row>5</xdr:row>
      <xdr:rowOff>126879</xdr:rowOff>
    </xdr:from>
    <xdr:to>
      <xdr:col>24</xdr:col>
      <xdr:colOff>159244</xdr:colOff>
      <xdr:row>8</xdr:row>
      <xdr:rowOff>35185</xdr:rowOff>
    </xdr:to>
    <xdr:pic>
      <xdr:nvPicPr>
        <xdr:cNvPr id="6" name="그림 5" descr="텍스트, 폰트, 라인, 화이트이(가) 표시된 사진&#10;&#10;자동 생성된 설명">
          <a:extLst>
            <a:ext uri="{FF2B5EF4-FFF2-40B4-BE49-F238E27FC236}">
              <a16:creationId xmlns:a16="http://schemas.microsoft.com/office/drawing/2014/main" id="{29564744-AA41-4DE4-9175-A31B4B3BEE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316940" y="885704"/>
          <a:ext cx="2865904" cy="368681"/>
        </a:xfrm>
        <a:prstGeom prst="rect">
          <a:avLst/>
        </a:prstGeom>
      </xdr:spPr>
    </xdr:pic>
    <xdr:clientData/>
  </xdr:twoCellAnchor>
  <xdr:twoCellAnchor>
    <xdr:from>
      <xdr:col>29</xdr:col>
      <xdr:colOff>252778</xdr:colOff>
      <xdr:row>8</xdr:row>
      <xdr:rowOff>20515</xdr:rowOff>
    </xdr:from>
    <xdr:to>
      <xdr:col>41</xdr:col>
      <xdr:colOff>340701</xdr:colOff>
      <xdr:row>39</xdr:row>
      <xdr:rowOff>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3FFA5525-6541-4DAB-B5FC-1ADDBDAED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우열 정" id="{F37EC912-97F3-42DF-AB32-A2E571488EC3}" userId="2cc805aba2fc4c0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FC9F39E1-A3CC-4371-9674-539CB1B9EFFA}">
    <text>From Aqwa .ahd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2D040C47-7A94-4C7A-90B7-E8C9A4BF57FB}">
    <text>From Aqwa .ahd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C1D43B44-78A8-41B1-902D-6F95B89F5B94}">
    <text>From Aqwa .ahd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12EEE733-8123-4F49-ADC4-D691FCFA3476}">
    <text>From Aqwa .ahd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1" dT="2024-04-23T04:35:32.52" personId="{F37EC912-97F3-42DF-AB32-A2E571488EC3}" id="{5E57ECFC-6B5F-42B8-A41B-0A6BC46CF76A}">
    <text>From Aqwa .ahd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B614696E-D733-451C-B0E2-35263FB8A779}">
    <text>From Aqwa .ahd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89B2DDB-A3CE-428F-AE22-362AC81C8D82}">
    <text>From Aqwa .ahd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G22" dT="2024-04-23T04:35:32.52" personId="{F37EC912-97F3-42DF-AB32-A2E571488EC3}" id="{32380463-8C1F-4C8C-BC7F-F858F36F3D10}">
    <text>From Aqwa .ahd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7"/>
  <sheetViews>
    <sheetView workbookViewId="0">
      <selection activeCell="E18" sqref="E18"/>
    </sheetView>
  </sheetViews>
  <sheetFormatPr defaultRowHeight="17" x14ac:dyDescent="0.45"/>
  <sheetData>
    <row r="1" spans="1:10" x14ac:dyDescent="0.45">
      <c r="A1" s="1" t="s">
        <v>0</v>
      </c>
      <c r="B1" s="2" t="s">
        <v>0</v>
      </c>
      <c r="C1" s="2" t="str">
        <f t="shared" ref="C1:C23" si="0">LOWER(B1)</f>
        <v>a</v>
      </c>
      <c r="D1" s="1" t="s">
        <v>1</v>
      </c>
      <c r="E1" s="1" t="s">
        <v>2</v>
      </c>
      <c r="F1" s="1"/>
      <c r="G1" s="1"/>
      <c r="H1" s="1"/>
      <c r="I1" s="1"/>
      <c r="J1" s="1"/>
    </row>
    <row r="2" spans="1:10" x14ac:dyDescent="0.45">
      <c r="A2" s="1" t="s">
        <v>3</v>
      </c>
      <c r="B2" s="2" t="s">
        <v>3</v>
      </c>
      <c r="C2" s="2" t="str">
        <f t="shared" si="0"/>
        <v>b</v>
      </c>
      <c r="D2" s="1" t="s">
        <v>4</v>
      </c>
      <c r="E2" s="1"/>
      <c r="F2" s="1"/>
      <c r="G2" s="1"/>
      <c r="H2" s="1"/>
      <c r="I2" s="1"/>
      <c r="J2" s="1"/>
    </row>
    <row r="3" spans="1:10" x14ac:dyDescent="0.45">
      <c r="A3" s="1" t="s">
        <v>5</v>
      </c>
      <c r="B3" s="2" t="s">
        <v>5</v>
      </c>
      <c r="C3" s="2" t="str">
        <f t="shared" si="0"/>
        <v>c</v>
      </c>
      <c r="D3" s="1" t="s">
        <v>6</v>
      </c>
      <c r="E3" s="1" t="s">
        <v>7</v>
      </c>
      <c r="F3" s="1">
        <v>235</v>
      </c>
      <c r="G3" s="1">
        <v>1</v>
      </c>
      <c r="H3" s="3">
        <f>1/G3</f>
        <v>1</v>
      </c>
      <c r="I3" s="1"/>
      <c r="J3" s="52" t="s">
        <v>8</v>
      </c>
    </row>
    <row r="4" spans="1:10" x14ac:dyDescent="0.45">
      <c r="A4" s="1" t="s">
        <v>9</v>
      </c>
      <c r="B4" s="2" t="s">
        <v>9</v>
      </c>
      <c r="C4" s="2" t="str">
        <f t="shared" si="0"/>
        <v>d</v>
      </c>
      <c r="D4" s="1" t="s">
        <v>10</v>
      </c>
      <c r="E4" s="1" t="s">
        <v>11</v>
      </c>
      <c r="F4" s="1">
        <v>265</v>
      </c>
      <c r="G4" s="1">
        <v>1.08</v>
      </c>
      <c r="H4" s="3">
        <f>1/G4</f>
        <v>0.92592592592592582</v>
      </c>
      <c r="I4" s="1"/>
      <c r="J4" s="52" t="s">
        <v>12</v>
      </c>
    </row>
    <row r="5" spans="1:10" x14ac:dyDescent="0.45">
      <c r="A5" s="1" t="s">
        <v>13</v>
      </c>
      <c r="B5" s="2" t="s">
        <v>13</v>
      </c>
      <c r="C5" s="2" t="str">
        <f t="shared" si="0"/>
        <v>e</v>
      </c>
      <c r="D5" s="1" t="s">
        <v>14</v>
      </c>
      <c r="E5" s="1" t="s">
        <v>15</v>
      </c>
      <c r="F5" s="1">
        <v>315</v>
      </c>
      <c r="G5" s="1">
        <v>1.28</v>
      </c>
      <c r="H5" s="3">
        <f>1/G5</f>
        <v>0.78125</v>
      </c>
      <c r="I5" s="1"/>
      <c r="J5" s="52" t="s">
        <v>16</v>
      </c>
    </row>
    <row r="6" spans="1:10" x14ac:dyDescent="0.45">
      <c r="A6" s="1" t="s">
        <v>17</v>
      </c>
      <c r="B6" s="2" t="s">
        <v>17</v>
      </c>
      <c r="C6" s="2" t="str">
        <f t="shared" si="0"/>
        <v>f</v>
      </c>
      <c r="D6" s="1" t="s">
        <v>18</v>
      </c>
      <c r="E6" s="1" t="s">
        <v>19</v>
      </c>
      <c r="F6" s="1">
        <v>355</v>
      </c>
      <c r="G6" s="1">
        <v>1.39</v>
      </c>
      <c r="H6" s="3">
        <f>1/G6</f>
        <v>0.71942446043165476</v>
      </c>
      <c r="I6" s="1"/>
      <c r="J6" s="52" t="s">
        <v>20</v>
      </c>
    </row>
    <row r="7" spans="1:10" x14ac:dyDescent="0.45">
      <c r="A7" s="1" t="s">
        <v>21</v>
      </c>
      <c r="B7" s="2" t="s">
        <v>21</v>
      </c>
      <c r="C7" s="2" t="str">
        <f t="shared" si="0"/>
        <v>g</v>
      </c>
      <c r="D7" s="1" t="s">
        <v>22</v>
      </c>
      <c r="E7" s="1" t="s">
        <v>23</v>
      </c>
      <c r="F7" s="1">
        <v>390</v>
      </c>
      <c r="G7" s="1">
        <v>1.47</v>
      </c>
      <c r="H7" s="3">
        <f>1/G7</f>
        <v>0.68027210884353739</v>
      </c>
      <c r="I7" s="1"/>
      <c r="J7" s="52" t="s">
        <v>24</v>
      </c>
    </row>
    <row r="8" spans="1:10" x14ac:dyDescent="0.45">
      <c r="A8" s="1" t="s">
        <v>25</v>
      </c>
      <c r="B8" s="2" t="s">
        <v>25</v>
      </c>
      <c r="C8" s="2" t="str">
        <f t="shared" si="0"/>
        <v>h</v>
      </c>
      <c r="D8" s="1" t="s">
        <v>26</v>
      </c>
      <c r="E8" s="1"/>
      <c r="F8" s="1"/>
      <c r="G8" s="1"/>
      <c r="H8" s="1"/>
      <c r="I8" s="1"/>
      <c r="J8" s="52" t="s">
        <v>27</v>
      </c>
    </row>
    <row r="9" spans="1:10" x14ac:dyDescent="0.45">
      <c r="A9" s="1" t="s">
        <v>28</v>
      </c>
      <c r="B9" s="2" t="s">
        <v>28</v>
      </c>
      <c r="C9" s="2" t="str">
        <f t="shared" si="0"/>
        <v>i</v>
      </c>
      <c r="D9" s="1" t="s">
        <v>29</v>
      </c>
      <c r="E9" s="1"/>
      <c r="F9" s="1"/>
      <c r="G9" s="1"/>
      <c r="H9" s="1"/>
      <c r="I9" s="1"/>
      <c r="J9" s="1"/>
    </row>
    <row r="10" spans="1:10" x14ac:dyDescent="0.45">
      <c r="A10" s="1" t="s">
        <v>30</v>
      </c>
      <c r="B10" s="2" t="s">
        <v>30</v>
      </c>
      <c r="C10" s="2" t="str">
        <f t="shared" si="0"/>
        <v>j</v>
      </c>
      <c r="D10" s="1" t="s">
        <v>31</v>
      </c>
      <c r="E10" s="1"/>
      <c r="F10" s="1"/>
      <c r="G10" s="1"/>
      <c r="H10" s="1"/>
      <c r="I10" s="1"/>
      <c r="J10" s="1"/>
    </row>
    <row r="11" spans="1:10" x14ac:dyDescent="0.45">
      <c r="A11" s="1" t="s">
        <v>32</v>
      </c>
      <c r="B11" s="2" t="s">
        <v>32</v>
      </c>
      <c r="C11" s="2" t="str">
        <f t="shared" si="0"/>
        <v>k</v>
      </c>
      <c r="D11" s="1" t="s">
        <v>33</v>
      </c>
      <c r="E11" s="1"/>
      <c r="F11" s="1"/>
      <c r="G11" s="1"/>
      <c r="H11" s="1"/>
      <c r="I11" s="1"/>
      <c r="J11" s="1"/>
    </row>
    <row r="12" spans="1:10" x14ac:dyDescent="0.45">
      <c r="A12" s="1" t="s">
        <v>34</v>
      </c>
      <c r="B12" s="2" t="s">
        <v>34</v>
      </c>
      <c r="C12" s="2" t="str">
        <f t="shared" si="0"/>
        <v>l</v>
      </c>
      <c r="D12" s="1" t="s">
        <v>35</v>
      </c>
      <c r="E12" s="1"/>
      <c r="F12" s="1"/>
      <c r="G12" s="1"/>
      <c r="H12" s="1"/>
      <c r="I12" s="1"/>
      <c r="J12" s="1"/>
    </row>
    <row r="13" spans="1:10" x14ac:dyDescent="0.45">
      <c r="A13" s="1" t="s">
        <v>36</v>
      </c>
      <c r="B13" s="2" t="s">
        <v>36</v>
      </c>
      <c r="C13" s="2" t="str">
        <f t="shared" si="0"/>
        <v>m</v>
      </c>
      <c r="D13" s="1" t="s">
        <v>37</v>
      </c>
      <c r="E13" s="1"/>
      <c r="F13" s="1"/>
      <c r="G13" s="1"/>
      <c r="H13" s="1"/>
      <c r="I13" s="1"/>
      <c r="J13" s="1"/>
    </row>
    <row r="14" spans="1:10" x14ac:dyDescent="0.45">
      <c r="A14" s="1" t="s">
        <v>38</v>
      </c>
      <c r="B14" s="2" t="s">
        <v>38</v>
      </c>
      <c r="C14" s="2" t="str">
        <f t="shared" si="0"/>
        <v>n</v>
      </c>
      <c r="D14" s="1" t="s">
        <v>39</v>
      </c>
      <c r="E14" s="1"/>
      <c r="F14" s="1"/>
      <c r="G14" s="1"/>
      <c r="H14" s="1"/>
      <c r="I14" s="1"/>
      <c r="J14" s="1"/>
    </row>
    <row r="15" spans="1:10" x14ac:dyDescent="0.45">
      <c r="A15" s="1" t="s">
        <v>40</v>
      </c>
      <c r="B15" s="2" t="s">
        <v>40</v>
      </c>
      <c r="C15" s="2" t="str">
        <f t="shared" si="0"/>
        <v>o</v>
      </c>
      <c r="D15" s="1" t="s">
        <v>41</v>
      </c>
      <c r="E15" s="1"/>
      <c r="F15" s="1"/>
      <c r="G15" s="1"/>
      <c r="H15" s="1"/>
      <c r="I15" s="1"/>
      <c r="J15" s="1"/>
    </row>
    <row r="16" spans="1:10" x14ac:dyDescent="0.45">
      <c r="A16" s="1" t="s">
        <v>42</v>
      </c>
      <c r="B16" s="2" t="s">
        <v>42</v>
      </c>
      <c r="C16" s="2" t="str">
        <f t="shared" si="0"/>
        <v>p</v>
      </c>
      <c r="D16" s="1" t="s">
        <v>43</v>
      </c>
      <c r="E16" s="1"/>
      <c r="F16" s="1"/>
      <c r="G16" s="1"/>
      <c r="H16" s="1"/>
      <c r="I16" s="1"/>
      <c r="J16" s="1"/>
    </row>
    <row r="17" spans="1:10" x14ac:dyDescent="0.45">
      <c r="A17" s="1" t="s">
        <v>44</v>
      </c>
      <c r="B17" s="2" t="s">
        <v>44</v>
      </c>
      <c r="C17" s="2" t="str">
        <f t="shared" si="0"/>
        <v>q</v>
      </c>
      <c r="D17" s="1" t="s">
        <v>45</v>
      </c>
      <c r="E17" s="1"/>
      <c r="F17" s="1"/>
      <c r="G17" s="1"/>
      <c r="H17" s="1"/>
      <c r="I17" s="1"/>
      <c r="J17" s="1"/>
    </row>
    <row r="18" spans="1:10" x14ac:dyDescent="0.45">
      <c r="A18" s="1" t="s">
        <v>46</v>
      </c>
      <c r="B18" s="2" t="s">
        <v>46</v>
      </c>
      <c r="C18" s="2" t="str">
        <f t="shared" si="0"/>
        <v>r</v>
      </c>
      <c r="D18" s="1" t="s">
        <v>47</v>
      </c>
      <c r="E18" s="1"/>
      <c r="F18" s="1"/>
      <c r="G18" s="1"/>
      <c r="H18" s="1"/>
      <c r="I18" s="1"/>
      <c r="J18" s="1"/>
    </row>
    <row r="19" spans="1:10" x14ac:dyDescent="0.45">
      <c r="A19" s="1" t="s">
        <v>48</v>
      </c>
      <c r="B19" s="2" t="s">
        <v>48</v>
      </c>
      <c r="C19" s="2" t="str">
        <f t="shared" si="0"/>
        <v>s</v>
      </c>
      <c r="D19" s="1" t="s">
        <v>49</v>
      </c>
      <c r="E19" s="1"/>
      <c r="F19" s="1"/>
      <c r="G19" s="1"/>
      <c r="H19" s="1"/>
      <c r="I19" s="1"/>
      <c r="J19" s="1"/>
    </row>
    <row r="20" spans="1:10" x14ac:dyDescent="0.45">
      <c r="A20" s="1" t="s">
        <v>50</v>
      </c>
      <c r="B20" s="2" t="s">
        <v>50</v>
      </c>
      <c r="C20" s="2" t="str">
        <f t="shared" si="0"/>
        <v>t</v>
      </c>
      <c r="D20" s="1" t="s">
        <v>51</v>
      </c>
      <c r="E20" s="1"/>
      <c r="F20" s="1"/>
      <c r="G20" s="1"/>
      <c r="H20" s="1"/>
      <c r="I20" s="1"/>
      <c r="J20" s="1"/>
    </row>
    <row r="21" spans="1:10" x14ac:dyDescent="0.45">
      <c r="A21" s="1" t="s">
        <v>52</v>
      </c>
      <c r="B21" s="2" t="s">
        <v>52</v>
      </c>
      <c r="C21" s="2" t="str">
        <f t="shared" si="0"/>
        <v>u</v>
      </c>
      <c r="D21" s="1" t="s">
        <v>53</v>
      </c>
      <c r="E21" s="1"/>
      <c r="F21" s="1"/>
      <c r="G21" s="1"/>
      <c r="H21" s="1"/>
      <c r="I21" s="1"/>
      <c r="J21" s="1"/>
    </row>
    <row r="22" spans="1:10" x14ac:dyDescent="0.45">
      <c r="A22" s="1" t="s">
        <v>54</v>
      </c>
      <c r="B22" s="2" t="s">
        <v>54</v>
      </c>
      <c r="C22" s="2" t="str">
        <f t="shared" si="0"/>
        <v>v</v>
      </c>
      <c r="D22" s="1" t="s">
        <v>55</v>
      </c>
      <c r="E22" s="1"/>
      <c r="F22" s="1"/>
      <c r="G22" s="1"/>
      <c r="H22" s="1"/>
      <c r="I22" s="1"/>
      <c r="J22" s="1"/>
    </row>
    <row r="23" spans="1:10" x14ac:dyDescent="0.45">
      <c r="A23" s="1" t="s">
        <v>56</v>
      </c>
      <c r="B23" s="2" t="s">
        <v>56</v>
      </c>
      <c r="C23" s="2" t="str">
        <f t="shared" si="0"/>
        <v>w</v>
      </c>
      <c r="D23" s="1" t="s">
        <v>57</v>
      </c>
      <c r="E23" s="1"/>
      <c r="F23" s="1"/>
      <c r="G23" s="1"/>
      <c r="H23" s="1"/>
      <c r="I23" s="1"/>
      <c r="J23" s="1"/>
    </row>
    <row r="24" spans="1:10" x14ac:dyDescent="0.45">
      <c r="A24" s="1" t="s">
        <v>58</v>
      </c>
      <c r="B24" s="2" t="s">
        <v>58</v>
      </c>
      <c r="C24" s="2" t="s">
        <v>59</v>
      </c>
      <c r="D24" s="1" t="s">
        <v>59</v>
      </c>
      <c r="E24" s="1"/>
      <c r="F24" s="1"/>
      <c r="G24" s="1"/>
      <c r="H24" s="1"/>
      <c r="I24" s="1"/>
      <c r="J24" s="1"/>
    </row>
    <row r="25" spans="1:10" x14ac:dyDescent="0.45">
      <c r="A25" s="1" t="s">
        <v>60</v>
      </c>
      <c r="B25" s="2" t="s">
        <v>60</v>
      </c>
      <c r="C25" s="2" t="s">
        <v>61</v>
      </c>
      <c r="D25" s="1" t="s">
        <v>61</v>
      </c>
      <c r="E25" s="1"/>
      <c r="F25" s="1"/>
      <c r="G25" s="1"/>
      <c r="H25" s="1"/>
      <c r="I25" s="1"/>
      <c r="J25" s="1"/>
    </row>
    <row r="26" spans="1:10" x14ac:dyDescent="0.45">
      <c r="A26" s="1" t="s">
        <v>62</v>
      </c>
      <c r="B26" s="2" t="s">
        <v>62</v>
      </c>
      <c r="C26" s="2" t="s">
        <v>63</v>
      </c>
      <c r="D26" s="1" t="s">
        <v>63</v>
      </c>
      <c r="E26" s="1"/>
      <c r="F26" s="1"/>
      <c r="G26" s="1"/>
      <c r="H26" s="1"/>
      <c r="I26" s="1"/>
      <c r="J26" s="1"/>
    </row>
    <row r="27" spans="1:10" x14ac:dyDescent="0.45">
      <c r="A27" s="1"/>
      <c r="B27" s="1"/>
      <c r="C27" s="1"/>
      <c r="D27" s="1"/>
      <c r="E27" s="1"/>
      <c r="F27" s="1"/>
      <c r="G27" s="1"/>
      <c r="H27" s="1"/>
      <c r="I27" s="1"/>
      <c r="J27" s="1"/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02F2E-7E10-40F2-B902-841911CE3A66}">
  <dimension ref="A2:M14"/>
  <sheetViews>
    <sheetView workbookViewId="0">
      <selection activeCell="K39" sqref="K39"/>
    </sheetView>
  </sheetViews>
  <sheetFormatPr defaultColWidth="11.08203125" defaultRowHeight="17" x14ac:dyDescent="0.45"/>
  <cols>
    <col min="1" max="1" width="7.33203125" style="183" customWidth="1"/>
    <col min="2" max="2" width="8.1640625" style="183" customWidth="1"/>
    <col min="3" max="3" width="13.1640625" style="184" bestFit="1" customWidth="1"/>
    <col min="4" max="4" width="12.75" style="184" bestFit="1" customWidth="1"/>
    <col min="5" max="9" width="11.58203125" style="184" bestFit="1" customWidth="1"/>
    <col min="10" max="16384" width="11.08203125" style="184"/>
  </cols>
  <sheetData>
    <row r="2" spans="1:13" x14ac:dyDescent="0.45">
      <c r="A2" s="185"/>
      <c r="B2" s="185"/>
      <c r="C2" s="185" t="s">
        <v>267</v>
      </c>
      <c r="D2" s="185" t="s">
        <v>268</v>
      </c>
      <c r="E2" s="185" t="s">
        <v>269</v>
      </c>
      <c r="F2" s="185" t="s">
        <v>270</v>
      </c>
      <c r="G2" s="185" t="s">
        <v>271</v>
      </c>
      <c r="H2" s="185" t="s">
        <v>272</v>
      </c>
      <c r="I2" s="185" t="s">
        <v>273</v>
      </c>
      <c r="K2" s="183" t="s">
        <v>33</v>
      </c>
      <c r="L2" s="184">
        <v>0.72</v>
      </c>
    </row>
    <row r="3" spans="1:13" x14ac:dyDescent="0.45">
      <c r="A3" s="185" t="s">
        <v>274</v>
      </c>
      <c r="B3" s="185" t="s">
        <v>37</v>
      </c>
      <c r="C3" s="185">
        <v>10.5</v>
      </c>
      <c r="D3" s="185">
        <v>10.5</v>
      </c>
      <c r="E3" s="185">
        <v>9.5</v>
      </c>
      <c r="F3" s="185">
        <v>8.75</v>
      </c>
      <c r="G3" s="185">
        <v>7.75</v>
      </c>
      <c r="H3" s="185">
        <v>7</v>
      </c>
      <c r="I3" s="185">
        <v>7</v>
      </c>
    </row>
    <row r="4" spans="1:13" x14ac:dyDescent="0.45">
      <c r="A4" s="185" t="s">
        <v>58</v>
      </c>
      <c r="B4" s="185" t="s">
        <v>129</v>
      </c>
      <c r="C4" s="189">
        <v>0</v>
      </c>
      <c r="D4" s="189">
        <v>8000</v>
      </c>
      <c r="E4" s="189">
        <v>160000</v>
      </c>
      <c r="F4" s="189">
        <v>240000</v>
      </c>
      <c r="G4" s="189">
        <v>300000</v>
      </c>
      <c r="H4" s="189">
        <v>360000</v>
      </c>
      <c r="I4" s="189">
        <v>440000</v>
      </c>
    </row>
    <row r="5" spans="1:13" x14ac:dyDescent="0.45">
      <c r="A5" s="185" t="s">
        <v>275</v>
      </c>
      <c r="B5" s="185" t="s">
        <v>37</v>
      </c>
      <c r="C5" s="185">
        <v>5.4390000000000001</v>
      </c>
      <c r="D5" s="185">
        <v>5.43</v>
      </c>
      <c r="E5" s="186">
        <v>5.0069999999999997</v>
      </c>
      <c r="F5" s="186">
        <v>4.32</v>
      </c>
      <c r="G5" s="186">
        <v>3.8969999999999998</v>
      </c>
      <c r="H5" s="186">
        <v>3.75</v>
      </c>
      <c r="I5" s="186">
        <v>3.5510000000000002</v>
      </c>
    </row>
    <row r="6" spans="1:13" x14ac:dyDescent="0.45">
      <c r="A6" s="185" t="s">
        <v>276</v>
      </c>
      <c r="B6" s="185" t="s">
        <v>277</v>
      </c>
      <c r="C6" s="185">
        <v>24.898700000000002</v>
      </c>
      <c r="D6" s="185">
        <v>22.220800000000001</v>
      </c>
      <c r="E6" s="185">
        <v>15.96</v>
      </c>
      <c r="F6" s="185">
        <v>13.785299999999999</v>
      </c>
      <c r="G6" s="185">
        <v>11.864000000000001</v>
      </c>
      <c r="H6" s="185">
        <v>11.5984</v>
      </c>
      <c r="I6" s="185">
        <v>10.068</v>
      </c>
      <c r="M6" s="184">
        <f>7-2.63*2</f>
        <v>1.7400000000000002</v>
      </c>
    </row>
    <row r="7" spans="1:13" x14ac:dyDescent="0.45">
      <c r="A7" s="185" t="s">
        <v>278</v>
      </c>
      <c r="B7" s="185" t="s">
        <v>277</v>
      </c>
      <c r="C7" s="185">
        <v>39.420099999999998</v>
      </c>
      <c r="D7" s="185">
        <v>22.236999999999998</v>
      </c>
      <c r="E7" s="185">
        <v>18.899699999999999</v>
      </c>
      <c r="F7" s="185">
        <v>20.8903</v>
      </c>
      <c r="G7" s="185">
        <v>21.553000000000001</v>
      </c>
      <c r="H7" s="185">
        <v>23.785900000000002</v>
      </c>
      <c r="I7" s="185">
        <v>30.297000000000001</v>
      </c>
    </row>
    <row r="8" spans="1:13" x14ac:dyDescent="0.45">
      <c r="A8" s="185" t="s">
        <v>279</v>
      </c>
      <c r="B8" s="185" t="s">
        <v>280</v>
      </c>
      <c r="C8" s="185">
        <v>4.92</v>
      </c>
      <c r="D8" s="185">
        <v>4.383</v>
      </c>
      <c r="E8" s="185">
        <v>3.968</v>
      </c>
      <c r="F8" s="185">
        <f t="shared" ref="F8:H8" si="0">F6/(F3-F5)</f>
        <v>3.1118058690744923</v>
      </c>
      <c r="G8" s="185">
        <f t="shared" si="0"/>
        <v>3.0791590968076825</v>
      </c>
      <c r="H8" s="185">
        <f t="shared" si="0"/>
        <v>3.5687384615384614</v>
      </c>
      <c r="I8" s="185">
        <f>I6/(I3-I5)</f>
        <v>2.9191069875326181</v>
      </c>
    </row>
    <row r="9" spans="1:13" x14ac:dyDescent="0.45">
      <c r="A9" s="185" t="s">
        <v>281</v>
      </c>
      <c r="B9" s="185" t="s">
        <v>280</v>
      </c>
      <c r="C9" s="185">
        <v>4.577</v>
      </c>
      <c r="D9" s="185">
        <v>4.0919999999999996</v>
      </c>
      <c r="E9" s="185">
        <v>3.1040000000000001</v>
      </c>
      <c r="F9" s="185">
        <f t="shared" ref="F9:H9" si="1">F6/F5</f>
        <v>3.1910416666666661</v>
      </c>
      <c r="G9" s="185">
        <f t="shared" si="1"/>
        <v>3.0443931229150634</v>
      </c>
      <c r="H9" s="185">
        <f t="shared" si="1"/>
        <v>3.0929066666666665</v>
      </c>
      <c r="I9" s="185">
        <f>I6/I5</f>
        <v>2.8352576738946773</v>
      </c>
    </row>
    <row r="10" spans="1:13" x14ac:dyDescent="0.45">
      <c r="A10" s="185" t="s">
        <v>282</v>
      </c>
      <c r="B10" s="185" t="s">
        <v>283</v>
      </c>
      <c r="C10" s="188">
        <f>1.2*10^6</f>
        <v>1200000</v>
      </c>
      <c r="D10" s="188">
        <f>1*10^6</f>
        <v>1000000</v>
      </c>
      <c r="E10" s="188">
        <f>8.06*10^5</f>
        <v>806000</v>
      </c>
      <c r="F10" s="188">
        <f t="shared" ref="F10:H10" si="2">8.06*10^5</f>
        <v>806000</v>
      </c>
      <c r="G10" s="188">
        <f t="shared" si="2"/>
        <v>806000</v>
      </c>
      <c r="H10" s="188">
        <f t="shared" si="2"/>
        <v>806000</v>
      </c>
      <c r="I10" s="188">
        <f>8.06*10^5</f>
        <v>806000</v>
      </c>
    </row>
    <row r="11" spans="1:13" x14ac:dyDescent="0.45">
      <c r="A11" s="185" t="s">
        <v>287</v>
      </c>
      <c r="B11" s="185" t="s">
        <v>284</v>
      </c>
      <c r="C11" s="187">
        <f>C10/(C8*1000)</f>
        <v>243.90243902439025</v>
      </c>
      <c r="D11" s="187">
        <f>D10/(D8*1000)</f>
        <v>228.15423226100845</v>
      </c>
      <c r="E11" s="187">
        <f t="shared" ref="E11:G11" si="3">E10/(E8*1000)</f>
        <v>203.125</v>
      </c>
      <c r="F11" s="187">
        <f>F10/(F8*1000)</f>
        <v>259.01358693680947</v>
      </c>
      <c r="G11" s="187">
        <f t="shared" si="3"/>
        <v>261.75977747808497</v>
      </c>
      <c r="H11" s="187">
        <f>H10/(H8*1000)</f>
        <v>225.8501172575528</v>
      </c>
      <c r="I11" s="187">
        <f>I10/(I8*1000)</f>
        <v>276.11183949145811</v>
      </c>
    </row>
    <row r="12" spans="1:13" x14ac:dyDescent="0.45">
      <c r="A12" s="185" t="s">
        <v>288</v>
      </c>
      <c r="B12" s="185" t="s">
        <v>284</v>
      </c>
      <c r="C12" s="187">
        <f>C10/(C9*1000)</f>
        <v>262.18046755516713</v>
      </c>
      <c r="D12" s="187">
        <f>D10/(D9*1000)</f>
        <v>244.37927663734118</v>
      </c>
      <c r="E12" s="187">
        <f t="shared" ref="E12:G12" si="4">E10/(E9*1000)</f>
        <v>259.66494845360825</v>
      </c>
      <c r="F12" s="187">
        <f t="shared" si="4"/>
        <v>252.5820983221258</v>
      </c>
      <c r="G12" s="187">
        <f t="shared" si="4"/>
        <v>264.74898853674978</v>
      </c>
      <c r="H12" s="187">
        <f>H10/(H9*1000)</f>
        <v>260.59628914333013</v>
      </c>
      <c r="I12" s="187">
        <f>I10/(I9*1000)</f>
        <v>284.2775129121971</v>
      </c>
    </row>
    <row r="13" spans="1:13" x14ac:dyDescent="0.45">
      <c r="A13" s="185" t="s">
        <v>285</v>
      </c>
      <c r="B13" s="185"/>
      <c r="C13" s="185">
        <f>C11/285</f>
        <v>0.85579803166452717</v>
      </c>
      <c r="D13" s="185">
        <f t="shared" ref="D13:I14" si="5">D11/285</f>
        <v>0.80054116582809975</v>
      </c>
      <c r="E13" s="185">
        <f t="shared" si="5"/>
        <v>0.71271929824561409</v>
      </c>
      <c r="F13" s="185">
        <f t="shared" si="5"/>
        <v>0.9088196032870508</v>
      </c>
      <c r="G13" s="185">
        <f t="shared" si="5"/>
        <v>0.91845535957222801</v>
      </c>
      <c r="H13" s="185">
        <f t="shared" si="5"/>
        <v>0.79245655178088703</v>
      </c>
      <c r="I13" s="185">
        <f t="shared" si="5"/>
        <v>0.96881347189985301</v>
      </c>
    </row>
    <row r="14" spans="1:13" x14ac:dyDescent="0.45">
      <c r="A14" s="185" t="s">
        <v>286</v>
      </c>
      <c r="B14" s="185"/>
      <c r="C14" s="185">
        <f>C12/285</f>
        <v>0.91993146510584956</v>
      </c>
      <c r="D14" s="185">
        <f t="shared" si="5"/>
        <v>0.857471146095934</v>
      </c>
      <c r="E14" s="185">
        <f t="shared" si="5"/>
        <v>0.91110508229336229</v>
      </c>
      <c r="F14" s="185">
        <f t="shared" si="5"/>
        <v>0.88625297656886248</v>
      </c>
      <c r="G14" s="185">
        <f t="shared" si="5"/>
        <v>0.92894381942719217</v>
      </c>
      <c r="H14" s="185">
        <f t="shared" si="5"/>
        <v>0.91437294436256189</v>
      </c>
      <c r="I14" s="185">
        <f t="shared" si="5"/>
        <v>0.99746495758665643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3E0D-E262-448C-A464-83D1214D907E}">
  <sheetPr codeName="Sheet9"/>
  <dimension ref="A1:AH227"/>
  <sheetViews>
    <sheetView showGridLines="0" tabSelected="1" topLeftCell="A10" zoomScale="130" zoomScaleNormal="130" workbookViewId="0">
      <selection activeCell="J18" sqref="J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4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4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4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7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f>6.63*10^5*1.05</f>
        <v>696150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24.898700000000002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5.4390000000000001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80" t="s">
        <v>266</v>
      </c>
      <c r="B15" s="180"/>
      <c r="C15" s="180"/>
      <c r="D15" s="180"/>
      <c r="E15" s="181" t="s">
        <v>91</v>
      </c>
      <c r="F15" s="182">
        <v>6.3789999999999996</v>
      </c>
      <c r="G15" s="151" t="s">
        <v>37</v>
      </c>
      <c r="I15" s="4" t="s">
        <v>92</v>
      </c>
      <c r="M15" s="4">
        <v>6.37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I18" s="4">
        <v>1</v>
      </c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152.07058400639391</v>
      </c>
      <c r="Q23" s="65">
        <v>0</v>
      </c>
      <c r="R23" s="65">
        <v>28.779845436509198</v>
      </c>
      <c r="S23" s="60">
        <f t="shared" ref="S23:S24" si="0">SQRT(P23^2+Q23^2-P23*Q23+3*R23^2)</f>
        <v>160.03218748143695</v>
      </c>
      <c r="T23" s="59">
        <f>MIN(J23/$F$7,1.3*(J23/$F$7-S23))</f>
        <v>211.50361081958647</v>
      </c>
      <c r="U23" s="60">
        <f>14.3*$F$8/SQRT(J23/$F$7)</f>
        <v>5.5720658924548943</v>
      </c>
      <c r="V23" s="60">
        <f>15.8*M23*K23*SQRT(I23)/SQRT(T23*O23)</f>
        <v>10.047188882721802</v>
      </c>
      <c r="W23" s="60">
        <f t="shared" ref="W23:W86" si="1">MAX(U23,V23)+N23</f>
        <v>11.547188882721802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152.07058400639391</v>
      </c>
      <c r="Q24" s="65">
        <v>0</v>
      </c>
      <c r="R24" s="65">
        <v>26.048370729167999</v>
      </c>
      <c r="S24" s="60">
        <f t="shared" si="0"/>
        <v>158.62224110438686</v>
      </c>
      <c r="T24" s="59">
        <f>MIN(J24/$F$7,1.3*(J24/$F$7-S24))</f>
        <v>213.33654110975158</v>
      </c>
      <c r="U24" s="60">
        <f t="shared" ref="U24:U87" si="4">14.3*$F$8/SQRT(J24/$F$7)</f>
        <v>5.5720658924548943</v>
      </c>
      <c r="V24" s="60">
        <f t="shared" ref="V24:V37" si="5">15.8*M24*K24*SQRT(I24)/SQRT(T24*O24)</f>
        <v>10.003934399737735</v>
      </c>
      <c r="W24" s="60">
        <f t="shared" si="1"/>
        <v>11.503934399737735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152.07058400639391</v>
      </c>
      <c r="Q25" s="65">
        <v>0</v>
      </c>
      <c r="R25" s="65">
        <v>19.326272363383101</v>
      </c>
      <c r="S25" s="60">
        <f>SQRT(P25^2+Q25^2-P25*Q25+3*R25^2)</f>
        <v>155.71119719030068</v>
      </c>
      <c r="T25" s="59">
        <f>MIN(J25/$F$7,1.3*(J25/$F$7-S25))</f>
        <v>217.12089819806363</v>
      </c>
      <c r="U25" s="60">
        <f t="shared" si="4"/>
        <v>5.5720658924548943</v>
      </c>
      <c r="V25" s="60">
        <f t="shared" si="5"/>
        <v>9.9163682568734721</v>
      </c>
      <c r="W25" s="60">
        <f t="shared" si="1"/>
        <v>11.416368256873472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152.07058400639391</v>
      </c>
      <c r="Q26" s="65">
        <v>0</v>
      </c>
      <c r="R26" s="65">
        <v>16.5947976560421</v>
      </c>
      <c r="S26" s="60">
        <f t="shared" ref="S26:S89" si="8">SQRT(P26^2+Q26^2-P26*Q26+3*R26^2)</f>
        <v>154.7631236689821</v>
      </c>
      <c r="T26" s="59">
        <f>MIN(J26/$F$7,1.3*(J26/$F$7-S26))</f>
        <v>218.35339377577776</v>
      </c>
      <c r="U26" s="60">
        <f t="shared" si="4"/>
        <v>5.5720658924548943</v>
      </c>
      <c r="V26" s="60">
        <f t="shared" si="5"/>
        <v>9.8883421857947429</v>
      </c>
      <c r="W26" s="60">
        <f t="shared" si="1"/>
        <v>11.388342185794743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152.07058400639391</v>
      </c>
      <c r="Q27" s="65">
        <v>0</v>
      </c>
      <c r="R27" s="65">
        <v>9.8726992902571897</v>
      </c>
      <c r="S27" s="60">
        <f t="shared" si="8"/>
        <v>153.02899429151734</v>
      </c>
      <c r="T27" s="59">
        <f>MIN(J27/$F$7,1.3*(J27/$F$7-S27))</f>
        <v>220.60776196648197</v>
      </c>
      <c r="U27" s="60">
        <f t="shared" si="4"/>
        <v>5.5720658924548943</v>
      </c>
      <c r="V27" s="60">
        <f t="shared" si="5"/>
        <v>9.8376884677128746</v>
      </c>
      <c r="W27" s="60">
        <f t="shared" si="1"/>
        <v>11.337688467712875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152.07058400639391</v>
      </c>
      <c r="Q28" s="65">
        <v>0</v>
      </c>
      <c r="R28" s="65">
        <v>7.1412245829160002</v>
      </c>
      <c r="S28" s="60">
        <f t="shared" si="8"/>
        <v>152.57278192940129</v>
      </c>
      <c r="T28" s="59">
        <f t="shared" ref="T28:T38" si="10">MIN(J28/$F$7,1.3*(J28/$F$7-S28))</f>
        <v>221.20083803723284</v>
      </c>
      <c r="U28" s="60">
        <f t="shared" si="4"/>
        <v>5.5720658924548943</v>
      </c>
      <c r="V28" s="60">
        <f t="shared" si="5"/>
        <v>9.8244913800828879</v>
      </c>
      <c r="W28" s="60">
        <f t="shared" si="1"/>
        <v>11.324491380082888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152.07058400639391</v>
      </c>
      <c r="Q29" s="65">
        <v>0</v>
      </c>
      <c r="R29" s="65">
        <v>2.3123484902098599</v>
      </c>
      <c r="S29" s="60">
        <f t="shared" si="8"/>
        <v>152.12331638071211</v>
      </c>
      <c r="T29" s="59">
        <f t="shared" si="10"/>
        <v>221.78514325052876</v>
      </c>
      <c r="U29" s="60">
        <f t="shared" si="4"/>
        <v>5.5720658924548943</v>
      </c>
      <c r="V29" s="60">
        <f t="shared" si="5"/>
        <v>9.8115412623405156</v>
      </c>
      <c r="W29" s="60">
        <f t="shared" si="1"/>
        <v>11.311541262340516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152.07058400639391</v>
      </c>
      <c r="Q30" s="65">
        <v>0</v>
      </c>
      <c r="R30" s="65">
        <v>5.0438231975512497</v>
      </c>
      <c r="S30" s="60">
        <f t="shared" si="8"/>
        <v>152.32131491485418</v>
      </c>
      <c r="T30" s="59">
        <f t="shared" si="10"/>
        <v>221.52774515614408</v>
      </c>
      <c r="U30" s="60">
        <f t="shared" si="4"/>
        <v>5.5720658924548943</v>
      </c>
      <c r="V30" s="60">
        <f t="shared" si="5"/>
        <v>9.8172397333091297</v>
      </c>
      <c r="W30" s="60">
        <f t="shared" si="1"/>
        <v>11.31723973330913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152.07058400639391</v>
      </c>
      <c r="Q31" s="65">
        <v>0</v>
      </c>
      <c r="R31" s="65">
        <v>11.765921563336001</v>
      </c>
      <c r="S31" s="60">
        <f t="shared" si="8"/>
        <v>153.43002721354588</v>
      </c>
      <c r="T31" s="59">
        <f t="shared" si="10"/>
        <v>220.08641916784487</v>
      </c>
      <c r="U31" s="60">
        <f t="shared" si="4"/>
        <v>5.5720658924548943</v>
      </c>
      <c r="V31" s="60">
        <f t="shared" si="5"/>
        <v>9.8493333805544641</v>
      </c>
      <c r="W31" s="60">
        <f t="shared" si="1"/>
        <v>11.349333380554464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152.07058400639391</v>
      </c>
      <c r="Q32" s="65">
        <v>0</v>
      </c>
      <c r="R32" s="65">
        <v>14.497396270677401</v>
      </c>
      <c r="S32" s="60">
        <f t="shared" si="8"/>
        <v>154.12977005086609</v>
      </c>
      <c r="T32" s="59">
        <f t="shared" si="10"/>
        <v>219.1767534793286</v>
      </c>
      <c r="U32" s="60">
        <f t="shared" si="4"/>
        <v>5.5720658924548943</v>
      </c>
      <c r="V32" s="60">
        <f t="shared" si="5"/>
        <v>9.8697514296987716</v>
      </c>
      <c r="W32" s="60">
        <f t="shared" si="1"/>
        <v>11.369751429698772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152.07058400639391</v>
      </c>
      <c r="Q33" s="65">
        <v>0</v>
      </c>
      <c r="R33" s="65">
        <v>21.219494636461899</v>
      </c>
      <c r="S33" s="60">
        <f t="shared" si="8"/>
        <v>156.44891619287816</v>
      </c>
      <c r="T33" s="59">
        <f t="shared" si="10"/>
        <v>216.16186349471289</v>
      </c>
      <c r="U33" s="60">
        <f t="shared" si="4"/>
        <v>5.5720658924548943</v>
      </c>
      <c r="V33" s="60">
        <f t="shared" si="5"/>
        <v>9.9383416433368712</v>
      </c>
      <c r="W33" s="60">
        <f t="shared" si="1"/>
        <v>11.438341643336871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152.07058400639391</v>
      </c>
      <c r="Q34" s="65">
        <v>0</v>
      </c>
      <c r="R34" s="65">
        <v>23.950969343803301</v>
      </c>
      <c r="S34" s="60">
        <f t="shared" si="8"/>
        <v>157.62743833980531</v>
      </c>
      <c r="T34" s="59">
        <f t="shared" si="10"/>
        <v>214.6297847037076</v>
      </c>
      <c r="U34" s="60">
        <f t="shared" si="4"/>
        <v>5.5720658924548943</v>
      </c>
      <c r="V34" s="60">
        <f t="shared" si="5"/>
        <v>9.9737496989739611</v>
      </c>
      <c r="W34" s="60">
        <f t="shared" si="1"/>
        <v>11.473749698973961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152.07058400639391</v>
      </c>
      <c r="Q35" s="65">
        <v>0</v>
      </c>
      <c r="R35" s="65">
        <v>30.673067709587901</v>
      </c>
      <c r="S35" s="60">
        <f t="shared" si="8"/>
        <v>161.08374768485058</v>
      </c>
      <c r="T35" s="59">
        <f t="shared" si="10"/>
        <v>210.13658255514875</v>
      </c>
      <c r="U35" s="60">
        <f t="shared" si="4"/>
        <v>5.5720658924548943</v>
      </c>
      <c r="V35" s="60">
        <f t="shared" si="5"/>
        <v>10.079816533049557</v>
      </c>
      <c r="W35" s="60">
        <f t="shared" si="1"/>
        <v>11.579816533049557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152.07058400639391</v>
      </c>
      <c r="Q36" s="65">
        <v>0</v>
      </c>
      <c r="R36" s="65">
        <v>33.404542416929203</v>
      </c>
      <c r="S36" s="60">
        <f t="shared" si="8"/>
        <v>162.70541749523576</v>
      </c>
      <c r="T36" s="59">
        <f t="shared" si="10"/>
        <v>208.02841180164802</v>
      </c>
      <c r="U36" s="60">
        <f t="shared" si="4"/>
        <v>5.5720658924548943</v>
      </c>
      <c r="V36" s="60">
        <f t="shared" si="5"/>
        <v>10.130762478902851</v>
      </c>
      <c r="W36" s="60">
        <f t="shared" si="1"/>
        <v>11.630762478902851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152.07058400639391</v>
      </c>
      <c r="Q37" s="65">
        <v>0</v>
      </c>
      <c r="R37" s="65">
        <v>40.126639744809196</v>
      </c>
      <c r="S37" s="60">
        <f t="shared" si="8"/>
        <v>167.2001919008313</v>
      </c>
      <c r="T37" s="59">
        <f t="shared" si="10"/>
        <v>202.18520507437381</v>
      </c>
      <c r="U37" s="60">
        <f t="shared" si="4"/>
        <v>5.5720658924548943</v>
      </c>
      <c r="V37" s="60">
        <f t="shared" si="5"/>
        <v>10.276110686279118</v>
      </c>
      <c r="W37" s="60">
        <f t="shared" si="1"/>
        <v>11.776110686279118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152.07058400639391</v>
      </c>
      <c r="Q38" s="65">
        <v>0</v>
      </c>
      <c r="R38" s="65">
        <v>42.8581134142458</v>
      </c>
      <c r="S38" s="60">
        <f t="shared" si="8"/>
        <v>169.2215003370753</v>
      </c>
      <c r="T38" s="59">
        <f t="shared" si="10"/>
        <v>199.55750410725662</v>
      </c>
      <c r="U38" s="60">
        <f t="shared" si="4"/>
        <v>5.5720658924548943</v>
      </c>
      <c r="V38" s="60">
        <f>15.8*M38*K38*SQRT(I38)/SQRT(T38*O38)</f>
        <v>10.343545475650695</v>
      </c>
      <c r="W38" s="60">
        <f t="shared" si="1"/>
        <v>11.843545475650695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si="2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152.07058400639391</v>
      </c>
      <c r="Q39" s="85">
        <v>0</v>
      </c>
      <c r="R39" s="85">
        <v>47.320954762762803</v>
      </c>
      <c r="S39" s="86">
        <f>SQRT(P39^2+Q39^2-P39*Q39+3*R39^2)</f>
        <v>172.75207900058408</v>
      </c>
      <c r="T39" s="83">
        <f>MIN(J39/$F$7,1.3*(J39/$F$7-S39))</f>
        <v>194.96775184469521</v>
      </c>
      <c r="U39" s="86">
        <f>14.3*$F$8/SQRT(J39/$F$7)</f>
        <v>5.5720658924548943</v>
      </c>
      <c r="V39" s="86">
        <f>15.8*M39*K39*SQRT(I39)/SQRT(T39*O39)</f>
        <v>9.766947305071362</v>
      </c>
      <c r="W39" s="86">
        <f t="shared" si="1"/>
        <v>11.266947305071362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si="2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142.28483167503234</v>
      </c>
      <c r="Q40" s="85">
        <v>0</v>
      </c>
      <c r="R40" s="85">
        <v>49.630524149520497</v>
      </c>
      <c r="S40" s="86">
        <f t="shared" si="8"/>
        <v>166.23639826121322</v>
      </c>
      <c r="T40" s="83">
        <f t="shared" ref="T40:T103" si="11">MIN(J40/$F$7,1.3*(J40/$F$7-S40))</f>
        <v>203.43813680587732</v>
      </c>
      <c r="U40" s="86">
        <f t="shared" si="4"/>
        <v>5.5720658924548943</v>
      </c>
      <c r="V40" s="86">
        <f t="shared" ref="V40:V86" si="12">15.8*M40*K40*SQRT(I40)/SQRT(T40*O40)</f>
        <v>9.4389472669998167</v>
      </c>
      <c r="W40" s="86">
        <f t="shared" si="1"/>
        <v>10.938947266999817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2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132.49907934367073</v>
      </c>
      <c r="Q41" s="85">
        <v>0</v>
      </c>
      <c r="R41" s="85">
        <v>54.834894320997101</v>
      </c>
      <c r="S41" s="86">
        <f t="shared" si="8"/>
        <v>163.02332021065303</v>
      </c>
      <c r="T41" s="83">
        <f t="shared" si="11"/>
        <v>207.61513827160556</v>
      </c>
      <c r="U41" s="86">
        <f t="shared" si="4"/>
        <v>5.5720658924548943</v>
      </c>
      <c r="V41" s="86">
        <f t="shared" si="12"/>
        <v>9.2206485314321931</v>
      </c>
      <c r="W41" s="86">
        <f t="shared" si="1"/>
        <v>10.720648531432193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2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122.71332701230924</v>
      </c>
      <c r="Q42" s="85">
        <v>0</v>
      </c>
      <c r="R42" s="85">
        <v>56.824721032074301</v>
      </c>
      <c r="S42" s="86">
        <f t="shared" si="8"/>
        <v>157.30768381598259</v>
      </c>
      <c r="T42" s="83">
        <f t="shared" si="11"/>
        <v>215.04546558467715</v>
      </c>
      <c r="U42" s="86">
        <f t="shared" si="4"/>
        <v>5.5720658924548943</v>
      </c>
      <c r="V42" s="86">
        <f t="shared" si="12"/>
        <v>8.9375960512547383</v>
      </c>
      <c r="W42" s="86">
        <f t="shared" si="1"/>
        <v>10.437596051254738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2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112.9275746809476</v>
      </c>
      <c r="Q43" s="85">
        <v>0</v>
      </c>
      <c r="R43" s="85">
        <v>61.062154228554498</v>
      </c>
      <c r="S43" s="86">
        <f t="shared" si="8"/>
        <v>154.72038379094178</v>
      </c>
      <c r="T43" s="83">
        <f t="shared" si="11"/>
        <v>218.40895561723019</v>
      </c>
      <c r="U43" s="86">
        <f t="shared" si="4"/>
        <v>5.5720658924548943</v>
      </c>
      <c r="V43" s="86">
        <f t="shared" si="12"/>
        <v>8.7454155958581925</v>
      </c>
      <c r="W43" s="86">
        <f t="shared" si="1"/>
        <v>10.245415595858193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2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103.14182234958595</v>
      </c>
      <c r="Q44" s="85">
        <v>0</v>
      </c>
      <c r="R44" s="85">
        <v>62.732238263951103</v>
      </c>
      <c r="S44" s="86">
        <f t="shared" si="8"/>
        <v>149.81400692328117</v>
      </c>
      <c r="T44" s="83">
        <f t="shared" si="11"/>
        <v>224.78724554518899</v>
      </c>
      <c r="U44" s="86">
        <f t="shared" si="4"/>
        <v>5.5720658924548943</v>
      </c>
      <c r="V44" s="86">
        <f t="shared" si="12"/>
        <v>8.4973805432845122</v>
      </c>
      <c r="W44" s="86">
        <f t="shared" si="1"/>
        <v>9.9973805432845122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2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93.356070018224315</v>
      </c>
      <c r="Q45" s="85">
        <v>0</v>
      </c>
      <c r="R45" s="85">
        <v>65.973757931307006</v>
      </c>
      <c r="S45" s="86">
        <f t="shared" si="8"/>
        <v>147.55665358086597</v>
      </c>
      <c r="T45" s="83">
        <f t="shared" si="11"/>
        <v>227.72180489032874</v>
      </c>
      <c r="U45" s="86">
        <f t="shared" si="4"/>
        <v>5.5720658924548943</v>
      </c>
      <c r="V45" s="86">
        <f t="shared" si="12"/>
        <v>8.3183827486793547</v>
      </c>
      <c r="W45" s="86">
        <f t="shared" si="1"/>
        <v>9.8183827486793547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2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83.570317686862666</v>
      </c>
      <c r="Q46" s="85">
        <v>0</v>
      </c>
      <c r="R46" s="85">
        <v>67.324099291022705</v>
      </c>
      <c r="S46" s="86">
        <f t="shared" si="8"/>
        <v>143.46289079175006</v>
      </c>
      <c r="T46" s="83">
        <f t="shared" si="11"/>
        <v>233.04369651617944</v>
      </c>
      <c r="U46" s="86">
        <f t="shared" si="4"/>
        <v>5.5720658924548943</v>
      </c>
      <c r="V46" s="86">
        <f t="shared" si="12"/>
        <v>8.0983516064460375</v>
      </c>
      <c r="W46" s="86">
        <f t="shared" si="1"/>
        <v>9.5983516064460375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2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73.784565355501314</v>
      </c>
      <c r="Q47" s="85">
        <v>0</v>
      </c>
      <c r="R47" s="85">
        <v>68.978132904898402</v>
      </c>
      <c r="S47" s="86">
        <f t="shared" si="8"/>
        <v>140.42118978928261</v>
      </c>
      <c r="T47" s="83">
        <f t="shared" si="11"/>
        <v>236.99790781938711</v>
      </c>
      <c r="U47" s="86">
        <f t="shared" si="4"/>
        <v>5.5720658924548943</v>
      </c>
      <c r="V47" s="86">
        <f t="shared" si="12"/>
        <v>7.9051223185484716</v>
      </c>
      <c r="W47" s="86">
        <f t="shared" si="1"/>
        <v>9.4051223185484716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2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70.988639969155017</v>
      </c>
      <c r="Q48" s="85">
        <v>0</v>
      </c>
      <c r="R48" s="85">
        <v>69.812155714981202</v>
      </c>
      <c r="S48" s="86">
        <f t="shared" si="8"/>
        <v>140.21625533934593</v>
      </c>
      <c r="T48" s="83">
        <f t="shared" si="11"/>
        <v>237.26432260430479</v>
      </c>
      <c r="U48" s="86">
        <f t="shared" si="4"/>
        <v>5.5720658924548943</v>
      </c>
      <c r="V48" s="86">
        <f t="shared" si="12"/>
        <v>7.8645116510163771</v>
      </c>
      <c r="W48" s="86">
        <f t="shared" si="1"/>
        <v>9.3645116510163771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2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63.998813024139672</v>
      </c>
      <c r="Q49" s="85">
        <v>0</v>
      </c>
      <c r="R49" s="85">
        <v>70.8427543990164</v>
      </c>
      <c r="S49" s="86">
        <f t="shared" si="8"/>
        <v>138.39051853727864</v>
      </c>
      <c r="T49" s="83">
        <f t="shared" si="11"/>
        <v>239.63778044699228</v>
      </c>
      <c r="U49" s="86">
        <f t="shared" si="4"/>
        <v>5.5720658924548943</v>
      </c>
      <c r="V49" s="86">
        <f t="shared" si="12"/>
        <v>7.7347562348916226</v>
      </c>
      <c r="W49" s="86">
        <f t="shared" si="1"/>
        <v>9.2347562348916234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2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54.213060692778015</v>
      </c>
      <c r="Q50" s="85">
        <v>0</v>
      </c>
      <c r="R50" s="85">
        <v>72.684484481041096</v>
      </c>
      <c r="S50" s="86">
        <f t="shared" si="8"/>
        <v>137.0699048022685</v>
      </c>
      <c r="T50" s="83">
        <f t="shared" si="11"/>
        <v>241.35457830250547</v>
      </c>
      <c r="U50" s="86">
        <f t="shared" si="4"/>
        <v>5.5720658924548943</v>
      </c>
      <c r="V50" s="86">
        <f t="shared" si="12"/>
        <v>7.5788426352929221</v>
      </c>
      <c r="W50" s="86">
        <f t="shared" si="1"/>
        <v>9.0788426352929221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2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44.427308361416372</v>
      </c>
      <c r="Q51" s="85">
        <v>0</v>
      </c>
      <c r="R51" s="85">
        <v>73.395340489395394</v>
      </c>
      <c r="S51" s="86">
        <f t="shared" si="8"/>
        <v>134.66407741080479</v>
      </c>
      <c r="T51" s="83">
        <f t="shared" si="11"/>
        <v>244.48215391140826</v>
      </c>
      <c r="U51" s="86">
        <f t="shared" si="4"/>
        <v>5.5720658924548943</v>
      </c>
      <c r="V51" s="86">
        <f t="shared" si="12"/>
        <v>7.4004809200482233</v>
      </c>
      <c r="W51" s="86">
        <f t="shared" si="1"/>
        <v>8.9004809200482242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2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34.641556030054737</v>
      </c>
      <c r="Q52" s="85">
        <v>0</v>
      </c>
      <c r="R52" s="85">
        <v>74.590744072871104</v>
      </c>
      <c r="S52" s="86">
        <f t="shared" si="8"/>
        <v>133.75864348974645</v>
      </c>
      <c r="T52" s="83">
        <f t="shared" si="11"/>
        <v>245.65921800878414</v>
      </c>
      <c r="U52" s="86">
        <f t="shared" si="4"/>
        <v>5.5720658924548943</v>
      </c>
      <c r="V52" s="86">
        <f t="shared" si="12"/>
        <v>7.2510028422676518</v>
      </c>
      <c r="W52" s="86">
        <f t="shared" si="1"/>
        <v>8.7510028422676527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2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24.855806952281128</v>
      </c>
      <c r="Q53" s="85">
        <v>0</v>
      </c>
      <c r="R53" s="85">
        <v>74.981857355238304</v>
      </c>
      <c r="S53" s="86">
        <f t="shared" si="8"/>
        <v>132.22952747617674</v>
      </c>
      <c r="T53" s="83">
        <f t="shared" si="11"/>
        <v>247.64706882642474</v>
      </c>
      <c r="U53" s="86">
        <f t="shared" si="4"/>
        <v>5.5720658924548943</v>
      </c>
      <c r="V53" s="86">
        <f t="shared" si="12"/>
        <v>7.0882170609338475</v>
      </c>
      <c r="W53" s="86">
        <f t="shared" si="1"/>
        <v>8.5882170609338466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2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15.070057874507494</v>
      </c>
      <c r="Q54" s="85">
        <v>0</v>
      </c>
      <c r="R54" s="85">
        <v>76.640795403372493</v>
      </c>
      <c r="S54" s="86">
        <f t="shared" si="8"/>
        <v>133.59843264247456</v>
      </c>
      <c r="T54" s="83">
        <f t="shared" si="11"/>
        <v>245.86749211023758</v>
      </c>
      <c r="U54" s="86">
        <f t="shared" si="4"/>
        <v>5.5720658924548943</v>
      </c>
      <c r="V54" s="86">
        <f t="shared" si="12"/>
        <v>6.977137524914748</v>
      </c>
      <c r="W54" s="86">
        <f t="shared" si="1"/>
        <v>8.4771375249147489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2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5.2843055431458597</v>
      </c>
      <c r="Q55" s="85">
        <v>0</v>
      </c>
      <c r="R55" s="85">
        <v>76.712166166674393</v>
      </c>
      <c r="S55" s="86">
        <f t="shared" si="8"/>
        <v>132.97440806043738</v>
      </c>
      <c r="T55" s="83">
        <f t="shared" si="11"/>
        <v>246.67872406688591</v>
      </c>
      <c r="U55" s="86">
        <f t="shared" si="4"/>
        <v>5.5720658924548943</v>
      </c>
      <c r="V55" s="86">
        <f t="shared" si="12"/>
        <v>6.8264677464198709</v>
      </c>
      <c r="W55" s="86">
        <f t="shared" si="1"/>
        <v>8.3264677464198709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2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4.5014467882157776</v>
      </c>
      <c r="Q56" s="85">
        <v>0</v>
      </c>
      <c r="R56" s="85">
        <v>76.704483361334894</v>
      </c>
      <c r="S56" s="86">
        <f t="shared" si="8"/>
        <v>132.93229978592504</v>
      </c>
      <c r="T56" s="83">
        <f t="shared" si="11"/>
        <v>246.73346482375194</v>
      </c>
      <c r="U56" s="86">
        <f t="shared" si="4"/>
        <v>5.5720658924548943</v>
      </c>
      <c r="V56" s="86">
        <f t="shared" si="12"/>
        <v>6.6836407825852646</v>
      </c>
      <c r="W56" s="86">
        <f t="shared" si="1"/>
        <v>8.1836407825852646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2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10.093304068083869</v>
      </c>
      <c r="Q57" s="85">
        <v>0</v>
      </c>
      <c r="R57" s="85">
        <v>76.673487698844795</v>
      </c>
      <c r="S57" s="86">
        <f t="shared" si="8"/>
        <v>133.18538183571616</v>
      </c>
      <c r="T57" s="83">
        <f t="shared" si="11"/>
        <v>246.40445815902351</v>
      </c>
      <c r="U57" s="86">
        <f t="shared" si="4"/>
        <v>5.5720658924548943</v>
      </c>
      <c r="V57" s="86">
        <f t="shared" si="12"/>
        <v>6.6054909760671894</v>
      </c>
      <c r="W57" s="86">
        <f t="shared" si="1"/>
        <v>8.1054909760671894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2"/>
        <v>0</v>
      </c>
      <c r="G58" s="83">
        <f t="shared" si="9"/>
        <v>78.393376998521347</v>
      </c>
      <c r="H58" s="83">
        <v>0</v>
      </c>
      <c r="I58" s="83">
        <f t="shared" si="7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14.28719911957714</v>
      </c>
      <c r="Q58" s="85">
        <v>0</v>
      </c>
      <c r="R58" s="85">
        <v>76.615982786797105</v>
      </c>
      <c r="S58" s="86">
        <f t="shared" si="8"/>
        <v>133.46966139854712</v>
      </c>
      <c r="T58" s="83">
        <f t="shared" si="11"/>
        <v>246.03489472734324</v>
      </c>
      <c r="U58" s="86">
        <f t="shared" si="4"/>
        <v>5.5720658924548943</v>
      </c>
      <c r="V58" s="86">
        <f t="shared" si="12"/>
        <v>6.5477607579510746</v>
      </c>
      <c r="W58" s="86">
        <f t="shared" si="1"/>
        <v>8.0477607579510746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2"/>
        <v>0</v>
      </c>
      <c r="G59" s="83">
        <f t="shared" si="9"/>
        <v>74.874039331361757</v>
      </c>
      <c r="H59" s="83">
        <v>0</v>
      </c>
      <c r="I59" s="83">
        <f t="shared" si="7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24.072951450938803</v>
      </c>
      <c r="Q59" s="85">
        <v>0</v>
      </c>
      <c r="R59" s="85">
        <v>76.367610874417807</v>
      </c>
      <c r="S59" s="86">
        <f t="shared" si="8"/>
        <v>134.44531588552553</v>
      </c>
      <c r="T59" s="83">
        <f t="shared" si="11"/>
        <v>244.76654389427131</v>
      </c>
      <c r="U59" s="86">
        <f t="shared" si="4"/>
        <v>5.5720658924548943</v>
      </c>
      <c r="V59" s="86">
        <f t="shared" si="12"/>
        <v>6.4156560561810601</v>
      </c>
      <c r="W59" s="86">
        <f t="shared" si="1"/>
        <v>7.9156560561810601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2"/>
        <v>0</v>
      </c>
      <c r="G60" s="83">
        <f t="shared" si="9"/>
        <v>71.354701664202182</v>
      </c>
      <c r="H60" s="83">
        <v>0</v>
      </c>
      <c r="I60" s="83">
        <f t="shared" si="7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33.858703782300438</v>
      </c>
      <c r="Q60" s="85">
        <v>0</v>
      </c>
      <c r="R60" s="85">
        <v>75.959367624198407</v>
      </c>
      <c r="S60" s="86">
        <f t="shared" si="8"/>
        <v>135.85245088485496</v>
      </c>
      <c r="T60" s="83">
        <f t="shared" si="11"/>
        <v>242.93726839514306</v>
      </c>
      <c r="U60" s="86">
        <f t="shared" si="4"/>
        <v>5.5720658924548943</v>
      </c>
      <c r="V60" s="86">
        <f t="shared" si="12"/>
        <v>6.2865980706871563</v>
      </c>
      <c r="W60" s="86">
        <f t="shared" si="1"/>
        <v>7.7865980706871563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2"/>
        <v>0</v>
      </c>
      <c r="G61" s="83">
        <f t="shared" si="9"/>
        <v>67.835363997042606</v>
      </c>
      <c r="H61" s="83">
        <v>0</v>
      </c>
      <c r="I61" s="83">
        <f t="shared" si="7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43.644456113662073</v>
      </c>
      <c r="Q61" s="85">
        <v>0</v>
      </c>
      <c r="R61" s="85">
        <v>75.391253036139204</v>
      </c>
      <c r="S61" s="86">
        <f t="shared" si="8"/>
        <v>137.68210360295518</v>
      </c>
      <c r="T61" s="83">
        <f t="shared" si="11"/>
        <v>240.55871986161276</v>
      </c>
      <c r="U61" s="86">
        <f t="shared" si="4"/>
        <v>5.5720658924548943</v>
      </c>
      <c r="V61" s="86">
        <f t="shared" si="12"/>
        <v>6.1598338410755762</v>
      </c>
      <c r="W61" s="86">
        <f t="shared" si="1"/>
        <v>7.6598338410755762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2"/>
        <v>0</v>
      </c>
      <c r="G62" s="83">
        <f t="shared" si="9"/>
        <v>64.316026329883016</v>
      </c>
      <c r="H62" s="83">
        <v>0</v>
      </c>
      <c r="I62" s="83">
        <f t="shared" si="7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53.430208445023716</v>
      </c>
      <c r="Q62" s="85">
        <v>0</v>
      </c>
      <c r="R62" s="85">
        <v>74.663267110238905</v>
      </c>
      <c r="S62" s="86">
        <f t="shared" si="8"/>
        <v>139.92354176907949</v>
      </c>
      <c r="T62" s="83">
        <f t="shared" si="11"/>
        <v>237.64485024565116</v>
      </c>
      <c r="U62" s="86">
        <f t="shared" si="4"/>
        <v>5.5720658924548943</v>
      </c>
      <c r="V62" s="86">
        <f t="shared" si="12"/>
        <v>6.0345774827871645</v>
      </c>
      <c r="W62" s="86">
        <f t="shared" si="1"/>
        <v>7.5345774827871645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2"/>
        <v>0</v>
      </c>
      <c r="G63" s="83">
        <f t="shared" si="9"/>
        <v>60.796688662723547</v>
      </c>
      <c r="H63" s="83">
        <v>0</v>
      </c>
      <c r="I63" s="83">
        <f t="shared" si="7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63.215960776385074</v>
      </c>
      <c r="Q63" s="85">
        <v>0</v>
      </c>
      <c r="R63" s="85">
        <v>72.9072899813589</v>
      </c>
      <c r="S63" s="86">
        <f t="shared" si="8"/>
        <v>141.21854160895205</v>
      </c>
      <c r="T63" s="83">
        <f t="shared" si="11"/>
        <v>235.96135045381683</v>
      </c>
      <c r="U63" s="86">
        <f t="shared" si="4"/>
        <v>5.5720658924548943</v>
      </c>
      <c r="V63" s="86">
        <f t="shared" si="12"/>
        <v>5.8880433107973289</v>
      </c>
      <c r="W63" s="86">
        <f t="shared" si="1"/>
        <v>7.3880433107973289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2"/>
        <v>0</v>
      </c>
      <c r="G64" s="83">
        <f t="shared" si="9"/>
        <v>57.277350995563957</v>
      </c>
      <c r="H64" s="83">
        <v>0</v>
      </c>
      <c r="I64" s="83">
        <f t="shared" si="7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73.001713107746738</v>
      </c>
      <c r="Q64" s="85">
        <v>0</v>
      </c>
      <c r="R64" s="85">
        <v>71.859561379778597</v>
      </c>
      <c r="S64" s="86">
        <f t="shared" si="8"/>
        <v>144.29358891422814</v>
      </c>
      <c r="T64" s="83">
        <f t="shared" si="11"/>
        <v>231.96378895695793</v>
      </c>
      <c r="U64" s="86">
        <f t="shared" si="4"/>
        <v>5.5720658924548943</v>
      </c>
      <c r="V64" s="86">
        <f t="shared" si="12"/>
        <v>5.7641176251686739</v>
      </c>
      <c r="W64" s="86">
        <f t="shared" si="1"/>
        <v>7.2641176251686739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2"/>
        <v>0</v>
      </c>
      <c r="G65" s="83">
        <f t="shared" si="9"/>
        <v>53.758013328404374</v>
      </c>
      <c r="H65" s="83">
        <v>0</v>
      </c>
      <c r="I65" s="83">
        <f t="shared" si="7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82.787465439108374</v>
      </c>
      <c r="Q65" s="85">
        <v>0</v>
      </c>
      <c r="R65" s="85">
        <v>69.497029221950996</v>
      </c>
      <c r="S65" s="86">
        <f t="shared" si="8"/>
        <v>146.0933798837637</v>
      </c>
      <c r="T65" s="83">
        <f t="shared" si="11"/>
        <v>229.62406069656168</v>
      </c>
      <c r="U65" s="86">
        <f t="shared" si="4"/>
        <v>5.5720658924548943</v>
      </c>
      <c r="V65" s="86">
        <f t="shared" si="12"/>
        <v>5.6126037031255436</v>
      </c>
      <c r="W65" s="86">
        <f t="shared" si="1"/>
        <v>7.1126037031255436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2"/>
        <v>0</v>
      </c>
      <c r="G66" s="83">
        <f t="shared" si="9"/>
        <v>50.238675661244798</v>
      </c>
      <c r="H66" s="83">
        <v>0</v>
      </c>
      <c r="I66" s="83">
        <f t="shared" si="7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92.573217770470009</v>
      </c>
      <c r="Q66" s="85">
        <v>0</v>
      </c>
      <c r="R66" s="85">
        <v>68.129557944689495</v>
      </c>
      <c r="S66" s="86">
        <f t="shared" si="8"/>
        <v>149.98236778233391</v>
      </c>
      <c r="T66" s="83">
        <f t="shared" si="11"/>
        <v>224.56837642842044</v>
      </c>
      <c r="U66" s="86">
        <f t="shared" si="4"/>
        <v>5.5720658924548943</v>
      </c>
      <c r="V66" s="86">
        <f t="shared" si="12"/>
        <v>5.4865110876460363</v>
      </c>
      <c r="W66" s="86">
        <f t="shared" si="1"/>
        <v>7.0720658924548943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2"/>
        <v>0</v>
      </c>
      <c r="G67" s="83">
        <f t="shared" si="9"/>
        <v>46.719337994085222</v>
      </c>
      <c r="H67" s="83">
        <v>0</v>
      </c>
      <c r="I67" s="83">
        <f t="shared" si="7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102.35897010183164</v>
      </c>
      <c r="Q67" s="85">
        <v>0</v>
      </c>
      <c r="R67" s="85">
        <v>65.160470757914695</v>
      </c>
      <c r="S67" s="86">
        <f t="shared" si="8"/>
        <v>152.36475842033431</v>
      </c>
      <c r="T67" s="83">
        <f t="shared" si="11"/>
        <v>221.47126859901991</v>
      </c>
      <c r="U67" s="86">
        <f t="shared" si="4"/>
        <v>5.5720658924548943</v>
      </c>
      <c r="V67" s="86">
        <f t="shared" si="12"/>
        <v>5.3277165741584005</v>
      </c>
      <c r="W67" s="86">
        <f t="shared" si="1"/>
        <v>7.0720658924548943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2"/>
        <v>0</v>
      </c>
      <c r="G68" s="83">
        <f t="shared" si="9"/>
        <v>43.200000326925732</v>
      </c>
      <c r="H68" s="83">
        <v>0</v>
      </c>
      <c r="I68" s="83">
        <f t="shared" si="7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112.14472243319302</v>
      </c>
      <c r="Q68" s="85">
        <v>0</v>
      </c>
      <c r="R68" s="85">
        <v>63.473256804972301</v>
      </c>
      <c r="S68" s="86">
        <f t="shared" si="8"/>
        <v>157.04458525497716</v>
      </c>
      <c r="T68" s="83">
        <f t="shared" si="11"/>
        <v>215.38749371398418</v>
      </c>
      <c r="U68" s="86">
        <f t="shared" si="4"/>
        <v>5.5720658924548943</v>
      </c>
      <c r="V68" s="86">
        <f t="shared" si="12"/>
        <v>5.1949707091753137</v>
      </c>
      <c r="W68" s="86">
        <f t="shared" si="1"/>
        <v>7.0720658924548943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2"/>
        <v>0</v>
      </c>
      <c r="G69" s="83">
        <f t="shared" si="9"/>
        <v>39.680662659766149</v>
      </c>
      <c r="H69" s="83">
        <v>0</v>
      </c>
      <c r="I69" s="83">
        <f t="shared" si="7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121.93047476455466</v>
      </c>
      <c r="Q69" s="85">
        <v>0</v>
      </c>
      <c r="R69" s="85">
        <v>59.897614589250502</v>
      </c>
      <c r="S69" s="86">
        <f t="shared" si="8"/>
        <v>160.09438896087795</v>
      </c>
      <c r="T69" s="83">
        <f t="shared" si="11"/>
        <v>211.42274889631318</v>
      </c>
      <c r="U69" s="86">
        <f t="shared" si="4"/>
        <v>5.5720658924548943</v>
      </c>
      <c r="V69" s="86">
        <f t="shared" si="12"/>
        <v>5.0253356011953336</v>
      </c>
      <c r="W69" s="86">
        <f t="shared" si="1"/>
        <v>7.0720658924548943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2"/>
        <v>0</v>
      </c>
      <c r="G70" s="83">
        <f t="shared" si="9"/>
        <v>36.161326329882627</v>
      </c>
      <c r="H70" s="83">
        <v>0</v>
      </c>
      <c r="I70" s="83">
        <f t="shared" si="7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131.71622337753135</v>
      </c>
      <c r="Q70" s="85">
        <v>0</v>
      </c>
      <c r="R70" s="85">
        <v>57.890658753603503</v>
      </c>
      <c r="S70" s="86">
        <f t="shared" si="8"/>
        <v>165.53896403450833</v>
      </c>
      <c r="T70" s="83">
        <f t="shared" si="11"/>
        <v>204.34480130059367</v>
      </c>
      <c r="U70" s="86">
        <f t="shared" si="4"/>
        <v>5.5720658924548943</v>
      </c>
      <c r="V70" s="86">
        <f t="shared" si="12"/>
        <v>4.8796856821915968</v>
      </c>
      <c r="W70" s="86">
        <f t="shared" si="1"/>
        <v>7.0720658924548943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si="2"/>
        <v>0</v>
      </c>
      <c r="G71" s="88">
        <f>1.025*9.81*(($F$10+0.76)-C71)+25</f>
        <v>32.64199</v>
      </c>
      <c r="H71" s="88">
        <v>0</v>
      </c>
      <c r="I71" s="88">
        <f t="shared" si="7"/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141.50197199050552</v>
      </c>
      <c r="Q71" s="90">
        <v>0</v>
      </c>
      <c r="R71" s="90">
        <v>31.9483301755917</v>
      </c>
      <c r="S71" s="91">
        <f t="shared" si="8"/>
        <v>151.93714318831877</v>
      </c>
      <c r="T71" s="88">
        <f t="shared" si="11"/>
        <v>222.02716840064011</v>
      </c>
      <c r="U71" s="91">
        <f t="shared" si="4"/>
        <v>5.5720658924548943</v>
      </c>
      <c r="V71" s="91">
        <f t="shared" si="12"/>
        <v>4.7654064302849006</v>
      </c>
      <c r="W71" s="91">
        <f t="shared" si="1"/>
        <v>7.0720658924548943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2"/>
        <v>0</v>
      </c>
      <c r="G72" s="88">
        <f>1.025*9.81*(($F$10+0.76)-C72)+25</f>
        <v>32.64199</v>
      </c>
      <c r="H72" s="88">
        <v>0</v>
      </c>
      <c r="I72" s="88">
        <f t="shared" si="7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116" si="13">$M$11/ABS(($M$12/(C72-$M$13)))/1000</f>
        <v>141.50197199050552</v>
      </c>
      <c r="Q72" s="90">
        <v>0</v>
      </c>
      <c r="R72" s="90">
        <v>29.541083553569599</v>
      </c>
      <c r="S72" s="91">
        <f t="shared" si="8"/>
        <v>150.46871744571612</v>
      </c>
      <c r="T72" s="88">
        <f t="shared" si="11"/>
        <v>223.93612186602354</v>
      </c>
      <c r="U72" s="91">
        <f t="shared" si="4"/>
        <v>5.5720658924548943</v>
      </c>
      <c r="V72" s="91">
        <f t="shared" si="12"/>
        <v>4.7450514984102412</v>
      </c>
      <c r="W72" s="91">
        <f t="shared" si="1"/>
        <v>7.0720658924548943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2"/>
        <v>0</v>
      </c>
      <c r="G73" s="88">
        <f t="shared" ref="G73:G116" si="14">1.025*9.81*(($F$10+0.76)-C73)+25</f>
        <v>32.64199</v>
      </c>
      <c r="H73" s="88">
        <v>0</v>
      </c>
      <c r="I73" s="88">
        <f t="shared" si="7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13"/>
        <v>141.50197199050552</v>
      </c>
      <c r="Q73" s="90">
        <v>0</v>
      </c>
      <c r="R73" s="90">
        <v>25.369036371833399</v>
      </c>
      <c r="S73" s="91">
        <f t="shared" si="8"/>
        <v>148.16737865167227</v>
      </c>
      <c r="T73" s="88">
        <f t="shared" si="11"/>
        <v>226.92786229828056</v>
      </c>
      <c r="U73" s="91">
        <f t="shared" si="4"/>
        <v>5.5720658924548943</v>
      </c>
      <c r="V73" s="91">
        <f t="shared" si="12"/>
        <v>4.7136691420072507</v>
      </c>
      <c r="W73" s="91">
        <f t="shared" si="1"/>
        <v>7.0720658924548943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2"/>
        <v>0</v>
      </c>
      <c r="G74" s="88">
        <f t="shared" si="14"/>
        <v>32.64199</v>
      </c>
      <c r="H74" s="88">
        <v>0</v>
      </c>
      <c r="I74" s="88">
        <f t="shared" si="7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13"/>
        <v>141.50197199050552</v>
      </c>
      <c r="Q74" s="90">
        <v>0</v>
      </c>
      <c r="R74" s="90">
        <v>22.961789749810901</v>
      </c>
      <c r="S74" s="91">
        <f t="shared" si="8"/>
        <v>146.98482725351406</v>
      </c>
      <c r="T74" s="88">
        <f t="shared" si="11"/>
        <v>228.46517911588623</v>
      </c>
      <c r="U74" s="91">
        <f t="shared" si="4"/>
        <v>5.5720658924548943</v>
      </c>
      <c r="V74" s="91">
        <f t="shared" si="12"/>
        <v>4.6977834956282303</v>
      </c>
      <c r="W74" s="91">
        <f t="shared" si="1"/>
        <v>7.0720658924548943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2"/>
        <v>0</v>
      </c>
      <c r="G75" s="88">
        <f t="shared" si="14"/>
        <v>32.64199</v>
      </c>
      <c r="H75" s="88">
        <v>0</v>
      </c>
      <c r="I75" s="88">
        <f t="shared" si="7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13"/>
        <v>141.50197199050552</v>
      </c>
      <c r="Q75" s="90">
        <v>0</v>
      </c>
      <c r="R75" s="90">
        <v>18.7897425680755</v>
      </c>
      <c r="S75" s="91">
        <f t="shared" si="8"/>
        <v>145.19632004470861</v>
      </c>
      <c r="T75" s="88">
        <f t="shared" si="11"/>
        <v>230.79023848733331</v>
      </c>
      <c r="U75" s="91">
        <f t="shared" si="4"/>
        <v>5.5720658924548943</v>
      </c>
      <c r="V75" s="91">
        <f t="shared" si="12"/>
        <v>4.6740600603918034</v>
      </c>
      <c r="W75" s="91">
        <f t="shared" si="1"/>
        <v>7.0720658924548943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2"/>
        <v>0</v>
      </c>
      <c r="G76" s="88">
        <f t="shared" si="14"/>
        <v>32.64199</v>
      </c>
      <c r="H76" s="88">
        <v>0</v>
      </c>
      <c r="I76" s="88">
        <f t="shared" si="7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13"/>
        <v>141.50197199050552</v>
      </c>
      <c r="Q76" s="90">
        <v>0</v>
      </c>
      <c r="R76" s="90">
        <v>16.382495946053002</v>
      </c>
      <c r="S76" s="91">
        <f t="shared" si="8"/>
        <v>144.31897518160645</v>
      </c>
      <c r="T76" s="88">
        <f t="shared" si="11"/>
        <v>231.93078680936611</v>
      </c>
      <c r="U76" s="91">
        <f t="shared" si="4"/>
        <v>5.5720658924548943</v>
      </c>
      <c r="V76" s="91">
        <f t="shared" si="12"/>
        <v>4.6625532622876813</v>
      </c>
      <c r="W76" s="91">
        <f t="shared" si="1"/>
        <v>7.0720658924548943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2"/>
        <v>0</v>
      </c>
      <c r="G77" s="88">
        <f t="shared" si="14"/>
        <v>32.64199</v>
      </c>
      <c r="H77" s="88">
        <v>0</v>
      </c>
      <c r="I77" s="88">
        <f t="shared" si="7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13"/>
        <v>141.50197199050552</v>
      </c>
      <c r="Q77" s="90">
        <v>0</v>
      </c>
      <c r="R77" s="90">
        <v>12.210448764317601</v>
      </c>
      <c r="S77" s="91">
        <f t="shared" si="8"/>
        <v>143.07373362808383</v>
      </c>
      <c r="T77" s="88">
        <f t="shared" si="11"/>
        <v>233.54960082894553</v>
      </c>
      <c r="U77" s="91">
        <f t="shared" si="4"/>
        <v>5.5720658924548943</v>
      </c>
      <c r="V77" s="91">
        <f t="shared" si="12"/>
        <v>4.6463662698699055</v>
      </c>
      <c r="W77" s="91">
        <f t="shared" si="1"/>
        <v>7.0720658924548943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2"/>
        <v>0</v>
      </c>
      <c r="G78" s="88">
        <f t="shared" si="14"/>
        <v>32.64199</v>
      </c>
      <c r="H78" s="88">
        <v>0</v>
      </c>
      <c r="I78" s="88">
        <f t="shared" si="7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13"/>
        <v>141.50197199050552</v>
      </c>
      <c r="Q78" s="90">
        <v>0</v>
      </c>
      <c r="R78" s="90">
        <v>9.8032021422955307</v>
      </c>
      <c r="S78" s="91">
        <f t="shared" si="8"/>
        <v>142.51707404353323</v>
      </c>
      <c r="T78" s="88">
        <f t="shared" si="11"/>
        <v>234.27325828886131</v>
      </c>
      <c r="U78" s="91">
        <f t="shared" si="4"/>
        <v>5.5720658924548943</v>
      </c>
      <c r="V78" s="91">
        <f t="shared" si="12"/>
        <v>4.6391845321715692</v>
      </c>
      <c r="W78" s="91">
        <f t="shared" si="1"/>
        <v>7.0720658924548943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2"/>
        <v>0</v>
      </c>
      <c r="G79" s="88">
        <f t="shared" si="14"/>
        <v>32.64199</v>
      </c>
      <c r="H79" s="88">
        <v>0</v>
      </c>
      <c r="I79" s="88">
        <f t="shared" si="7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13"/>
        <v>141.50197199050552</v>
      </c>
      <c r="Q79" s="90">
        <v>0</v>
      </c>
      <c r="R79" s="90">
        <v>5.6311549605589697</v>
      </c>
      <c r="S79" s="91">
        <f t="shared" si="8"/>
        <v>141.83771640777107</v>
      </c>
      <c r="T79" s="88">
        <f t="shared" si="11"/>
        <v>235.15642321535211</v>
      </c>
      <c r="U79" s="91">
        <f t="shared" si="4"/>
        <v>5.5720658924548943</v>
      </c>
      <c r="V79" s="91">
        <f t="shared" si="12"/>
        <v>4.6304647635825722</v>
      </c>
      <c r="W79" s="91">
        <f t="shared" si="1"/>
        <v>7.0720658924548943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2"/>
        <v>0</v>
      </c>
      <c r="G80" s="88">
        <f t="shared" si="14"/>
        <v>32.64199</v>
      </c>
      <c r="H80" s="88">
        <v>0</v>
      </c>
      <c r="I80" s="88">
        <f t="shared" si="7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13"/>
        <v>141.50197199050552</v>
      </c>
      <c r="Q80" s="90">
        <v>0</v>
      </c>
      <c r="R80" s="90">
        <v>3.2239083385368401</v>
      </c>
      <c r="S80" s="91">
        <f t="shared" si="8"/>
        <v>141.61210694050024</v>
      </c>
      <c r="T80" s="88">
        <f t="shared" si="11"/>
        <v>235.44971552280418</v>
      </c>
      <c r="U80" s="91">
        <f t="shared" si="4"/>
        <v>5.5720658924548943</v>
      </c>
      <c r="V80" s="91">
        <f t="shared" si="12"/>
        <v>4.6275798527110856</v>
      </c>
      <c r="W80" s="91">
        <f t="shared" si="1"/>
        <v>7.0720658924548943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2"/>
        <v>0</v>
      </c>
      <c r="G81" s="88">
        <f t="shared" si="14"/>
        <v>32.64199</v>
      </c>
      <c r="H81" s="88">
        <v>0</v>
      </c>
      <c r="I81" s="88">
        <f t="shared" si="7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13"/>
        <v>141.50197199050552</v>
      </c>
      <c r="Q81" s="90">
        <v>0</v>
      </c>
      <c r="R81" s="90">
        <v>3.3553854652209099</v>
      </c>
      <c r="S81" s="91">
        <f t="shared" si="8"/>
        <v>141.62126927853194</v>
      </c>
      <c r="T81" s="88">
        <f t="shared" si="11"/>
        <v>235.43780448336298</v>
      </c>
      <c r="U81" s="91">
        <f t="shared" si="4"/>
        <v>5.5720658924548943</v>
      </c>
      <c r="V81" s="91">
        <f t="shared" si="12"/>
        <v>4.6276969082305808</v>
      </c>
      <c r="W81" s="91">
        <f t="shared" si="1"/>
        <v>7.0720658924548943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2"/>
        <v>0</v>
      </c>
      <c r="G82" s="88">
        <f t="shared" si="14"/>
        <v>32.64199</v>
      </c>
      <c r="H82" s="88">
        <v>0</v>
      </c>
      <c r="I82" s="88">
        <f t="shared" si="7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13"/>
        <v>141.50197199050552</v>
      </c>
      <c r="Q82" s="90">
        <v>0</v>
      </c>
      <c r="R82" s="90">
        <v>5.7626320872430696</v>
      </c>
      <c r="S82" s="91">
        <f t="shared" si="8"/>
        <v>141.85355780846874</v>
      </c>
      <c r="T82" s="88">
        <f t="shared" si="11"/>
        <v>235.13582939444515</v>
      </c>
      <c r="U82" s="91">
        <f t="shared" si="4"/>
        <v>5.5720658924548943</v>
      </c>
      <c r="V82" s="91">
        <f t="shared" si="12"/>
        <v>4.6306675333485545</v>
      </c>
      <c r="W82" s="91">
        <f t="shared" si="1"/>
        <v>7.0720658924548943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2"/>
        <v>0</v>
      </c>
      <c r="G83" s="88">
        <f t="shared" si="14"/>
        <v>32.64199</v>
      </c>
      <c r="H83" s="88">
        <v>0</v>
      </c>
      <c r="I83" s="88">
        <f t="shared" si="7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13"/>
        <v>141.50197199050552</v>
      </c>
      <c r="Q83" s="90">
        <v>0</v>
      </c>
      <c r="R83" s="90">
        <v>9.9346792689791705</v>
      </c>
      <c r="S83" s="91">
        <f t="shared" si="8"/>
        <v>142.54438478500043</v>
      </c>
      <c r="T83" s="88">
        <f t="shared" si="11"/>
        <v>234.23775432495395</v>
      </c>
      <c r="U83" s="91">
        <f t="shared" si="4"/>
        <v>5.5720658924548943</v>
      </c>
      <c r="V83" s="91">
        <f t="shared" si="12"/>
        <v>4.639536104871258</v>
      </c>
      <c r="W83" s="91">
        <f t="shared" si="1"/>
        <v>7.0720658924548943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2"/>
        <v>0</v>
      </c>
      <c r="G84" s="88">
        <f t="shared" si="14"/>
        <v>32.64199</v>
      </c>
      <c r="H84" s="88">
        <v>0</v>
      </c>
      <c r="I84" s="88">
        <f t="shared" si="7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13"/>
        <v>141.50197199050552</v>
      </c>
      <c r="Q84" s="90">
        <v>0</v>
      </c>
      <c r="R84" s="90">
        <v>12.3419258910014</v>
      </c>
      <c r="S84" s="91">
        <f t="shared" si="8"/>
        <v>143.10757310952738</v>
      </c>
      <c r="T84" s="88">
        <f t="shared" si="11"/>
        <v>233.50560950306891</v>
      </c>
      <c r="U84" s="91">
        <f t="shared" si="4"/>
        <v>5.5720658924548943</v>
      </c>
      <c r="V84" s="91">
        <f t="shared" si="12"/>
        <v>4.6468039257084053</v>
      </c>
      <c r="W84" s="91">
        <f t="shared" si="1"/>
        <v>7.0720658924548943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2"/>
        <v>0</v>
      </c>
      <c r="G85" s="88">
        <f t="shared" si="14"/>
        <v>32.64199</v>
      </c>
      <c r="H85" s="88">
        <v>0</v>
      </c>
      <c r="I85" s="88">
        <f t="shared" si="7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13"/>
        <v>141.50197199050552</v>
      </c>
      <c r="Q85" s="90">
        <v>0</v>
      </c>
      <c r="R85" s="90">
        <v>16.5139721580329</v>
      </c>
      <c r="S85" s="91">
        <f t="shared" si="8"/>
        <v>144.36392176202014</v>
      </c>
      <c r="T85" s="88">
        <f t="shared" si="11"/>
        <v>231.87235625482833</v>
      </c>
      <c r="U85" s="91">
        <f t="shared" si="4"/>
        <v>5.5720658924548943</v>
      </c>
      <c r="V85" s="91">
        <f t="shared" si="12"/>
        <v>4.663140694132025</v>
      </c>
      <c r="W85" s="91">
        <f t="shared" si="1"/>
        <v>7.0720658924548943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2"/>
        <v>0</v>
      </c>
      <c r="G86" s="88">
        <f t="shared" si="14"/>
        <v>32.64199</v>
      </c>
      <c r="H86" s="88">
        <v>0</v>
      </c>
      <c r="I86" s="88">
        <f t="shared" si="7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13"/>
        <v>141.50197199050552</v>
      </c>
      <c r="Q86" s="90">
        <v>0</v>
      </c>
      <c r="R86" s="90">
        <v>18.9212178653504</v>
      </c>
      <c r="S86" s="91">
        <f t="shared" si="8"/>
        <v>145.24753193678018</v>
      </c>
      <c r="T86" s="88">
        <f t="shared" si="11"/>
        <v>230.72366302764027</v>
      </c>
      <c r="U86" s="91">
        <f t="shared" si="4"/>
        <v>5.5720658924548943</v>
      </c>
      <c r="V86" s="91">
        <f t="shared" si="12"/>
        <v>4.6747343632541059</v>
      </c>
      <c r="W86" s="91">
        <f t="shared" si="1"/>
        <v>7.0720658924548943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si="2"/>
        <v>0</v>
      </c>
      <c r="G87" s="93">
        <f t="shared" si="14"/>
        <v>138.22211499999997</v>
      </c>
      <c r="H87" s="93">
        <v>0</v>
      </c>
      <c r="I87" s="93">
        <f t="shared" si="7"/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si="13"/>
        <v>152.07058400639391</v>
      </c>
      <c r="Q87" s="95">
        <v>0</v>
      </c>
      <c r="R87" s="95">
        <v>62.706326521937299</v>
      </c>
      <c r="S87" s="96">
        <f t="shared" si="8"/>
        <v>186.87352053641297</v>
      </c>
      <c r="T87" s="93">
        <f t="shared" si="11"/>
        <v>176.60987784811763</v>
      </c>
      <c r="U87" s="96">
        <f t="shared" si="4"/>
        <v>5.5720658924548943</v>
      </c>
      <c r="V87" s="96">
        <f>15.8*M87*K87*SQRT(I87)/SQRT(T87*O87)</f>
        <v>10.995018510822907</v>
      </c>
      <c r="W87" s="96">
        <f t="shared" ref="W87:W116" si="15">MAX(U87,V87)+N87</f>
        <v>12.495018510822907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ref="F88:F116" si="16">D88*$F$18+E88*$F$17</f>
        <v>0</v>
      </c>
      <c r="G88" s="93">
        <f t="shared" si="14"/>
        <v>134.70277733284041</v>
      </c>
      <c r="H88" s="93">
        <v>0</v>
      </c>
      <c r="I88" s="93">
        <f t="shared" si="7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13"/>
        <v>142.28483167503234</v>
      </c>
      <c r="Q88" s="95">
        <v>0</v>
      </c>
      <c r="R88" s="95">
        <v>65.015895908695498</v>
      </c>
      <c r="S88" s="96">
        <f t="shared" si="8"/>
        <v>181.45570668133661</v>
      </c>
      <c r="T88" s="93">
        <f t="shared" si="11"/>
        <v>183.65303585971691</v>
      </c>
      <c r="U88" s="96">
        <f t="shared" ref="U88:U116" si="17">14.3*$F$8/SQRT(J88/$F$7)</f>
        <v>5.5720658924548943</v>
      </c>
      <c r="V88" s="96">
        <f>15.8*M88*K88*SQRT(I88)/SQRT(T88*O88)</f>
        <v>10.643976624650495</v>
      </c>
      <c r="W88" s="96">
        <f t="shared" si="15"/>
        <v>12.143976624650495</v>
      </c>
      <c r="X88" s="179" ph="1">
        <v>14.5</v>
      </c>
      <c r="Y88" s="96" t="str">
        <f t="shared" ref="Y88:Y116" si="18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16"/>
        <v>0</v>
      </c>
      <c r="G89" s="93">
        <f t="shared" si="14"/>
        <v>131.18343966568085</v>
      </c>
      <c r="H89" s="93">
        <v>0</v>
      </c>
      <c r="I89" s="93">
        <f t="shared" ref="I89:I116" si="19">G89*$F$18+H89*$F$17</f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13"/>
        <v>132.49907934367073</v>
      </c>
      <c r="Q89" s="95">
        <v>0</v>
      </c>
      <c r="R89" s="95">
        <v>67.165593957613197</v>
      </c>
      <c r="S89" s="96">
        <f t="shared" si="8"/>
        <v>176.32259373647284</v>
      </c>
      <c r="T89" s="93">
        <f t="shared" si="11"/>
        <v>190.3260826880398</v>
      </c>
      <c r="U89" s="96">
        <f t="shared" si="17"/>
        <v>5.5720658924548943</v>
      </c>
      <c r="V89" s="96">
        <f t="shared" ref="V89:V116" si="20">15.8*M89*K89*SQRT(I89)/SQRT(T89*O89)</f>
        <v>10.31822622463509</v>
      </c>
      <c r="W89" s="96">
        <f t="shared" si="15"/>
        <v>11.81822622463509</v>
      </c>
      <c r="X89" s="179" ph="1">
        <v>14.5</v>
      </c>
      <c r="Y89" s="96" t="str">
        <f t="shared" si="18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16"/>
        <v>0</v>
      </c>
      <c r="G90" s="93">
        <f t="shared" si="14"/>
        <v>127.66410199852135</v>
      </c>
      <c r="H90" s="93">
        <v>0</v>
      </c>
      <c r="I90" s="93">
        <f t="shared" si="19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13"/>
        <v>122.71332701230924</v>
      </c>
      <c r="Q90" s="95">
        <v>0</v>
      </c>
      <c r="R90" s="95">
        <v>69.155420668690397</v>
      </c>
      <c r="S90" s="96">
        <f t="shared" ref="S90:S116" si="21">SQRT(P90^2+Q90^2-P90*Q90+3*R90^2)</f>
        <v>171.48171112401619</v>
      </c>
      <c r="T90" s="93">
        <f t="shared" si="11"/>
        <v>196.61923008423346</v>
      </c>
      <c r="U90" s="96">
        <f t="shared" si="17"/>
        <v>5.5720658924548943</v>
      </c>
      <c r="V90" s="96">
        <f t="shared" si="20"/>
        <v>10.01465735305905</v>
      </c>
      <c r="W90" s="96">
        <f t="shared" si="15"/>
        <v>11.51465735305905</v>
      </c>
      <c r="X90" s="179" ph="1">
        <v>14.5</v>
      </c>
      <c r="Y90" s="96" t="str">
        <f t="shared" si="18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16"/>
        <v>0</v>
      </c>
      <c r="G91" s="93">
        <f t="shared" si="14"/>
        <v>124.14476433136176</v>
      </c>
      <c r="H91" s="93">
        <v>0</v>
      </c>
      <c r="I91" s="93">
        <f t="shared" si="19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13"/>
        <v>112.9275746809476</v>
      </c>
      <c r="Q91" s="95">
        <v>0</v>
      </c>
      <c r="R91" s="95">
        <v>70.985376041927495</v>
      </c>
      <c r="S91" s="96">
        <f t="shared" si="21"/>
        <v>166.94133088831705</v>
      </c>
      <c r="T91" s="93">
        <f t="shared" si="11"/>
        <v>202.52172439064233</v>
      </c>
      <c r="U91" s="96">
        <f t="shared" si="17"/>
        <v>5.5720658924548943</v>
      </c>
      <c r="V91" s="96">
        <f t="shared" si="20"/>
        <v>9.7306777170421608</v>
      </c>
      <c r="W91" s="96">
        <f t="shared" si="15"/>
        <v>11.230677717042161</v>
      </c>
      <c r="X91" s="162" ph="1">
        <v>12</v>
      </c>
      <c r="Y91" s="96" t="str">
        <f t="shared" si="18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16"/>
        <v>0</v>
      </c>
      <c r="G92" s="93">
        <f t="shared" si="14"/>
        <v>120.62542666420218</v>
      </c>
      <c r="H92" s="93">
        <v>0</v>
      </c>
      <c r="I92" s="93">
        <f t="shared" si="19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13"/>
        <v>103.14182234958595</v>
      </c>
      <c r="Q92" s="95">
        <v>0</v>
      </c>
      <c r="R92" s="95">
        <v>72.655460077323994</v>
      </c>
      <c r="S92" s="96">
        <f t="shared" si="21"/>
        <v>162.71042730795224</v>
      </c>
      <c r="T92" s="93">
        <f t="shared" si="11"/>
        <v>208.02189904511658</v>
      </c>
      <c r="U92" s="96">
        <f t="shared" si="17"/>
        <v>5.5720658924548943</v>
      </c>
      <c r="V92" s="96">
        <f t="shared" si="20"/>
        <v>9.4641059990487264</v>
      </c>
      <c r="W92" s="96">
        <f t="shared" si="15"/>
        <v>10.964105999048726</v>
      </c>
      <c r="X92" s="162" ph="1">
        <v>12</v>
      </c>
      <c r="Y92" s="96" t="str">
        <f t="shared" si="18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16"/>
        <v>0</v>
      </c>
      <c r="G93" s="93">
        <f t="shared" si="14"/>
        <v>117.1060889970426</v>
      </c>
      <c r="H93" s="93">
        <v>0</v>
      </c>
      <c r="I93" s="93">
        <f t="shared" si="19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13"/>
        <v>93.356070018224315</v>
      </c>
      <c r="Q93" s="95">
        <v>0</v>
      </c>
      <c r="R93" s="95">
        <v>74.165672774880406</v>
      </c>
      <c r="S93" s="96">
        <f t="shared" si="21"/>
        <v>158.79860472844058</v>
      </c>
      <c r="T93" s="93">
        <f t="shared" si="11"/>
        <v>213.10726839848175</v>
      </c>
      <c r="U93" s="96">
        <f t="shared" si="17"/>
        <v>5.5720658924548943</v>
      </c>
      <c r="V93" s="96">
        <f t="shared" si="20"/>
        <v>9.2130897156417735</v>
      </c>
      <c r="W93" s="96">
        <f t="shared" si="15"/>
        <v>10.713089715641773</v>
      </c>
      <c r="X93" s="162" ph="1">
        <v>12</v>
      </c>
      <c r="Y93" s="96" t="str">
        <f t="shared" si="18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16"/>
        <v>0</v>
      </c>
      <c r="G94" s="93">
        <f t="shared" si="14"/>
        <v>113.586751329883</v>
      </c>
      <c r="H94" s="93">
        <v>0</v>
      </c>
      <c r="I94" s="93">
        <f t="shared" si="19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13"/>
        <v>83.570317686862666</v>
      </c>
      <c r="Q94" s="95">
        <v>0</v>
      </c>
      <c r="R94" s="95">
        <v>75.516014134596503</v>
      </c>
      <c r="S94" s="96">
        <f t="shared" si="21"/>
        <v>155.21598877246149</v>
      </c>
      <c r="T94" s="93">
        <f t="shared" si="11"/>
        <v>217.76466914125459</v>
      </c>
      <c r="U94" s="96">
        <f t="shared" si="17"/>
        <v>5.5720658924548943</v>
      </c>
      <c r="V94" s="96">
        <f t="shared" si="20"/>
        <v>8.9760408898863524</v>
      </c>
      <c r="W94" s="96">
        <f t="shared" si="15"/>
        <v>10.476040889886352</v>
      </c>
      <c r="X94" s="162" ph="1">
        <v>12</v>
      </c>
      <c r="Y94" s="96" t="str">
        <f t="shared" si="18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16"/>
        <v>0</v>
      </c>
      <c r="G95" s="93">
        <f t="shared" si="14"/>
        <v>110.06741366272354</v>
      </c>
      <c r="H95" s="93">
        <v>0</v>
      </c>
      <c r="I95" s="93">
        <f t="shared" si="19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13"/>
        <v>73.784565355501314</v>
      </c>
      <c r="Q95" s="95">
        <v>0</v>
      </c>
      <c r="R95" s="95">
        <v>76.7064841564722</v>
      </c>
      <c r="S95" s="96">
        <f t="shared" si="21"/>
        <v>151.97307728555609</v>
      </c>
      <c r="T95" s="93">
        <f t="shared" si="11"/>
        <v>221.9804540742316</v>
      </c>
      <c r="U95" s="96">
        <f t="shared" si="17"/>
        <v>5.5720658924548943</v>
      </c>
      <c r="V95" s="96">
        <f t="shared" si="20"/>
        <v>8.7515848144293926</v>
      </c>
      <c r="W95" s="96">
        <f t="shared" si="15"/>
        <v>10.251584814429393</v>
      </c>
      <c r="X95" s="162" ph="1">
        <v>12</v>
      </c>
      <c r="Y95" s="96" t="str">
        <f t="shared" si="18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16"/>
        <v>0</v>
      </c>
      <c r="G96" s="93">
        <f t="shared" si="14"/>
        <v>106.54807599556395</v>
      </c>
      <c r="H96" s="93">
        <v>0</v>
      </c>
      <c r="I96" s="93">
        <f t="shared" si="19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13"/>
        <v>63.998813024139672</v>
      </c>
      <c r="Q96" s="95">
        <v>0</v>
      </c>
      <c r="R96" s="95">
        <v>77.737082840507199</v>
      </c>
      <c r="S96" s="96">
        <f t="shared" si="21"/>
        <v>149.08054941592624</v>
      </c>
      <c r="T96" s="93">
        <f t="shared" si="11"/>
        <v>225.7407403047504</v>
      </c>
      <c r="U96" s="96">
        <f t="shared" si="17"/>
        <v>5.5720658924548943</v>
      </c>
      <c r="V96" s="96">
        <f t="shared" si="20"/>
        <v>8.5385185515613244</v>
      </c>
      <c r="W96" s="96">
        <f t="shared" si="15"/>
        <v>10.038518551561324</v>
      </c>
      <c r="X96" s="162" ph="1">
        <v>12</v>
      </c>
      <c r="Y96" s="96" t="str">
        <f t="shared" si="18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16"/>
        <v>0</v>
      </c>
      <c r="G97" s="93">
        <f t="shared" si="14"/>
        <v>103.02873832840437</v>
      </c>
      <c r="H97" s="93">
        <v>0</v>
      </c>
      <c r="I97" s="93">
        <f t="shared" si="19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13"/>
        <v>54.213060692778015</v>
      </c>
      <c r="Q97" s="95">
        <v>0</v>
      </c>
      <c r="R97" s="95">
        <v>78.607810186701897</v>
      </c>
      <c r="S97" s="96">
        <f t="shared" si="21"/>
        <v>146.54903417192656</v>
      </c>
      <c r="T97" s="93">
        <f t="shared" si="11"/>
        <v>229.03171012194997</v>
      </c>
      <c r="U97" s="96">
        <f t="shared" si="17"/>
        <v>5.5720658924548943</v>
      </c>
      <c r="V97" s="96">
        <f t="shared" si="20"/>
        <v>8.3357767692369809</v>
      </c>
      <c r="W97" s="96">
        <f t="shared" si="15"/>
        <v>9.8357767692369809</v>
      </c>
      <c r="X97" s="162" ph="1">
        <v>12</v>
      </c>
      <c r="Y97" s="96" t="str">
        <f t="shared" si="18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16"/>
        <v>0</v>
      </c>
      <c r="G98" s="93">
        <f t="shared" si="14"/>
        <v>99.509400661244783</v>
      </c>
      <c r="H98" s="93">
        <v>0</v>
      </c>
      <c r="I98" s="93">
        <f t="shared" si="19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si="13"/>
        <v>44.427308361416372</v>
      </c>
      <c r="Q98" s="95">
        <v>0</v>
      </c>
      <c r="R98" s="95">
        <v>79.318666195056394</v>
      </c>
      <c r="S98" s="96">
        <f t="shared" si="21"/>
        <v>144.38884357570265</v>
      </c>
      <c r="T98" s="93">
        <f t="shared" si="11"/>
        <v>231.83995789704105</v>
      </c>
      <c r="U98" s="96">
        <f t="shared" si="17"/>
        <v>5.5720658924548943</v>
      </c>
      <c r="V98" s="96">
        <f t="shared" si="20"/>
        <v>8.1424031877586707</v>
      </c>
      <c r="W98" s="96">
        <f t="shared" si="15"/>
        <v>9.6424031877586707</v>
      </c>
      <c r="X98" s="162" ph="1">
        <v>12</v>
      </c>
      <c r="Y98" s="96" t="str">
        <f t="shared" si="18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16"/>
        <v>0</v>
      </c>
      <c r="G99" s="93">
        <f t="shared" si="14"/>
        <v>95.990062994085207</v>
      </c>
      <c r="H99" s="93">
        <v>0</v>
      </c>
      <c r="I99" s="93">
        <f t="shared" si="19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13"/>
        <v>34.641556030054737</v>
      </c>
      <c r="Q99" s="95">
        <v>0</v>
      </c>
      <c r="R99" s="95">
        <v>79.869650865570804</v>
      </c>
      <c r="S99" s="96">
        <f t="shared" si="21"/>
        <v>142.60967986903253</v>
      </c>
      <c r="T99" s="93">
        <f t="shared" si="11"/>
        <v>234.15287071571223</v>
      </c>
      <c r="U99" s="96">
        <f t="shared" si="17"/>
        <v>5.5720658924548943</v>
      </c>
      <c r="V99" s="96">
        <f t="shared" si="20"/>
        <v>7.9575263972165322</v>
      </c>
      <c r="W99" s="96">
        <f t="shared" si="15"/>
        <v>9.4575263972165331</v>
      </c>
      <c r="X99" s="162" ph="1">
        <v>12</v>
      </c>
      <c r="Y99" s="96" t="str">
        <f t="shared" si="18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16"/>
        <v>0</v>
      </c>
      <c r="G100" s="93">
        <f t="shared" si="14"/>
        <v>92.470725326925731</v>
      </c>
      <c r="H100" s="93">
        <v>0</v>
      </c>
      <c r="I100" s="93">
        <f t="shared" si="19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13"/>
        <v>24.855803698693371</v>
      </c>
      <c r="Q100" s="95">
        <v>0</v>
      </c>
      <c r="R100" s="95">
        <v>80.260764198244502</v>
      </c>
      <c r="S100" s="96">
        <f t="shared" si="21"/>
        <v>141.22033064175497</v>
      </c>
      <c r="T100" s="93">
        <f t="shared" si="11"/>
        <v>235.95902471117304</v>
      </c>
      <c r="U100" s="96">
        <f t="shared" si="17"/>
        <v>5.5720658924548943</v>
      </c>
      <c r="V100" s="96">
        <f t="shared" si="20"/>
        <v>7.7803391539882458</v>
      </c>
      <c r="W100" s="96">
        <f t="shared" si="15"/>
        <v>9.2803391539882458</v>
      </c>
      <c r="X100" s="162" ph="1">
        <v>12</v>
      </c>
      <c r="Y100" s="96" t="str">
        <f t="shared" si="18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16"/>
        <v>0</v>
      </c>
      <c r="G101" s="93">
        <f t="shared" si="14"/>
        <v>88.951387659766141</v>
      </c>
      <c r="H101" s="93">
        <v>0</v>
      </c>
      <c r="I101" s="93">
        <f t="shared" si="19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13"/>
        <v>15.070051367331734</v>
      </c>
      <c r="Q101" s="95">
        <v>0</v>
      </c>
      <c r="R101" s="95">
        <v>81.7201757843754</v>
      </c>
      <c r="S101" s="96">
        <f t="shared" si="21"/>
        <v>142.34348541082468</v>
      </c>
      <c r="T101" s="93">
        <f t="shared" si="11"/>
        <v>234.49892351138243</v>
      </c>
      <c r="U101" s="96">
        <f t="shared" si="17"/>
        <v>5.5720658924548943</v>
      </c>
      <c r="V101" s="96">
        <f t="shared" si="20"/>
        <v>7.6545670220154758</v>
      </c>
      <c r="W101" s="96">
        <f t="shared" si="15"/>
        <v>9.1545670220154758</v>
      </c>
      <c r="X101" s="162" ph="1">
        <v>12</v>
      </c>
      <c r="Y101" s="96" t="str">
        <f t="shared" si="18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16"/>
        <v>0</v>
      </c>
      <c r="G102" s="93">
        <f t="shared" si="14"/>
        <v>85.432049992606551</v>
      </c>
      <c r="H102" s="93">
        <v>0</v>
      </c>
      <c r="I102" s="93">
        <f t="shared" si="19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13"/>
        <v>5.2842990359700739</v>
      </c>
      <c r="Q102" s="95">
        <v>0</v>
      </c>
      <c r="R102" s="95">
        <v>81.791546441368595</v>
      </c>
      <c r="S102" s="96">
        <f t="shared" si="21"/>
        <v>141.765634143516</v>
      </c>
      <c r="T102" s="93">
        <f t="shared" si="11"/>
        <v>235.25013015888371</v>
      </c>
      <c r="U102" s="96">
        <f t="shared" si="17"/>
        <v>5.5720658924548943</v>
      </c>
      <c r="V102" s="96">
        <f t="shared" si="20"/>
        <v>7.4896266747756552</v>
      </c>
      <c r="W102" s="96">
        <f t="shared" si="15"/>
        <v>8.9896266747756552</v>
      </c>
      <c r="X102" s="162" ph="1">
        <v>12</v>
      </c>
      <c r="Y102" s="96" t="str">
        <f t="shared" si="18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16"/>
        <v>0</v>
      </c>
      <c r="G103" s="93">
        <f t="shared" si="14"/>
        <v>81.912712325446989</v>
      </c>
      <c r="H103" s="93">
        <v>0</v>
      </c>
      <c r="I103" s="93">
        <f t="shared" si="19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13"/>
        <v>4.5014532953915616</v>
      </c>
      <c r="Q103" s="95">
        <v>0</v>
      </c>
      <c r="R103" s="95">
        <v>81.791546441368098</v>
      </c>
      <c r="S103" s="96">
        <f t="shared" si="21"/>
        <v>141.73861255699526</v>
      </c>
      <c r="T103" s="93">
        <f t="shared" si="11"/>
        <v>235.28525822136066</v>
      </c>
      <c r="U103" s="96">
        <f t="shared" si="17"/>
        <v>5.5720658924548943</v>
      </c>
      <c r="V103" s="96">
        <f t="shared" si="20"/>
        <v>7.3331908453794723</v>
      </c>
      <c r="W103" s="96">
        <f t="shared" si="15"/>
        <v>8.8331908453794732</v>
      </c>
      <c r="X103" s="162" ph="1">
        <v>12</v>
      </c>
      <c r="Y103" s="96" t="str">
        <f t="shared" si="18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16"/>
        <v>0</v>
      </c>
      <c r="G104" s="93">
        <f t="shared" si="14"/>
        <v>78.393374658287399</v>
      </c>
      <c r="H104" s="93">
        <v>0</v>
      </c>
      <c r="I104" s="93">
        <f t="shared" si="19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13"/>
        <v>14.287205626753197</v>
      </c>
      <c r="Q104" s="95">
        <v>0</v>
      </c>
      <c r="R104" s="95">
        <v>81.703045760521107</v>
      </c>
      <c r="S104" s="96">
        <f t="shared" si="21"/>
        <v>142.23321449035222</v>
      </c>
      <c r="T104" s="93">
        <f t="shared" ref="T104:T116" si="22">MIN(J104/$F$7,1.3*(J104/$F$7-S104))</f>
        <v>234.64227570799662</v>
      </c>
      <c r="U104" s="96">
        <f t="shared" si="17"/>
        <v>5.5720658924548943</v>
      </c>
      <c r="V104" s="96">
        <f t="shared" si="20"/>
        <v>7.1837505273563593</v>
      </c>
      <c r="W104" s="96">
        <f t="shared" si="15"/>
        <v>8.6837505273563593</v>
      </c>
      <c r="X104" s="162" ph="1">
        <v>12</v>
      </c>
      <c r="Y104" s="96" t="str">
        <f t="shared" si="18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16"/>
        <v>0</v>
      </c>
      <c r="G105" s="93">
        <f t="shared" si="14"/>
        <v>74.874036991127923</v>
      </c>
      <c r="H105" s="93">
        <v>0</v>
      </c>
      <c r="I105" s="93">
        <f t="shared" si="19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13"/>
        <v>24.072957958114564</v>
      </c>
      <c r="Q105" s="95">
        <v>0</v>
      </c>
      <c r="R105" s="95">
        <v>81.454673741833503</v>
      </c>
      <c r="S105" s="96">
        <f t="shared" si="21"/>
        <v>143.12267090862571</v>
      </c>
      <c r="T105" s="93">
        <f t="shared" si="22"/>
        <v>233.4859823642411</v>
      </c>
      <c r="U105" s="96">
        <f t="shared" si="17"/>
        <v>5.5720658924548943</v>
      </c>
      <c r="V105" s="96">
        <f t="shared" si="20"/>
        <v>7.0380105195689016</v>
      </c>
      <c r="W105" s="96">
        <f t="shared" si="15"/>
        <v>8.5380105195689016</v>
      </c>
      <c r="X105" s="162" ph="1">
        <v>12</v>
      </c>
      <c r="Y105" s="96" t="str">
        <f t="shared" si="18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16"/>
        <v>0</v>
      </c>
      <c r="G106" s="93">
        <f t="shared" si="14"/>
        <v>71.354699323968333</v>
      </c>
      <c r="H106" s="93">
        <v>0</v>
      </c>
      <c r="I106" s="93">
        <f t="shared" si="19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13"/>
        <v>33.858710289476221</v>
      </c>
      <c r="Q106" s="95">
        <v>0</v>
      </c>
      <c r="R106" s="95">
        <v>81.046430385305797</v>
      </c>
      <c r="S106" s="96">
        <f t="shared" si="21"/>
        <v>144.40216029224541</v>
      </c>
      <c r="T106" s="93">
        <f t="shared" si="22"/>
        <v>231.82264616553547</v>
      </c>
      <c r="U106" s="96">
        <f t="shared" si="17"/>
        <v>5.5720658924548943</v>
      </c>
      <c r="V106" s="96">
        <f t="shared" si="20"/>
        <v>6.8952188303537953</v>
      </c>
      <c r="W106" s="96">
        <f t="shared" si="15"/>
        <v>8.3952188303537945</v>
      </c>
      <c r="X106" s="162" ph="1">
        <v>12</v>
      </c>
      <c r="Y106" s="96" t="str">
        <f t="shared" si="18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16"/>
        <v>0</v>
      </c>
      <c r="G107" s="93">
        <f t="shared" si="14"/>
        <v>67.835361656808757</v>
      </c>
      <c r="H107" s="93">
        <v>0</v>
      </c>
      <c r="I107" s="93">
        <f t="shared" si="19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13"/>
        <v>43.644462620837864</v>
      </c>
      <c r="Q107" s="95">
        <v>0</v>
      </c>
      <c r="R107" s="95">
        <v>80.478315690937507</v>
      </c>
      <c r="S107" s="96">
        <f t="shared" si="21"/>
        <v>146.06545452916754</v>
      </c>
      <c r="T107" s="93">
        <f t="shared" si="22"/>
        <v>229.66036365753669</v>
      </c>
      <c r="U107" s="96">
        <f t="shared" si="17"/>
        <v>5.5720658924548943</v>
      </c>
      <c r="V107" s="96">
        <f t="shared" si="20"/>
        <v>6.7546016412858618</v>
      </c>
      <c r="W107" s="96">
        <f t="shared" si="15"/>
        <v>8.2546016412858627</v>
      </c>
      <c r="X107" s="162" ph="1">
        <v>12</v>
      </c>
      <c r="Y107" s="96" t="str">
        <f t="shared" si="18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16"/>
        <v>0</v>
      </c>
      <c r="G108" s="93">
        <f t="shared" si="14"/>
        <v>64.316023989649182</v>
      </c>
      <c r="H108" s="93">
        <v>0</v>
      </c>
      <c r="I108" s="93">
        <f t="shared" si="19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13"/>
        <v>53.430214952199492</v>
      </c>
      <c r="Q108" s="95">
        <v>0</v>
      </c>
      <c r="R108" s="95">
        <v>79.750329658728901</v>
      </c>
      <c r="S108" s="96">
        <f t="shared" si="21"/>
        <v>148.10514208448689</v>
      </c>
      <c r="T108" s="93">
        <f t="shared" si="22"/>
        <v>227.00876983562156</v>
      </c>
      <c r="U108" s="96">
        <f t="shared" si="17"/>
        <v>5.5720658924548943</v>
      </c>
      <c r="V108" s="96">
        <f t="shared" si="20"/>
        <v>6.615352179866588</v>
      </c>
      <c r="W108" s="96">
        <f t="shared" si="15"/>
        <v>8.1153521798665871</v>
      </c>
      <c r="X108" s="162" ph="1">
        <v>12</v>
      </c>
      <c r="Y108" s="96" t="str">
        <f t="shared" si="18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16"/>
        <v>0</v>
      </c>
      <c r="G109" s="93">
        <f t="shared" si="14"/>
        <v>60.796686322489585</v>
      </c>
      <c r="H109" s="93">
        <v>0</v>
      </c>
      <c r="I109" s="93">
        <f t="shared" si="19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13"/>
        <v>63.215967283561156</v>
      </c>
      <c r="Q109" s="95">
        <v>0</v>
      </c>
      <c r="R109" s="95">
        <v>78.8624722886792</v>
      </c>
      <c r="S109" s="96">
        <f t="shared" si="21"/>
        <v>150.51288026625616</v>
      </c>
      <c r="T109" s="93">
        <f t="shared" si="22"/>
        <v>223.87871019932149</v>
      </c>
      <c r="U109" s="96">
        <f t="shared" si="17"/>
        <v>5.5720658924548943</v>
      </c>
      <c r="V109" s="96">
        <f t="shared" si="20"/>
        <v>6.4766175052442394</v>
      </c>
      <c r="W109" s="96">
        <f t="shared" si="15"/>
        <v>7.9766175052442394</v>
      </c>
      <c r="X109" s="162" ph="1">
        <v>12</v>
      </c>
      <c r="Y109" s="96" t="str">
        <f t="shared" si="18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16"/>
        <v>0</v>
      </c>
      <c r="G110" s="93">
        <f t="shared" si="14"/>
        <v>57.277348655330115</v>
      </c>
      <c r="H110" s="93">
        <v>0</v>
      </c>
      <c r="I110" s="93">
        <f t="shared" si="19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13"/>
        <v>73.001719614922493</v>
      </c>
      <c r="Q110" s="95">
        <v>0</v>
      </c>
      <c r="R110" s="95">
        <v>77.814743580789894</v>
      </c>
      <c r="S110" s="96">
        <f t="shared" si="21"/>
        <v>153.27965951935047</v>
      </c>
      <c r="T110" s="93">
        <f t="shared" si="22"/>
        <v>220.28189717029889</v>
      </c>
      <c r="U110" s="96">
        <f t="shared" si="17"/>
        <v>5.5720658924548943</v>
      </c>
      <c r="V110" s="96">
        <f t="shared" si="20"/>
        <v>6.3374820470733457</v>
      </c>
      <c r="W110" s="96">
        <f t="shared" si="15"/>
        <v>7.8374820470733457</v>
      </c>
      <c r="X110" s="162" ph="1">
        <v>12</v>
      </c>
      <c r="Y110" s="96" t="str">
        <f t="shared" si="18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16"/>
        <v>0</v>
      </c>
      <c r="G111" s="93">
        <f t="shared" si="14"/>
        <v>53.75801098817054</v>
      </c>
      <c r="H111" s="93">
        <v>0</v>
      </c>
      <c r="I111" s="93">
        <f t="shared" si="19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13"/>
        <v>82.787471946284128</v>
      </c>
      <c r="Q111" s="95">
        <v>0</v>
      </c>
      <c r="R111" s="95">
        <v>76.607143535060004</v>
      </c>
      <c r="S111" s="96">
        <f t="shared" si="21"/>
        <v>156.39606399478421</v>
      </c>
      <c r="T111" s="93">
        <f t="shared" si="22"/>
        <v>216.23057135223502</v>
      </c>
      <c r="U111" s="96">
        <f t="shared" si="17"/>
        <v>5.5720658924548943</v>
      </c>
      <c r="V111" s="96">
        <f t="shared" si="20"/>
        <v>6.1969464154892488</v>
      </c>
      <c r="W111" s="96">
        <f t="shared" si="15"/>
        <v>7.6969464154892488</v>
      </c>
      <c r="X111" s="162" ph="1">
        <v>12</v>
      </c>
      <c r="Y111" s="96" t="str">
        <f t="shared" si="18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16"/>
        <v>0</v>
      </c>
      <c r="G112" s="93">
        <f t="shared" si="14"/>
        <v>50.238673321010936</v>
      </c>
      <c r="H112" s="93">
        <v>0</v>
      </c>
      <c r="I112" s="93">
        <f t="shared" si="19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13"/>
        <v>92.573224277645821</v>
      </c>
      <c r="Q112" s="95">
        <v>0</v>
      </c>
      <c r="R112" s="95">
        <v>75.239672151489899</v>
      </c>
      <c r="S112" s="96">
        <f t="shared" si="21"/>
        <v>159.85251530567282</v>
      </c>
      <c r="T112" s="93">
        <f t="shared" si="22"/>
        <v>211.73718464807985</v>
      </c>
      <c r="U112" s="96">
        <f t="shared" si="17"/>
        <v>5.5720658924548943</v>
      </c>
      <c r="V112" s="96">
        <f t="shared" si="20"/>
        <v>6.0538994989662687</v>
      </c>
      <c r="W112" s="96">
        <f t="shared" si="15"/>
        <v>7.5538994989662687</v>
      </c>
      <c r="X112" s="162" ph="1">
        <v>12</v>
      </c>
      <c r="Y112" s="96" t="str">
        <f t="shared" si="18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16"/>
        <v>0</v>
      </c>
      <c r="G113" s="93">
        <f t="shared" si="14"/>
        <v>46.71933565385136</v>
      </c>
      <c r="H113" s="93">
        <v>0</v>
      </c>
      <c r="I113" s="93">
        <f t="shared" si="19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13"/>
        <v>102.35897660900746</v>
      </c>
      <c r="Q113" s="95">
        <v>0</v>
      </c>
      <c r="R113" s="95">
        <v>73.712329430079706</v>
      </c>
      <c r="S113" s="96">
        <f t="shared" si="21"/>
        <v>163.63948980142024</v>
      </c>
      <c r="T113" s="93">
        <f t="shared" si="22"/>
        <v>206.81411780360818</v>
      </c>
      <c r="U113" s="96">
        <f t="shared" si="17"/>
        <v>5.5720658924548943</v>
      </c>
      <c r="V113" s="96">
        <f t="shared" si="20"/>
        <v>5.9070810705406096</v>
      </c>
      <c r="W113" s="96">
        <f t="shared" si="15"/>
        <v>7.4070810705406096</v>
      </c>
      <c r="X113" s="162" ph="1">
        <v>12</v>
      </c>
      <c r="Y113" s="96" t="str">
        <f t="shared" si="18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16"/>
        <v>0</v>
      </c>
      <c r="G114" s="93">
        <f t="shared" si="14"/>
        <v>43.199997986691884</v>
      </c>
      <c r="H114" s="93">
        <v>0</v>
      </c>
      <c r="I114" s="93">
        <f t="shared" si="19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13"/>
        <v>112.14472894036881</v>
      </c>
      <c r="Q114" s="95">
        <v>0</v>
      </c>
      <c r="R114" s="95">
        <v>72.025115370829397</v>
      </c>
      <c r="S114" s="96">
        <f t="shared" si="21"/>
        <v>167.74770329769839</v>
      </c>
      <c r="T114" s="93">
        <f t="shared" si="22"/>
        <v>201.4734402584466</v>
      </c>
      <c r="U114" s="96">
        <f t="shared" si="17"/>
        <v>5.5720658924548943</v>
      </c>
      <c r="V114" s="96">
        <f t="shared" si="20"/>
        <v>5.7550308373793371</v>
      </c>
      <c r="W114" s="96">
        <f t="shared" si="15"/>
        <v>7.2550308373793371</v>
      </c>
      <c r="X114" s="162" ph="1">
        <v>12</v>
      </c>
      <c r="Y114" s="96" t="str">
        <f t="shared" si="18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16"/>
        <v>0</v>
      </c>
      <c r="G115" s="93">
        <f t="shared" si="14"/>
        <v>39.680660319532308</v>
      </c>
      <c r="H115" s="93">
        <v>0</v>
      </c>
      <c r="I115" s="93">
        <f t="shared" si="19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13"/>
        <v>121.93048127173041</v>
      </c>
      <c r="Q115" s="95">
        <v>0</v>
      </c>
      <c r="R115" s="95">
        <v>70.178029973739299</v>
      </c>
      <c r="S115" s="96">
        <f t="shared" si="21"/>
        <v>172.16826053643265</v>
      </c>
      <c r="T115" s="93">
        <f t="shared" si="22"/>
        <v>195.72671584809206</v>
      </c>
      <c r="U115" s="96">
        <f t="shared" si="17"/>
        <v>5.5720658924548943</v>
      </c>
      <c r="V115" s="96">
        <f t="shared" si="20"/>
        <v>5.5960177543816103</v>
      </c>
      <c r="W115" s="96">
        <f t="shared" si="15"/>
        <v>7.0960177543816103</v>
      </c>
      <c r="X115" s="162" ph="1">
        <v>12</v>
      </c>
      <c r="Y115" s="96" t="str">
        <f t="shared" si="18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16"/>
        <v>0</v>
      </c>
      <c r="G116" s="93">
        <f t="shared" si="14"/>
        <v>36.161325159766243</v>
      </c>
      <c r="H116" s="93">
        <v>0</v>
      </c>
      <c r="I116" s="93">
        <f t="shared" si="19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13"/>
        <v>131.71622663111773</v>
      </c>
      <c r="Q116" s="95">
        <v>0</v>
      </c>
      <c r="R116" s="95">
        <v>68.171074725638604</v>
      </c>
      <c r="S116" s="96">
        <f t="shared" si="21"/>
        <v>176.89276595069052</v>
      </c>
      <c r="T116" s="93">
        <f t="shared" si="22"/>
        <v>189.58485880955683</v>
      </c>
      <c r="U116" s="96">
        <f t="shared" si="17"/>
        <v>5.5720658924548943</v>
      </c>
      <c r="V116" s="96">
        <f t="shared" si="20"/>
        <v>5.4279399801094925</v>
      </c>
      <c r="W116" s="96">
        <f t="shared" si="15"/>
        <v>7.0720658924548943</v>
      </c>
      <c r="X116" s="162" ph="1">
        <v>12</v>
      </c>
      <c r="Y116" s="96" t="str">
        <f t="shared" si="18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16">
    <cfRule type="cellIs" dxfId="10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E8F7-35DB-4F9A-A1FE-C95B78ACEA11}">
  <sheetPr codeName="Sheet5"/>
  <dimension ref="A1:AH227"/>
  <sheetViews>
    <sheetView showGridLines="0" zoomScale="130" zoomScaleNormal="130" workbookViewId="0">
      <selection activeCell="M13" sqref="M13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4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4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4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701000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19.484999999999999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5.5430000000000001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23700</v>
      </c>
      <c r="N15" s="5" t="s">
        <v>93</v>
      </c>
    </row>
    <row r="16" spans="1:14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199.41714139081347</v>
      </c>
      <c r="Q23" s="65">
        <v>0</v>
      </c>
      <c r="R23" s="65">
        <v>28.779845436509198</v>
      </c>
      <c r="S23" s="60">
        <f t="shared" ref="S23:S24" si="0">SQRT(P23^2+Q23^2-P23*Q23+3*R23^2)</f>
        <v>205.55299752261402</v>
      </c>
      <c r="T23" s="59">
        <f>MIN(J23/$F$7,1.3*(J23/$F$7-S23))</f>
        <v>152.32655776605628</v>
      </c>
      <c r="U23" s="60">
        <f>14.3*$F$8/SQRT(J23/$F$7)</f>
        <v>3.98004706603921</v>
      </c>
      <c r="V23" s="60">
        <f>15.8*M23*K23*SQRT(I23)/SQRT(T23*O23)</f>
        <v>11.839017046216766</v>
      </c>
      <c r="W23" s="60">
        <f t="shared" ref="W23:W40" si="1">MAX(U23,V23)+N23</f>
        <v>13.339017046216766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38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3">$M$11/ABS(($M$12/(C24-$M$13)))/1000</f>
        <v>199.41714139081347</v>
      </c>
      <c r="Q24" s="65">
        <v>0</v>
      </c>
      <c r="R24" s="65">
        <v>26.048370729167999</v>
      </c>
      <c r="S24" s="60">
        <f t="shared" si="0"/>
        <v>204.45720611760353</v>
      </c>
      <c r="T24" s="59">
        <f>MIN(J24/$F$7,1.3*(J24/$F$7-S24))</f>
        <v>153.75108659256992</v>
      </c>
      <c r="U24" s="60">
        <f t="shared" ref="U24:U70" si="4">14.3*$F$8/SQRT(J24/$F$7)</f>
        <v>3.98004706603921</v>
      </c>
      <c r="V24" s="60">
        <f t="shared" ref="V24:V37" si="5">15.8*M24*K24*SQRT(I24)/SQRT(T24*O24)</f>
        <v>11.784044207491881</v>
      </c>
      <c r="W24" s="60">
        <f t="shared" si="1"/>
        <v>13.284044207491881</v>
      </c>
      <c r="X24" s="169">
        <v>13.5</v>
      </c>
      <c r="Y24" s="60" t="str">
        <f t="shared" ref="Y24:Y87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3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199.41714139081347</v>
      </c>
      <c r="Q25" s="65">
        <v>0</v>
      </c>
      <c r="R25" s="65">
        <v>19.326272363383101</v>
      </c>
      <c r="S25" s="60">
        <f>SQRT(P25^2+Q25^2-P25*Q25+3*R25^2)</f>
        <v>202.20709851752159</v>
      </c>
      <c r="T25" s="59">
        <f>MIN(J25/$F$7,1.3*(J25/$F$7-S25))</f>
        <v>156.67622647267643</v>
      </c>
      <c r="U25" s="60">
        <f t="shared" si="4"/>
        <v>3.98004706603921</v>
      </c>
      <c r="V25" s="60">
        <f t="shared" si="5"/>
        <v>11.673522061221702</v>
      </c>
      <c r="W25" s="60">
        <f t="shared" si="1"/>
        <v>13.173522061221702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199.41714139081347</v>
      </c>
      <c r="Q26" s="65">
        <v>0</v>
      </c>
      <c r="R26" s="65">
        <v>16.5947976560421</v>
      </c>
      <c r="S26" s="60">
        <f t="shared" ref="S26:S70" si="8">SQRT(P26^2+Q26^2-P26*Q26+3*R26^2)</f>
        <v>201.47793479241994</v>
      </c>
      <c r="T26" s="59">
        <f>MIN(J26/$F$7,1.3*(J26/$F$7-S26))</f>
        <v>157.62413931530858</v>
      </c>
      <c r="U26" s="60">
        <f t="shared" si="4"/>
        <v>3.98004706603921</v>
      </c>
      <c r="V26" s="60">
        <f t="shared" si="5"/>
        <v>11.638368283340933</v>
      </c>
      <c r="W26" s="60">
        <f t="shared" si="1"/>
        <v>13.138368283340933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199.41714139081347</v>
      </c>
      <c r="Q27" s="65">
        <v>0</v>
      </c>
      <c r="R27" s="65">
        <v>9.8726992902571897</v>
      </c>
      <c r="S27" s="60">
        <f t="shared" si="8"/>
        <v>200.1489616618363</v>
      </c>
      <c r="T27" s="59">
        <f>MIN(J27/$F$7,1.3*(J27/$F$7-S27))</f>
        <v>159.35180438506731</v>
      </c>
      <c r="U27" s="60">
        <f t="shared" si="4"/>
        <v>3.98004706603921</v>
      </c>
      <c r="V27" s="60">
        <f t="shared" si="5"/>
        <v>11.575105744207402</v>
      </c>
      <c r="W27" s="60">
        <f t="shared" si="1"/>
        <v>13.075105744207402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38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199.41714139081347</v>
      </c>
      <c r="Q28" s="65">
        <v>0</v>
      </c>
      <c r="R28" s="65">
        <v>7.1412245829160002</v>
      </c>
      <c r="S28" s="60">
        <f t="shared" si="8"/>
        <v>199.8003692341799</v>
      </c>
      <c r="T28" s="59">
        <f t="shared" ref="T28:T38" si="10">MIN(J28/$F$7,1.3*(J28/$F$7-S28))</f>
        <v>159.80497454102064</v>
      </c>
      <c r="U28" s="60">
        <f t="shared" si="4"/>
        <v>3.98004706603921</v>
      </c>
      <c r="V28" s="60">
        <f t="shared" si="5"/>
        <v>11.558681923468846</v>
      </c>
      <c r="W28" s="60">
        <f t="shared" si="1"/>
        <v>13.058681923468846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199.41714139081347</v>
      </c>
      <c r="Q29" s="65">
        <v>0</v>
      </c>
      <c r="R29" s="65">
        <v>2.3123484902098599</v>
      </c>
      <c r="S29" s="60">
        <f t="shared" si="8"/>
        <v>199.45735671341936</v>
      </c>
      <c r="T29" s="59">
        <f t="shared" si="10"/>
        <v>160.25089081800934</v>
      </c>
      <c r="U29" s="60">
        <f t="shared" si="4"/>
        <v>3.98004706603921</v>
      </c>
      <c r="V29" s="60">
        <f t="shared" si="5"/>
        <v>11.542589048974575</v>
      </c>
      <c r="W29" s="60">
        <f t="shared" si="1"/>
        <v>13.042589048974575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199.41714139081347</v>
      </c>
      <c r="Q30" s="65">
        <v>0</v>
      </c>
      <c r="R30" s="65">
        <v>5.0438231975512497</v>
      </c>
      <c r="S30" s="60">
        <f t="shared" si="8"/>
        <v>199.60840848478341</v>
      </c>
      <c r="T30" s="59">
        <f t="shared" si="10"/>
        <v>160.05452351523607</v>
      </c>
      <c r="U30" s="60">
        <f t="shared" si="4"/>
        <v>3.98004706603921</v>
      </c>
      <c r="V30" s="60">
        <f t="shared" si="5"/>
        <v>11.549667550252568</v>
      </c>
      <c r="W30" s="60">
        <f t="shared" si="1"/>
        <v>13.049667550252568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199.41714139081347</v>
      </c>
      <c r="Q31" s="65">
        <v>0</v>
      </c>
      <c r="R31" s="65">
        <v>11.765921563336001</v>
      </c>
      <c r="S31" s="60">
        <f t="shared" si="8"/>
        <v>200.45574826177327</v>
      </c>
      <c r="T31" s="59">
        <f t="shared" si="10"/>
        <v>158.95298180514925</v>
      </c>
      <c r="U31" s="60">
        <f t="shared" si="4"/>
        <v>3.98004706603921</v>
      </c>
      <c r="V31" s="60">
        <f t="shared" si="5"/>
        <v>11.589617964725981</v>
      </c>
      <c r="W31" s="60">
        <f t="shared" si="1"/>
        <v>13.089617964725981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199.41714139081347</v>
      </c>
      <c r="Q32" s="65">
        <v>0</v>
      </c>
      <c r="R32" s="65">
        <v>14.497396270677401</v>
      </c>
      <c r="S32" s="60">
        <f t="shared" si="8"/>
        <v>200.99184007409565</v>
      </c>
      <c r="T32" s="59">
        <f t="shared" si="10"/>
        <v>158.25606244913016</v>
      </c>
      <c r="U32" s="60">
        <f t="shared" si="4"/>
        <v>3.98004706603921</v>
      </c>
      <c r="V32" s="60">
        <f t="shared" si="5"/>
        <v>11.615108793308863</v>
      </c>
      <c r="W32" s="60">
        <f t="shared" si="1"/>
        <v>13.115108793308863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199.41714139081347</v>
      </c>
      <c r="Q33" s="65">
        <v>0</v>
      </c>
      <c r="R33" s="65">
        <v>21.219494636461899</v>
      </c>
      <c r="S33" s="60">
        <f t="shared" si="8"/>
        <v>202.7757311375407</v>
      </c>
      <c r="T33" s="59">
        <f t="shared" si="10"/>
        <v>155.93700406665158</v>
      </c>
      <c r="U33" s="60">
        <f t="shared" si="4"/>
        <v>3.98004706603921</v>
      </c>
      <c r="V33" s="60">
        <f t="shared" si="5"/>
        <v>11.701158626415442</v>
      </c>
      <c r="W33" s="60">
        <f t="shared" si="1"/>
        <v>13.201158626415442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199.41714139081347</v>
      </c>
      <c r="Q34" s="65">
        <v>0</v>
      </c>
      <c r="R34" s="65">
        <v>23.950969343803301</v>
      </c>
      <c r="S34" s="60">
        <f t="shared" si="8"/>
        <v>203.68638412522105</v>
      </c>
      <c r="T34" s="59">
        <f t="shared" si="10"/>
        <v>154.75315518266714</v>
      </c>
      <c r="U34" s="60">
        <f t="shared" si="4"/>
        <v>3.98004706603921</v>
      </c>
      <c r="V34" s="60">
        <f t="shared" si="5"/>
        <v>11.745829806072482</v>
      </c>
      <c r="W34" s="60">
        <f t="shared" si="1"/>
        <v>13.245829806072482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199.41714139081347</v>
      </c>
      <c r="Q35" s="65">
        <v>0</v>
      </c>
      <c r="R35" s="65">
        <v>30.673067709587901</v>
      </c>
      <c r="S35" s="60">
        <f t="shared" si="8"/>
        <v>206.37273930593298</v>
      </c>
      <c r="T35" s="59">
        <f t="shared" si="10"/>
        <v>151.26089344774164</v>
      </c>
      <c r="U35" s="60">
        <f t="shared" si="4"/>
        <v>3.98004706603921</v>
      </c>
      <c r="V35" s="60">
        <f t="shared" si="5"/>
        <v>11.880648013605287</v>
      </c>
      <c r="W35" s="60">
        <f t="shared" si="1"/>
        <v>13.380648013605287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199.41714139081347</v>
      </c>
      <c r="Q36" s="65">
        <v>0</v>
      </c>
      <c r="R36" s="65">
        <v>33.404542416929203</v>
      </c>
      <c r="S36" s="60">
        <f t="shared" si="8"/>
        <v>207.64100424226655</v>
      </c>
      <c r="T36" s="59">
        <f t="shared" si="10"/>
        <v>149.61214903050799</v>
      </c>
      <c r="U36" s="60">
        <f t="shared" si="4"/>
        <v>3.98004706603921</v>
      </c>
      <c r="V36" s="60">
        <f t="shared" si="5"/>
        <v>11.9459317541634</v>
      </c>
      <c r="W36" s="60">
        <f t="shared" si="1"/>
        <v>13.4459317541634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199.41714139081347</v>
      </c>
      <c r="Q37" s="65">
        <v>0</v>
      </c>
      <c r="R37" s="65">
        <v>40.126639744809196</v>
      </c>
      <c r="S37" s="60">
        <f t="shared" si="8"/>
        <v>211.18152838757652</v>
      </c>
      <c r="T37" s="59">
        <f t="shared" si="10"/>
        <v>145.00946764160503</v>
      </c>
      <c r="U37" s="60">
        <f t="shared" si="4"/>
        <v>3.98004706603921</v>
      </c>
      <c r="V37" s="60">
        <f t="shared" si="5"/>
        <v>12.134036048932803</v>
      </c>
      <c r="W37" s="60">
        <f t="shared" si="1"/>
        <v>13.634036048932803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>$M$11/ABS(($M$12/(C38-$M$13)))/1000</f>
        <v>199.41714139081347</v>
      </c>
      <c r="Q38" s="65">
        <v>0</v>
      </c>
      <c r="R38" s="65">
        <v>42.8581134142458</v>
      </c>
      <c r="S38" s="60">
        <f t="shared" si="8"/>
        <v>212.78545518143093</v>
      </c>
      <c r="T38" s="59">
        <f t="shared" si="10"/>
        <v>142.9243628095943</v>
      </c>
      <c r="U38" s="60">
        <f t="shared" si="4"/>
        <v>3.98004706603921</v>
      </c>
      <c r="V38" s="60">
        <f>15.8*M38*K38*SQRT(I38)/SQRT(T38*O38)</f>
        <v>12.222226496141179</v>
      </c>
      <c r="W38" s="60">
        <f t="shared" si="1"/>
        <v>13.722226496141179</v>
      </c>
      <c r="X38" s="169">
        <v>14.5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139</v>
      </c>
      <c r="C39" s="82">
        <v>0</v>
      </c>
      <c r="D39" s="83">
        <v>0</v>
      </c>
      <c r="E39" s="83">
        <v>0</v>
      </c>
      <c r="F39" s="83">
        <f t="shared" ref="F39" si="11">D39*$F$18+E39*$F$17</f>
        <v>0</v>
      </c>
      <c r="G39" s="83">
        <f t="shared" ref="G39:G70" si="12">1.025*9.81*(($F$10+0.76)-C39)+25</f>
        <v>138.22211499999997</v>
      </c>
      <c r="H39" s="83">
        <v>0</v>
      </c>
      <c r="I39" s="83">
        <f t="shared" ref="I39" si="13">G39*$F$18+H39*$F$17</f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 t="shared" si="3"/>
        <v>199.41714139081347</v>
      </c>
      <c r="Q39" s="85">
        <v>0</v>
      </c>
      <c r="R39" s="85">
        <v>47.320954762762803</v>
      </c>
      <c r="S39" s="86">
        <f>SQRT(P39^2+Q39^2-P39*Q39+3*R39^2)</f>
        <v>215.60383707035925</v>
      </c>
      <c r="T39" s="83">
        <f>MIN(J39/$F$7,1.3*(J39/$F$7-S39))</f>
        <v>139.26046635398748</v>
      </c>
      <c r="U39" s="86">
        <f>14.3*$F$8/SQRT(J39/$F$7)</f>
        <v>3.98004706603921</v>
      </c>
      <c r="V39" s="86">
        <f>15.8*M39*K39*SQRT(I39)/SQRT(T39*O39)</f>
        <v>11.556499742596953</v>
      </c>
      <c r="W39" s="86">
        <f t="shared" si="1"/>
        <v>13.056499742596953</v>
      </c>
      <c r="X39" s="178" ph="1">
        <v>13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139</v>
      </c>
      <c r="C40" s="82">
        <v>0.35000001662410801</v>
      </c>
      <c r="D40" s="83">
        <v>0</v>
      </c>
      <c r="E40" s="83">
        <v>0</v>
      </c>
      <c r="F40" s="83">
        <f t="shared" ref="F40:F70" si="14">D40*$F$18+E40*$F$17</f>
        <v>0</v>
      </c>
      <c r="G40" s="83">
        <f t="shared" si="12"/>
        <v>134.70277733284041</v>
      </c>
      <c r="H40" s="83">
        <v>0</v>
      </c>
      <c r="I40" s="83">
        <f t="shared" ref="I40:I70" si="15">G40*$F$18+H40*$F$17</f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3"/>
        <v>186.82540355896845</v>
      </c>
      <c r="Q40" s="85">
        <v>0</v>
      </c>
      <c r="R40" s="85">
        <v>49.630524149520497</v>
      </c>
      <c r="S40" s="86">
        <f t="shared" si="8"/>
        <v>205.65334472611875</v>
      </c>
      <c r="T40" s="83">
        <f t="shared" ref="T40:T70" si="16">MIN(J40/$F$7,1.3*(J40/$F$7-S40))</f>
        <v>152.19610640150015</v>
      </c>
      <c r="U40" s="86">
        <f t="shared" si="4"/>
        <v>3.98004706603921</v>
      </c>
      <c r="V40" s="86">
        <f t="shared" ref="V40:V70" si="17">15.8*M40*K40*SQRT(I40)/SQRT(T40*O40)</f>
        <v>10.912844668782148</v>
      </c>
      <c r="W40" s="86">
        <f t="shared" si="1"/>
        <v>12.412844668782148</v>
      </c>
      <c r="X40" s="178" ph="1">
        <v>13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139</v>
      </c>
      <c r="C41" s="82">
        <v>0.70000003324821602</v>
      </c>
      <c r="D41" s="83">
        <v>0</v>
      </c>
      <c r="E41" s="83">
        <v>0</v>
      </c>
      <c r="F41" s="83">
        <f t="shared" si="14"/>
        <v>0</v>
      </c>
      <c r="G41" s="83">
        <f t="shared" si="12"/>
        <v>131.18343966568085</v>
      </c>
      <c r="H41" s="83">
        <v>0</v>
      </c>
      <c r="I41" s="83">
        <f t="shared" si="15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3"/>
        <v>174.23366572712345</v>
      </c>
      <c r="Q41" s="85">
        <v>0</v>
      </c>
      <c r="R41" s="85">
        <v>54.834894320997101</v>
      </c>
      <c r="S41" s="86">
        <f t="shared" si="8"/>
        <v>198.43882477553566</v>
      </c>
      <c r="T41" s="83">
        <f t="shared" si="16"/>
        <v>161.57498233725815</v>
      </c>
      <c r="U41" s="86">
        <f t="shared" si="4"/>
        <v>3.98004706603921</v>
      </c>
      <c r="V41" s="86">
        <f t="shared" si="17"/>
        <v>10.452108708295142</v>
      </c>
      <c r="W41" s="86">
        <f t="shared" ref="W41:W70" si="18">MAX(U41,V41)+N41</f>
        <v>11.952108708295142</v>
      </c>
      <c r="X41" s="178" ph="1">
        <v>13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139</v>
      </c>
      <c r="C42" s="82">
        <v>1.0500000498723201</v>
      </c>
      <c r="D42" s="83">
        <v>0</v>
      </c>
      <c r="E42" s="83">
        <v>0</v>
      </c>
      <c r="F42" s="83">
        <f t="shared" si="14"/>
        <v>0</v>
      </c>
      <c r="G42" s="83">
        <f t="shared" si="12"/>
        <v>127.66410199852135</v>
      </c>
      <c r="H42" s="83">
        <v>0</v>
      </c>
      <c r="I42" s="83">
        <f t="shared" si="15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3"/>
        <v>161.6419278952786</v>
      </c>
      <c r="Q42" s="85">
        <v>0</v>
      </c>
      <c r="R42" s="85">
        <v>56.824721032074301</v>
      </c>
      <c r="S42" s="86">
        <f t="shared" si="8"/>
        <v>189.24919977326627</v>
      </c>
      <c r="T42" s="83">
        <f t="shared" si="16"/>
        <v>173.52149484020836</v>
      </c>
      <c r="U42" s="86">
        <f t="shared" si="4"/>
        <v>3.98004706603921</v>
      </c>
      <c r="V42" s="86">
        <f t="shared" si="17"/>
        <v>9.9496825995445075</v>
      </c>
      <c r="W42" s="86">
        <f t="shared" si="18"/>
        <v>11.449682599544508</v>
      </c>
      <c r="X42" s="178" ph="1">
        <v>13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139</v>
      </c>
      <c r="C43" s="82">
        <v>1.4000000664964301</v>
      </c>
      <c r="D43" s="83">
        <v>0</v>
      </c>
      <c r="E43" s="83">
        <v>0</v>
      </c>
      <c r="F43" s="83">
        <f t="shared" si="14"/>
        <v>0</v>
      </c>
      <c r="G43" s="83">
        <f t="shared" si="12"/>
        <v>124.14476433136176</v>
      </c>
      <c r="H43" s="83">
        <v>0</v>
      </c>
      <c r="I43" s="83">
        <f t="shared" si="15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3"/>
        <v>149.05019006343355</v>
      </c>
      <c r="Q43" s="85">
        <v>0</v>
      </c>
      <c r="R43" s="85">
        <v>61.062154228554498</v>
      </c>
      <c r="S43" s="86">
        <f t="shared" si="8"/>
        <v>182.76137227281095</v>
      </c>
      <c r="T43" s="83">
        <f t="shared" si="16"/>
        <v>181.95567059080028</v>
      </c>
      <c r="U43" s="86">
        <f t="shared" si="4"/>
        <v>3.98004706603921</v>
      </c>
      <c r="V43" s="86">
        <f t="shared" si="17"/>
        <v>9.5814861540642919</v>
      </c>
      <c r="W43" s="86">
        <f t="shared" si="18"/>
        <v>11.081486154064292</v>
      </c>
      <c r="X43" s="178" ph="1">
        <v>13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139</v>
      </c>
      <c r="C44" s="82">
        <v>1.75000008312054</v>
      </c>
      <c r="D44" s="83">
        <v>0</v>
      </c>
      <c r="E44" s="83">
        <v>0</v>
      </c>
      <c r="F44" s="83">
        <f t="shared" si="14"/>
        <v>0</v>
      </c>
      <c r="G44" s="83">
        <f t="shared" si="12"/>
        <v>120.62542666420218</v>
      </c>
      <c r="H44" s="83">
        <v>0</v>
      </c>
      <c r="I44" s="83">
        <f t="shared" si="15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3"/>
        <v>136.45845223158852</v>
      </c>
      <c r="Q44" s="85">
        <v>0</v>
      </c>
      <c r="R44" s="85">
        <v>62.732238263951103</v>
      </c>
      <c r="S44" s="86">
        <f t="shared" si="8"/>
        <v>174.43311135864118</v>
      </c>
      <c r="T44" s="83">
        <f t="shared" si="16"/>
        <v>192.78240977922096</v>
      </c>
      <c r="U44" s="86">
        <f t="shared" si="4"/>
        <v>3.98004706603921</v>
      </c>
      <c r="V44" s="86">
        <f t="shared" si="17"/>
        <v>9.175657588692582</v>
      </c>
      <c r="W44" s="86">
        <f t="shared" si="18"/>
        <v>10.675657588692582</v>
      </c>
      <c r="X44" s="178" ph="1">
        <v>13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139</v>
      </c>
      <c r="C45" s="82">
        <v>2.10000009974465</v>
      </c>
      <c r="D45" s="83">
        <v>0</v>
      </c>
      <c r="E45" s="83">
        <v>0</v>
      </c>
      <c r="F45" s="83">
        <f t="shared" si="14"/>
        <v>0</v>
      </c>
      <c r="G45" s="83">
        <f t="shared" si="12"/>
        <v>117.1060889970426</v>
      </c>
      <c r="H45" s="83">
        <v>0</v>
      </c>
      <c r="I45" s="83">
        <f t="shared" si="15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3"/>
        <v>123.86671439974342</v>
      </c>
      <c r="Q45" s="85">
        <v>0</v>
      </c>
      <c r="R45" s="85">
        <v>65.973757931307006</v>
      </c>
      <c r="S45" s="86">
        <f t="shared" si="8"/>
        <v>168.52469594372121</v>
      </c>
      <c r="T45" s="83">
        <f t="shared" si="16"/>
        <v>200.46334981861693</v>
      </c>
      <c r="U45" s="86">
        <f t="shared" si="4"/>
        <v>3.98004706603921</v>
      </c>
      <c r="V45" s="86">
        <f t="shared" si="17"/>
        <v>8.865918126192442</v>
      </c>
      <c r="W45" s="86">
        <f t="shared" si="18"/>
        <v>10.365918126192442</v>
      </c>
      <c r="X45" s="178" ph="1">
        <v>13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139</v>
      </c>
      <c r="C46" s="82">
        <v>2.4500001163687601</v>
      </c>
      <c r="D46" s="83">
        <v>0</v>
      </c>
      <c r="E46" s="83">
        <v>0</v>
      </c>
      <c r="F46" s="83">
        <f t="shared" si="14"/>
        <v>0</v>
      </c>
      <c r="G46" s="83">
        <f t="shared" si="12"/>
        <v>113.586751329883</v>
      </c>
      <c r="H46" s="83">
        <v>0</v>
      </c>
      <c r="I46" s="83">
        <f t="shared" si="15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3"/>
        <v>111.27497656789835</v>
      </c>
      <c r="Q46" s="85">
        <v>0</v>
      </c>
      <c r="R46" s="85">
        <v>67.324099291022705</v>
      </c>
      <c r="S46" s="86">
        <f t="shared" si="8"/>
        <v>161.18226777852698</v>
      </c>
      <c r="T46" s="83">
        <f t="shared" si="16"/>
        <v>210.00850643336943</v>
      </c>
      <c r="U46" s="86">
        <f t="shared" si="4"/>
        <v>3.98004706603921</v>
      </c>
      <c r="V46" s="86">
        <f t="shared" si="17"/>
        <v>8.530939572093132</v>
      </c>
      <c r="W46" s="86">
        <f t="shared" si="18"/>
        <v>10.030939572093132</v>
      </c>
      <c r="X46" s="178" ph="1">
        <v>13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139</v>
      </c>
      <c r="C47" s="82">
        <v>2.8000001329928601</v>
      </c>
      <c r="D47" s="83">
        <v>0</v>
      </c>
      <c r="E47" s="83">
        <v>0</v>
      </c>
      <c r="F47" s="83">
        <f t="shared" si="14"/>
        <v>0</v>
      </c>
      <c r="G47" s="83">
        <f t="shared" si="12"/>
        <v>110.06741366272354</v>
      </c>
      <c r="H47" s="83">
        <v>0</v>
      </c>
      <c r="I47" s="83">
        <f t="shared" si="15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3"/>
        <v>98.683238736053653</v>
      </c>
      <c r="Q47" s="85">
        <v>0</v>
      </c>
      <c r="R47" s="85">
        <v>68.978132904898402</v>
      </c>
      <c r="S47" s="86">
        <f t="shared" si="8"/>
        <v>154.95912385069309</v>
      </c>
      <c r="T47" s="83">
        <f t="shared" si="16"/>
        <v>218.09859353955349</v>
      </c>
      <c r="U47" s="86">
        <f t="shared" si="4"/>
        <v>3.98004706603921</v>
      </c>
      <c r="V47" s="86">
        <f t="shared" si="17"/>
        <v>8.2405162077278682</v>
      </c>
      <c r="W47" s="86">
        <f t="shared" si="18"/>
        <v>9.7405162077278682</v>
      </c>
      <c r="X47" s="160" ph="1">
        <v>12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139</v>
      </c>
      <c r="C48" s="82">
        <v>2.9</v>
      </c>
      <c r="D48" s="83">
        <v>0</v>
      </c>
      <c r="E48" s="83">
        <v>0</v>
      </c>
      <c r="F48" s="83">
        <f t="shared" si="14"/>
        <v>0</v>
      </c>
      <c r="G48" s="83">
        <f t="shared" si="12"/>
        <v>109.06188999999999</v>
      </c>
      <c r="H48" s="83">
        <v>0</v>
      </c>
      <c r="I48" s="83">
        <f t="shared" si="15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3"/>
        <v>95.085604311008467</v>
      </c>
      <c r="Q48" s="85">
        <v>0</v>
      </c>
      <c r="R48" s="85">
        <v>69.812155714981202</v>
      </c>
      <c r="S48" s="86">
        <f t="shared" si="8"/>
        <v>153.82614668484683</v>
      </c>
      <c r="T48" s="83">
        <f t="shared" si="16"/>
        <v>219.57146385515361</v>
      </c>
      <c r="U48" s="86">
        <f t="shared" si="4"/>
        <v>3.98004706603921</v>
      </c>
      <c r="V48" s="86">
        <f t="shared" si="17"/>
        <v>8.1752309572601156</v>
      </c>
      <c r="W48" s="86">
        <f t="shared" si="18"/>
        <v>9.6752309572601156</v>
      </c>
      <c r="X48" s="160" ph="1">
        <v>12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139</v>
      </c>
      <c r="C49" s="82">
        <v>3.1500001496169698</v>
      </c>
      <c r="D49" s="83">
        <v>0</v>
      </c>
      <c r="E49" s="83">
        <v>0</v>
      </c>
      <c r="F49" s="83">
        <f t="shared" si="14"/>
        <v>0</v>
      </c>
      <c r="G49" s="83">
        <f t="shared" si="12"/>
        <v>106.54807599556395</v>
      </c>
      <c r="H49" s="83">
        <v>0</v>
      </c>
      <c r="I49" s="83">
        <f t="shared" si="15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3"/>
        <v>86.091500904208587</v>
      </c>
      <c r="Q49" s="85">
        <v>0</v>
      </c>
      <c r="R49" s="85">
        <v>70.8427543990164</v>
      </c>
      <c r="S49" s="86">
        <f t="shared" si="8"/>
        <v>149.89274192053935</v>
      </c>
      <c r="T49" s="83">
        <f t="shared" si="16"/>
        <v>224.68489004875335</v>
      </c>
      <c r="U49" s="86">
        <f t="shared" si="4"/>
        <v>3.98004706603921</v>
      </c>
      <c r="V49" s="86">
        <f t="shared" si="17"/>
        <v>7.9879868599267061</v>
      </c>
      <c r="W49" s="86">
        <f t="shared" si="18"/>
        <v>9.487986859926707</v>
      </c>
      <c r="X49" s="160" ph="1">
        <v>12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139</v>
      </c>
      <c r="C50" s="82">
        <v>3.50000016624108</v>
      </c>
      <c r="D50" s="83">
        <v>0</v>
      </c>
      <c r="E50" s="83">
        <v>0</v>
      </c>
      <c r="F50" s="83">
        <f t="shared" si="14"/>
        <v>0</v>
      </c>
      <c r="G50" s="83">
        <f t="shared" si="12"/>
        <v>103.02873832840437</v>
      </c>
      <c r="H50" s="83">
        <v>0</v>
      </c>
      <c r="I50" s="83">
        <f t="shared" si="15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3"/>
        <v>73.499763072363507</v>
      </c>
      <c r="Q50" s="85">
        <v>0</v>
      </c>
      <c r="R50" s="85">
        <v>72.684484481041096</v>
      </c>
      <c r="S50" s="86">
        <f t="shared" si="8"/>
        <v>145.7783180878339</v>
      </c>
      <c r="T50" s="83">
        <f t="shared" si="16"/>
        <v>230.03364103127043</v>
      </c>
      <c r="U50" s="86">
        <f t="shared" si="4"/>
        <v>3.98004706603921</v>
      </c>
      <c r="V50" s="86">
        <f t="shared" si="17"/>
        <v>7.7630964782890475</v>
      </c>
      <c r="W50" s="86">
        <f t="shared" si="18"/>
        <v>9.2630964782890466</v>
      </c>
      <c r="X50" s="160" ph="1">
        <v>12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139</v>
      </c>
      <c r="C51" s="82">
        <v>3.8500001828651902</v>
      </c>
      <c r="D51" s="83">
        <v>0</v>
      </c>
      <c r="E51" s="83">
        <v>0</v>
      </c>
      <c r="F51" s="83">
        <f t="shared" si="14"/>
        <v>0</v>
      </c>
      <c r="G51" s="83">
        <f t="shared" si="12"/>
        <v>99.509400661244783</v>
      </c>
      <c r="H51" s="83">
        <v>0</v>
      </c>
      <c r="I51" s="83">
        <f t="shared" si="15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3"/>
        <v>60.908025240518441</v>
      </c>
      <c r="Q51" s="85">
        <v>0</v>
      </c>
      <c r="R51" s="85">
        <v>73.395340489395394</v>
      </c>
      <c r="S51" s="86">
        <f t="shared" si="8"/>
        <v>140.9624615114339</v>
      </c>
      <c r="T51" s="83">
        <f t="shared" si="16"/>
        <v>236.29425458059043</v>
      </c>
      <c r="U51" s="86">
        <f t="shared" si="4"/>
        <v>3.98004706603921</v>
      </c>
      <c r="V51" s="86">
        <f t="shared" si="17"/>
        <v>7.5276071101122737</v>
      </c>
      <c r="W51" s="86">
        <f t="shared" si="18"/>
        <v>9.0276071101122746</v>
      </c>
      <c r="X51" s="160" ph="1">
        <v>12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139</v>
      </c>
      <c r="C52" s="82">
        <v>4.2000001994892999</v>
      </c>
      <c r="D52" s="83">
        <v>0</v>
      </c>
      <c r="E52" s="83">
        <v>0</v>
      </c>
      <c r="F52" s="83">
        <f t="shared" si="14"/>
        <v>0</v>
      </c>
      <c r="G52" s="83">
        <f t="shared" si="12"/>
        <v>95.990062994085207</v>
      </c>
      <c r="H52" s="83">
        <v>0</v>
      </c>
      <c r="I52" s="83">
        <f t="shared" si="15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3"/>
        <v>48.316287408673389</v>
      </c>
      <c r="Q52" s="85">
        <v>0</v>
      </c>
      <c r="R52" s="85">
        <v>74.590744072871104</v>
      </c>
      <c r="S52" s="86">
        <f t="shared" si="8"/>
        <v>137.93404559060536</v>
      </c>
      <c r="T52" s="83">
        <f t="shared" si="16"/>
        <v>240.23119527766752</v>
      </c>
      <c r="U52" s="86">
        <f t="shared" si="4"/>
        <v>3.98004706603921</v>
      </c>
      <c r="V52" s="86">
        <f t="shared" si="17"/>
        <v>7.3324634496890457</v>
      </c>
      <c r="W52" s="86">
        <f t="shared" si="18"/>
        <v>8.8324634496890457</v>
      </c>
      <c r="X52" s="160" ph="1">
        <v>12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139</v>
      </c>
      <c r="C53" s="82">
        <v>4.5500000997446497</v>
      </c>
      <c r="D53" s="83">
        <v>0</v>
      </c>
      <c r="E53" s="83">
        <v>0</v>
      </c>
      <c r="F53" s="83">
        <f t="shared" si="14"/>
        <v>0</v>
      </c>
      <c r="G53" s="83">
        <f t="shared" si="12"/>
        <v>92.470726497042605</v>
      </c>
      <c r="H53" s="83">
        <v>0</v>
      </c>
      <c r="I53" s="83">
        <f t="shared" si="15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3"/>
        <v>35.724553763356468</v>
      </c>
      <c r="Q53" s="85">
        <v>0</v>
      </c>
      <c r="R53" s="85">
        <v>74.981857355238304</v>
      </c>
      <c r="S53" s="86">
        <f t="shared" si="8"/>
        <v>134.6962528762952</v>
      </c>
      <c r="T53" s="83">
        <f t="shared" si="16"/>
        <v>244.44032580627075</v>
      </c>
      <c r="U53" s="86">
        <f t="shared" si="4"/>
        <v>3.98004706603921</v>
      </c>
      <c r="V53" s="86">
        <f t="shared" si="17"/>
        <v>7.1345597176225599</v>
      </c>
      <c r="W53" s="86">
        <f t="shared" si="18"/>
        <v>8.6345597176225599</v>
      </c>
      <c r="X53" s="160" ph="1">
        <v>12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139</v>
      </c>
      <c r="C54" s="82">
        <v>4.9000000000000004</v>
      </c>
      <c r="D54" s="83">
        <v>0</v>
      </c>
      <c r="E54" s="83">
        <v>0</v>
      </c>
      <c r="F54" s="83">
        <f t="shared" si="14"/>
        <v>0</v>
      </c>
      <c r="G54" s="83">
        <f t="shared" si="12"/>
        <v>88.951389999999989</v>
      </c>
      <c r="H54" s="83">
        <v>0</v>
      </c>
      <c r="I54" s="83">
        <f t="shared" si="15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3"/>
        <v>23.132820118039511</v>
      </c>
      <c r="Q54" s="85">
        <v>0</v>
      </c>
      <c r="R54" s="85">
        <v>76.640795403372493</v>
      </c>
      <c r="S54" s="86">
        <f t="shared" si="8"/>
        <v>134.74628724680463</v>
      </c>
      <c r="T54" s="83">
        <f t="shared" si="16"/>
        <v>244.37528112460848</v>
      </c>
      <c r="U54" s="86">
        <f t="shared" si="4"/>
        <v>3.98004706603921</v>
      </c>
      <c r="V54" s="86">
        <f t="shared" si="17"/>
        <v>6.9984070985417235</v>
      </c>
      <c r="W54" s="86">
        <f t="shared" si="18"/>
        <v>8.4984070985417226</v>
      </c>
      <c r="X54" s="160" ph="1">
        <v>12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139</v>
      </c>
      <c r="C55" s="82">
        <v>5.2500000166241101</v>
      </c>
      <c r="D55" s="83">
        <v>0</v>
      </c>
      <c r="E55" s="83">
        <v>0</v>
      </c>
      <c r="F55" s="83">
        <f t="shared" si="14"/>
        <v>0</v>
      </c>
      <c r="G55" s="83">
        <f t="shared" si="12"/>
        <v>85.432052332840414</v>
      </c>
      <c r="H55" s="83">
        <v>0</v>
      </c>
      <c r="I55" s="83">
        <f t="shared" si="15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3"/>
        <v>10.541082286194452</v>
      </c>
      <c r="Q55" s="85">
        <v>0</v>
      </c>
      <c r="R55" s="85">
        <v>76.712166166674393</v>
      </c>
      <c r="S55" s="86">
        <f t="shared" si="8"/>
        <v>133.28684754961651</v>
      </c>
      <c r="T55" s="83">
        <f t="shared" si="16"/>
        <v>246.27255273095304</v>
      </c>
      <c r="U55" s="86">
        <f t="shared" si="4"/>
        <v>3.98004706603921</v>
      </c>
      <c r="V55" s="86">
        <f t="shared" si="17"/>
        <v>6.8320947909123255</v>
      </c>
      <c r="W55" s="86">
        <f t="shared" si="18"/>
        <v>8.3320947909123255</v>
      </c>
      <c r="X55" s="160" ph="1">
        <v>12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139</v>
      </c>
      <c r="C56" s="82">
        <v>5.6000000332482198</v>
      </c>
      <c r="D56" s="83">
        <v>0</v>
      </c>
      <c r="E56" s="83">
        <v>0</v>
      </c>
      <c r="F56" s="83">
        <f t="shared" si="14"/>
        <v>0</v>
      </c>
      <c r="G56" s="83">
        <f t="shared" si="12"/>
        <v>81.912714665680824</v>
      </c>
      <c r="H56" s="83">
        <v>0</v>
      </c>
      <c r="I56" s="83">
        <f t="shared" si="15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3"/>
        <v>2.0506555456506024</v>
      </c>
      <c r="Q56" s="85">
        <v>0</v>
      </c>
      <c r="R56" s="85">
        <v>76.704483361334894</v>
      </c>
      <c r="S56" s="86">
        <f t="shared" si="8"/>
        <v>132.87188751332923</v>
      </c>
      <c r="T56" s="83">
        <f t="shared" si="16"/>
        <v>246.8120007781265</v>
      </c>
      <c r="U56" s="86">
        <f t="shared" si="4"/>
        <v>3.98004706603921</v>
      </c>
      <c r="V56" s="86">
        <f t="shared" si="17"/>
        <v>6.6825773256442984</v>
      </c>
      <c r="W56" s="86">
        <f t="shared" si="18"/>
        <v>8.1825773256442993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139</v>
      </c>
      <c r="C57" s="82">
        <v>5.8</v>
      </c>
      <c r="D57" s="83">
        <v>0</v>
      </c>
      <c r="E57" s="83">
        <v>0</v>
      </c>
      <c r="F57" s="83">
        <f t="shared" si="14"/>
        <v>0</v>
      </c>
      <c r="G57" s="83">
        <f t="shared" si="12"/>
        <v>79.901664999999994</v>
      </c>
      <c r="H57" s="83">
        <v>0</v>
      </c>
      <c r="I57" s="83">
        <f t="shared" si="15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3"/>
        <v>9.2459327687965001</v>
      </c>
      <c r="Q57" s="85">
        <v>0</v>
      </c>
      <c r="R57" s="85">
        <v>76.673487698844795</v>
      </c>
      <c r="S57" s="86">
        <f t="shared" si="8"/>
        <v>133.12384617520567</v>
      </c>
      <c r="T57" s="83">
        <f t="shared" si="16"/>
        <v>246.48445451768714</v>
      </c>
      <c r="U57" s="86">
        <f t="shared" si="4"/>
        <v>3.98004706603921</v>
      </c>
      <c r="V57" s="86">
        <f t="shared" si="17"/>
        <v>6.6044189853254966</v>
      </c>
      <c r="W57" s="86">
        <f t="shared" si="18"/>
        <v>8.1044189853254966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139</v>
      </c>
      <c r="C58" s="82">
        <v>5.9500000498723198</v>
      </c>
      <c r="D58" s="83">
        <v>0</v>
      </c>
      <c r="E58" s="83">
        <v>0</v>
      </c>
      <c r="F58" s="83">
        <f t="shared" si="14"/>
        <v>0</v>
      </c>
      <c r="G58" s="83">
        <f t="shared" si="12"/>
        <v>78.393376998521347</v>
      </c>
      <c r="H58" s="83">
        <v>0</v>
      </c>
      <c r="I58" s="83">
        <f t="shared" si="15"/>
        <v>86.232714698373485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3"/>
        <v>14.64239337749531</v>
      </c>
      <c r="Q58" s="85">
        <v>0</v>
      </c>
      <c r="R58" s="85">
        <v>76.615982786797105</v>
      </c>
      <c r="S58" s="86">
        <f t="shared" si="8"/>
        <v>133.50815008448618</v>
      </c>
      <c r="T58" s="83">
        <f t="shared" si="16"/>
        <v>245.98485943562247</v>
      </c>
      <c r="U58" s="86">
        <f t="shared" si="4"/>
        <v>3.98004706603921</v>
      </c>
      <c r="V58" s="86">
        <f t="shared" si="17"/>
        <v>6.5484266575962788</v>
      </c>
      <c r="W58" s="86">
        <f t="shared" si="18"/>
        <v>8.0484266575962788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139</v>
      </c>
      <c r="C59" s="82">
        <v>6.3000000664964304</v>
      </c>
      <c r="D59" s="83">
        <v>0</v>
      </c>
      <c r="E59" s="83">
        <v>0</v>
      </c>
      <c r="F59" s="83">
        <f t="shared" si="14"/>
        <v>0</v>
      </c>
      <c r="G59" s="83">
        <f t="shared" si="12"/>
        <v>74.874039331361757</v>
      </c>
      <c r="H59" s="83">
        <v>0</v>
      </c>
      <c r="I59" s="83">
        <f t="shared" si="15"/>
        <v>82.361443264497936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 t="shared" si="3"/>
        <v>27.234131209340397</v>
      </c>
      <c r="Q59" s="85">
        <v>0</v>
      </c>
      <c r="R59" s="85">
        <v>76.367610874417807</v>
      </c>
      <c r="S59" s="86">
        <f t="shared" si="8"/>
        <v>135.04715426371286</v>
      </c>
      <c r="T59" s="83">
        <f t="shared" si="16"/>
        <v>243.9841540026278</v>
      </c>
      <c r="U59" s="86">
        <f t="shared" si="4"/>
        <v>3.98004706603921</v>
      </c>
      <c r="V59" s="86">
        <f t="shared" si="17"/>
        <v>6.4259344425635678</v>
      </c>
      <c r="W59" s="86">
        <f t="shared" si="18"/>
        <v>7.9259344425635678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139</v>
      </c>
      <c r="C60" s="82">
        <v>6.6500000831205401</v>
      </c>
      <c r="D60" s="83">
        <v>0</v>
      </c>
      <c r="E60" s="83">
        <v>0</v>
      </c>
      <c r="F60" s="83">
        <f t="shared" si="14"/>
        <v>0</v>
      </c>
      <c r="G60" s="83">
        <f t="shared" si="12"/>
        <v>71.354701664202182</v>
      </c>
      <c r="H60" s="83">
        <v>0</v>
      </c>
      <c r="I60" s="83">
        <f t="shared" si="15"/>
        <v>78.490171830622401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 t="shared" si="3"/>
        <v>39.825869041185449</v>
      </c>
      <c r="Q60" s="85">
        <v>0</v>
      </c>
      <c r="R60" s="85">
        <v>75.959367624198407</v>
      </c>
      <c r="S60" s="86">
        <f t="shared" si="8"/>
        <v>137.46118155497578</v>
      </c>
      <c r="T60" s="83">
        <f t="shared" si="16"/>
        <v>240.845918523986</v>
      </c>
      <c r="U60" s="86">
        <f t="shared" si="4"/>
        <v>3.98004706603921</v>
      </c>
      <c r="V60" s="86">
        <f t="shared" si="17"/>
        <v>6.3138334466334092</v>
      </c>
      <c r="W60" s="86">
        <f t="shared" si="18"/>
        <v>7.8138334466334092</v>
      </c>
      <c r="X60" s="160" ph="1">
        <v>12</v>
      </c>
      <c r="Y60" s="86" t="str">
        <f t="shared" si="6"/>
        <v>OK</v>
      </c>
    </row>
    <row r="61" spans="1:25" ht="12" customHeight="1" x14ac:dyDescent="0.3">
      <c r="A61" s="82">
        <v>39</v>
      </c>
      <c r="B61" s="82" t="s">
        <v>139</v>
      </c>
      <c r="C61" s="82">
        <v>7.0000000997446499</v>
      </c>
      <c r="D61" s="83">
        <v>0</v>
      </c>
      <c r="E61" s="83">
        <v>0</v>
      </c>
      <c r="F61" s="83">
        <f t="shared" si="14"/>
        <v>0</v>
      </c>
      <c r="G61" s="83">
        <f t="shared" si="12"/>
        <v>67.835363997042606</v>
      </c>
      <c r="H61" s="83">
        <v>0</v>
      </c>
      <c r="I61" s="83">
        <f t="shared" si="15"/>
        <v>74.618900396746866</v>
      </c>
      <c r="J61" s="83">
        <v>355</v>
      </c>
      <c r="K61" s="84">
        <v>0.7</v>
      </c>
      <c r="L61" s="84">
        <v>4</v>
      </c>
      <c r="M61" s="85">
        <v>1</v>
      </c>
      <c r="N61" s="85">
        <v>1.5</v>
      </c>
      <c r="O61" s="85">
        <v>1</v>
      </c>
      <c r="P61" s="85">
        <f t="shared" si="3"/>
        <v>52.417606873030515</v>
      </c>
      <c r="Q61" s="85">
        <v>0</v>
      </c>
      <c r="R61" s="85">
        <v>75.391253036139204</v>
      </c>
      <c r="S61" s="86">
        <f t="shared" si="8"/>
        <v>140.70937642308377</v>
      </c>
      <c r="T61" s="83">
        <f t="shared" si="16"/>
        <v>236.62326519544561</v>
      </c>
      <c r="U61" s="86">
        <f t="shared" si="4"/>
        <v>3.98004706603921</v>
      </c>
      <c r="V61" s="86">
        <f t="shared" si="17"/>
        <v>6.210846958582918</v>
      </c>
      <c r="W61" s="86">
        <f t="shared" si="18"/>
        <v>7.710846958582918</v>
      </c>
      <c r="X61" s="160" ph="1">
        <v>12</v>
      </c>
      <c r="Y61" s="86" t="str">
        <f t="shared" si="6"/>
        <v>OK</v>
      </c>
    </row>
    <row r="62" spans="1:25" ht="12" customHeight="1" x14ac:dyDescent="0.3">
      <c r="A62" s="82">
        <v>40</v>
      </c>
      <c r="B62" s="82" t="s">
        <v>139</v>
      </c>
      <c r="C62" s="82">
        <v>7.3500001163687596</v>
      </c>
      <c r="D62" s="83">
        <v>0</v>
      </c>
      <c r="E62" s="83">
        <v>0</v>
      </c>
      <c r="F62" s="83">
        <f t="shared" si="14"/>
        <v>0</v>
      </c>
      <c r="G62" s="83">
        <f t="shared" si="12"/>
        <v>64.316026329883016</v>
      </c>
      <c r="H62" s="83">
        <v>0</v>
      </c>
      <c r="I62" s="83">
        <f t="shared" si="15"/>
        <v>70.747628962871318</v>
      </c>
      <c r="J62" s="83">
        <v>355</v>
      </c>
      <c r="K62" s="84">
        <v>0.7</v>
      </c>
      <c r="L62" s="84">
        <v>4</v>
      </c>
      <c r="M62" s="85">
        <v>1</v>
      </c>
      <c r="N62" s="85">
        <v>1.5</v>
      </c>
      <c r="O62" s="85">
        <v>1</v>
      </c>
      <c r="P62" s="85">
        <f t="shared" si="3"/>
        <v>65.009344704875573</v>
      </c>
      <c r="Q62" s="85">
        <v>0</v>
      </c>
      <c r="R62" s="85">
        <v>74.663267110238905</v>
      </c>
      <c r="S62" s="86">
        <f t="shared" si="8"/>
        <v>144.74123554012513</v>
      </c>
      <c r="T62" s="83">
        <f t="shared" si="16"/>
        <v>231.38184834329184</v>
      </c>
      <c r="U62" s="86">
        <f t="shared" si="4"/>
        <v>3.98004706603921</v>
      </c>
      <c r="V62" s="86">
        <f t="shared" si="17"/>
        <v>6.1157035958857451</v>
      </c>
      <c r="W62" s="86">
        <f t="shared" si="18"/>
        <v>7.6157035958857451</v>
      </c>
      <c r="X62" s="160" ph="1">
        <v>12</v>
      </c>
      <c r="Y62" s="86" t="str">
        <f t="shared" si="6"/>
        <v>OK</v>
      </c>
    </row>
    <row r="63" spans="1:25" ht="12" customHeight="1" x14ac:dyDescent="0.3">
      <c r="A63" s="82">
        <v>41</v>
      </c>
      <c r="B63" s="82" t="s">
        <v>139</v>
      </c>
      <c r="C63" s="82">
        <v>7.7000001329928596</v>
      </c>
      <c r="D63" s="83">
        <v>0</v>
      </c>
      <c r="E63" s="83">
        <v>0</v>
      </c>
      <c r="F63" s="83">
        <f t="shared" si="14"/>
        <v>0</v>
      </c>
      <c r="G63" s="83">
        <f t="shared" si="12"/>
        <v>60.796688662723547</v>
      </c>
      <c r="H63" s="83">
        <v>0</v>
      </c>
      <c r="I63" s="83">
        <f t="shared" si="15"/>
        <v>66.876357528995911</v>
      </c>
      <c r="J63" s="83">
        <v>355</v>
      </c>
      <c r="K63" s="84">
        <v>0.7</v>
      </c>
      <c r="L63" s="84">
        <v>4</v>
      </c>
      <c r="M63" s="85">
        <v>1</v>
      </c>
      <c r="N63" s="85">
        <v>1.5</v>
      </c>
      <c r="O63" s="85">
        <v>1</v>
      </c>
      <c r="P63" s="85">
        <f t="shared" si="3"/>
        <v>77.601082536720284</v>
      </c>
      <c r="Q63" s="85">
        <v>0</v>
      </c>
      <c r="R63" s="85">
        <v>72.9072899813589</v>
      </c>
      <c r="S63" s="86">
        <f t="shared" si="8"/>
        <v>148.21722844578068</v>
      </c>
      <c r="T63" s="83">
        <f t="shared" si="16"/>
        <v>226.86305756593961</v>
      </c>
      <c r="U63" s="86">
        <f t="shared" si="4"/>
        <v>3.98004706603921</v>
      </c>
      <c r="V63" s="86">
        <f t="shared" si="17"/>
        <v>6.0049520227271227</v>
      </c>
      <c r="W63" s="86">
        <f t="shared" si="18"/>
        <v>7.5049520227271227</v>
      </c>
      <c r="X63" s="160" ph="1">
        <v>12</v>
      </c>
      <c r="Y63" s="86" t="str">
        <f t="shared" si="6"/>
        <v>OK</v>
      </c>
    </row>
    <row r="64" spans="1:25" ht="12" customHeight="1" x14ac:dyDescent="0.3">
      <c r="A64" s="82">
        <v>42</v>
      </c>
      <c r="B64" s="82" t="s">
        <v>139</v>
      </c>
      <c r="C64" s="82">
        <v>8.0500001496169702</v>
      </c>
      <c r="D64" s="83">
        <v>0</v>
      </c>
      <c r="E64" s="83">
        <v>0</v>
      </c>
      <c r="F64" s="83">
        <f t="shared" si="14"/>
        <v>0</v>
      </c>
      <c r="G64" s="83">
        <f t="shared" si="12"/>
        <v>57.277350995563957</v>
      </c>
      <c r="H64" s="83">
        <v>0</v>
      </c>
      <c r="I64" s="83">
        <f t="shared" si="15"/>
        <v>63.005086095120355</v>
      </c>
      <c r="J64" s="83">
        <v>355</v>
      </c>
      <c r="K64" s="84">
        <v>0.7</v>
      </c>
      <c r="L64" s="84">
        <v>4</v>
      </c>
      <c r="M64" s="85">
        <v>1</v>
      </c>
      <c r="N64" s="85">
        <v>1.5</v>
      </c>
      <c r="O64" s="85">
        <v>1</v>
      </c>
      <c r="P64" s="85">
        <f t="shared" si="3"/>
        <v>90.19282036856535</v>
      </c>
      <c r="Q64" s="85">
        <v>0</v>
      </c>
      <c r="R64" s="85">
        <v>71.859561379778597</v>
      </c>
      <c r="S64" s="86">
        <f t="shared" si="8"/>
        <v>153.70795207509207</v>
      </c>
      <c r="T64" s="83">
        <f t="shared" si="16"/>
        <v>219.72511684783481</v>
      </c>
      <c r="U64" s="86">
        <f t="shared" si="4"/>
        <v>3.98004706603921</v>
      </c>
      <c r="V64" s="86">
        <f t="shared" si="17"/>
        <v>5.9224728650813914</v>
      </c>
      <c r="W64" s="86">
        <f t="shared" si="18"/>
        <v>7.4224728650813914</v>
      </c>
      <c r="X64" s="160" ph="1">
        <v>12</v>
      </c>
      <c r="Y64" s="86" t="str">
        <f t="shared" si="6"/>
        <v>OK</v>
      </c>
    </row>
    <row r="65" spans="1:25" ht="12" customHeight="1" x14ac:dyDescent="0.3">
      <c r="A65" s="82">
        <v>43</v>
      </c>
      <c r="B65" s="82" t="s">
        <v>139</v>
      </c>
      <c r="C65" s="82">
        <v>8.4000001662410799</v>
      </c>
      <c r="D65" s="83">
        <v>0</v>
      </c>
      <c r="E65" s="83">
        <v>0</v>
      </c>
      <c r="F65" s="83">
        <f t="shared" si="14"/>
        <v>0</v>
      </c>
      <c r="G65" s="83">
        <f t="shared" si="12"/>
        <v>53.758013328404374</v>
      </c>
      <c r="H65" s="83">
        <v>0</v>
      </c>
      <c r="I65" s="83">
        <f t="shared" si="15"/>
        <v>59.133814661244813</v>
      </c>
      <c r="J65" s="83">
        <v>355</v>
      </c>
      <c r="K65" s="84">
        <v>0.7</v>
      </c>
      <c r="L65" s="84">
        <v>4</v>
      </c>
      <c r="M65" s="85">
        <v>1</v>
      </c>
      <c r="N65" s="85">
        <v>1.5</v>
      </c>
      <c r="O65" s="85">
        <v>1</v>
      </c>
      <c r="P65" s="85">
        <f t="shared" si="3"/>
        <v>102.7845582004104</v>
      </c>
      <c r="Q65" s="85">
        <v>0</v>
      </c>
      <c r="R65" s="85">
        <v>69.497029221950996</v>
      </c>
      <c r="S65" s="86">
        <f t="shared" si="8"/>
        <v>158.28511179666799</v>
      </c>
      <c r="T65" s="83">
        <f t="shared" si="16"/>
        <v>213.77480920978613</v>
      </c>
      <c r="U65" s="86">
        <f t="shared" si="4"/>
        <v>3.98004706603921</v>
      </c>
      <c r="V65" s="86">
        <f t="shared" si="17"/>
        <v>5.8169430391984882</v>
      </c>
      <c r="W65" s="86">
        <f t="shared" si="18"/>
        <v>7.3169430391984882</v>
      </c>
      <c r="X65" s="160" ph="1">
        <v>12</v>
      </c>
      <c r="Y65" s="86" t="str">
        <f t="shared" si="6"/>
        <v>OK</v>
      </c>
    </row>
    <row r="66" spans="1:25" ht="12" customHeight="1" x14ac:dyDescent="0.3">
      <c r="A66" s="82">
        <v>44</v>
      </c>
      <c r="B66" s="82" t="s">
        <v>139</v>
      </c>
      <c r="C66" s="82">
        <v>8.7500001828651897</v>
      </c>
      <c r="D66" s="83">
        <v>0</v>
      </c>
      <c r="E66" s="83">
        <v>0</v>
      </c>
      <c r="F66" s="83">
        <f t="shared" si="14"/>
        <v>0</v>
      </c>
      <c r="G66" s="83">
        <f t="shared" si="12"/>
        <v>50.238675661244798</v>
      </c>
      <c r="H66" s="83">
        <v>0</v>
      </c>
      <c r="I66" s="83">
        <f t="shared" si="15"/>
        <v>55.262543227369285</v>
      </c>
      <c r="J66" s="83">
        <v>355</v>
      </c>
      <c r="K66" s="84">
        <v>0.7</v>
      </c>
      <c r="L66" s="84">
        <v>4</v>
      </c>
      <c r="M66" s="85">
        <v>1</v>
      </c>
      <c r="N66" s="85">
        <v>1.5</v>
      </c>
      <c r="O66" s="85">
        <v>1</v>
      </c>
      <c r="P66" s="85">
        <f t="shared" si="3"/>
        <v>115.37629603225547</v>
      </c>
      <c r="Q66" s="85">
        <v>0</v>
      </c>
      <c r="R66" s="85">
        <v>68.129557944689495</v>
      </c>
      <c r="S66" s="86">
        <f t="shared" si="8"/>
        <v>165.03514681224439</v>
      </c>
      <c r="T66" s="83">
        <f t="shared" si="16"/>
        <v>204.99976368953679</v>
      </c>
      <c r="U66" s="86">
        <f t="shared" si="4"/>
        <v>3.98004706603921</v>
      </c>
      <c r="V66" s="86">
        <f t="shared" si="17"/>
        <v>5.7424058122681281</v>
      </c>
      <c r="W66" s="86">
        <f t="shared" si="18"/>
        <v>7.2424058122681281</v>
      </c>
      <c r="X66" s="160" ph="1">
        <v>12</v>
      </c>
      <c r="Y66" s="86" t="str">
        <f t="shared" si="6"/>
        <v>OK</v>
      </c>
    </row>
    <row r="67" spans="1:25" ht="12" customHeight="1" x14ac:dyDescent="0.3">
      <c r="A67" s="82">
        <v>45</v>
      </c>
      <c r="B67" s="82" t="s">
        <v>139</v>
      </c>
      <c r="C67" s="82">
        <v>9.1000001994892994</v>
      </c>
      <c r="D67" s="83">
        <v>0</v>
      </c>
      <c r="E67" s="83">
        <v>0</v>
      </c>
      <c r="F67" s="83">
        <f t="shared" si="14"/>
        <v>0</v>
      </c>
      <c r="G67" s="83">
        <f t="shared" si="12"/>
        <v>46.719337994085222</v>
      </c>
      <c r="H67" s="83">
        <v>0</v>
      </c>
      <c r="I67" s="83">
        <f t="shared" si="15"/>
        <v>51.39127179349375</v>
      </c>
      <c r="J67" s="83">
        <v>355</v>
      </c>
      <c r="K67" s="84">
        <v>0.7</v>
      </c>
      <c r="L67" s="84">
        <v>4</v>
      </c>
      <c r="M67" s="85">
        <v>1</v>
      </c>
      <c r="N67" s="85">
        <v>1.5</v>
      </c>
      <c r="O67" s="85">
        <v>1</v>
      </c>
      <c r="P67" s="85">
        <f t="shared" si="3"/>
        <v>127.96803386410053</v>
      </c>
      <c r="Q67" s="85">
        <v>0</v>
      </c>
      <c r="R67" s="85">
        <v>65.160470757914695</v>
      </c>
      <c r="S67" s="86">
        <f t="shared" si="8"/>
        <v>170.62672281686343</v>
      </c>
      <c r="T67" s="83">
        <f t="shared" si="16"/>
        <v>197.73071488353204</v>
      </c>
      <c r="U67" s="86">
        <f t="shared" si="4"/>
        <v>3.98004706603921</v>
      </c>
      <c r="V67" s="86">
        <f t="shared" si="17"/>
        <v>5.6384890506229013</v>
      </c>
      <c r="W67" s="86">
        <f t="shared" si="18"/>
        <v>7.1384890506229013</v>
      </c>
      <c r="X67" s="160" ph="1">
        <v>12</v>
      </c>
      <c r="Y67" s="86" t="str">
        <f t="shared" si="6"/>
        <v>OK</v>
      </c>
    </row>
    <row r="68" spans="1:25" ht="12" customHeight="1" x14ac:dyDescent="0.3">
      <c r="A68" s="82">
        <v>46</v>
      </c>
      <c r="B68" s="82" t="s">
        <v>139</v>
      </c>
      <c r="C68" s="82">
        <v>9.4500002161134002</v>
      </c>
      <c r="D68" s="83">
        <v>0</v>
      </c>
      <c r="E68" s="83">
        <v>0</v>
      </c>
      <c r="F68" s="83">
        <f t="shared" si="14"/>
        <v>0</v>
      </c>
      <c r="G68" s="83">
        <f t="shared" si="12"/>
        <v>43.200000326925732</v>
      </c>
      <c r="H68" s="83">
        <v>0</v>
      </c>
      <c r="I68" s="83">
        <f t="shared" si="15"/>
        <v>47.520000359618308</v>
      </c>
      <c r="J68" s="83">
        <v>355</v>
      </c>
      <c r="K68" s="84">
        <v>0.7</v>
      </c>
      <c r="L68" s="84">
        <v>4</v>
      </c>
      <c r="M68" s="85">
        <v>1</v>
      </c>
      <c r="N68" s="85">
        <v>1.5</v>
      </c>
      <c r="O68" s="85">
        <v>1</v>
      </c>
      <c r="P68" s="85">
        <f t="shared" si="3"/>
        <v>140.55977169594527</v>
      </c>
      <c r="Q68" s="85">
        <v>0</v>
      </c>
      <c r="R68" s="85">
        <v>63.473256804972301</v>
      </c>
      <c r="S68" s="86">
        <f t="shared" si="8"/>
        <v>178.44778622192584</v>
      </c>
      <c r="T68" s="83">
        <f t="shared" si="16"/>
        <v>187.56333245695092</v>
      </c>
      <c r="U68" s="86">
        <f t="shared" si="4"/>
        <v>3.98004706603921</v>
      </c>
      <c r="V68" s="86">
        <f t="shared" si="17"/>
        <v>5.5669763261769694</v>
      </c>
      <c r="W68" s="86">
        <f t="shared" si="18"/>
        <v>7.0669763261769694</v>
      </c>
      <c r="X68" s="160" ph="1">
        <v>12</v>
      </c>
      <c r="Y68" s="86" t="str">
        <f t="shared" si="6"/>
        <v>OK</v>
      </c>
    </row>
    <row r="69" spans="1:25" ht="12" customHeight="1" x14ac:dyDescent="0.3">
      <c r="A69" s="82">
        <v>47</v>
      </c>
      <c r="B69" s="82" t="s">
        <v>139</v>
      </c>
      <c r="C69" s="82">
        <v>9.80000023273751</v>
      </c>
      <c r="D69" s="83">
        <v>0</v>
      </c>
      <c r="E69" s="83">
        <v>0</v>
      </c>
      <c r="F69" s="83">
        <f t="shared" si="14"/>
        <v>0</v>
      </c>
      <c r="G69" s="83">
        <f t="shared" si="12"/>
        <v>39.680662659766149</v>
      </c>
      <c r="H69" s="83">
        <v>0</v>
      </c>
      <c r="I69" s="83">
        <f t="shared" si="15"/>
        <v>43.648728925742766</v>
      </c>
      <c r="J69" s="83">
        <v>355</v>
      </c>
      <c r="K69" s="84">
        <v>0.7</v>
      </c>
      <c r="L69" s="84">
        <v>4</v>
      </c>
      <c r="M69" s="85">
        <v>1</v>
      </c>
      <c r="N69" s="85">
        <v>1.5</v>
      </c>
      <c r="O69" s="85">
        <v>1</v>
      </c>
      <c r="P69" s="85">
        <f t="shared" si="3"/>
        <v>153.15150952779032</v>
      </c>
      <c r="Q69" s="85">
        <v>0</v>
      </c>
      <c r="R69" s="85">
        <v>59.897614589250502</v>
      </c>
      <c r="S69" s="86">
        <f t="shared" si="8"/>
        <v>184.98258721049405</v>
      </c>
      <c r="T69" s="83">
        <f t="shared" si="16"/>
        <v>179.06809117181226</v>
      </c>
      <c r="U69" s="86">
        <f t="shared" si="4"/>
        <v>3.98004706603921</v>
      </c>
      <c r="V69" s="86">
        <f t="shared" si="17"/>
        <v>5.460492633620464</v>
      </c>
      <c r="W69" s="86">
        <f t="shared" si="18"/>
        <v>6.960492633620464</v>
      </c>
      <c r="X69" s="160" ph="1">
        <v>12</v>
      </c>
      <c r="Y69" s="86" t="str">
        <f t="shared" si="6"/>
        <v>OK</v>
      </c>
    </row>
    <row r="70" spans="1:25" ht="12" customHeight="1" x14ac:dyDescent="0.3">
      <c r="A70" s="82">
        <v>48</v>
      </c>
      <c r="B70" s="82" t="s">
        <v>139</v>
      </c>
      <c r="C70" s="82">
        <v>10.150000116368799</v>
      </c>
      <c r="D70" s="83">
        <v>0</v>
      </c>
      <c r="E70" s="83">
        <v>0</v>
      </c>
      <c r="F70" s="83">
        <f t="shared" si="14"/>
        <v>0</v>
      </c>
      <c r="G70" s="83">
        <f t="shared" si="12"/>
        <v>36.161326329882627</v>
      </c>
      <c r="H70" s="83">
        <v>0</v>
      </c>
      <c r="I70" s="83">
        <f t="shared" si="15"/>
        <v>39.777458962870895</v>
      </c>
      <c r="J70" s="83">
        <v>355</v>
      </c>
      <c r="K70" s="84">
        <v>0.7</v>
      </c>
      <c r="L70" s="84">
        <v>4</v>
      </c>
      <c r="M70" s="85">
        <v>1</v>
      </c>
      <c r="N70" s="85">
        <v>1.5</v>
      </c>
      <c r="O70" s="85">
        <v>1</v>
      </c>
      <c r="P70" s="85">
        <f t="shared" si="3"/>
        <v>165.74324257503355</v>
      </c>
      <c r="Q70" s="85">
        <v>0</v>
      </c>
      <c r="R70" s="85">
        <v>57.890658753603503</v>
      </c>
      <c r="S70" s="86">
        <f t="shared" si="8"/>
        <v>193.71320959620931</v>
      </c>
      <c r="T70" s="83">
        <f t="shared" si="16"/>
        <v>167.7182820703824</v>
      </c>
      <c r="U70" s="86">
        <f t="shared" si="4"/>
        <v>3.98004706603921</v>
      </c>
      <c r="V70" s="86">
        <f t="shared" si="17"/>
        <v>5.3862119921090708</v>
      </c>
      <c r="W70" s="86">
        <f t="shared" si="18"/>
        <v>6.8862119921090708</v>
      </c>
      <c r="X70" s="160" ph="1">
        <v>12</v>
      </c>
      <c r="Y70" s="86" t="str">
        <f t="shared" si="6"/>
        <v>OK</v>
      </c>
    </row>
    <row r="71" spans="1:25" ht="12" customHeight="1" x14ac:dyDescent="0.3">
      <c r="A71" s="87">
        <v>49</v>
      </c>
      <c r="B71" s="87" t="s">
        <v>140</v>
      </c>
      <c r="C71" s="87">
        <v>10.5</v>
      </c>
      <c r="D71" s="88">
        <v>0</v>
      </c>
      <c r="E71" s="88">
        <v>0</v>
      </c>
      <c r="F71" s="88">
        <f t="shared" ref="F71:F86" si="19">D71*$F$18+E71*$F$17</f>
        <v>0</v>
      </c>
      <c r="G71" s="88">
        <f>1.025*9.81*(($F$10+0.76)-C71)+25</f>
        <v>32.64199</v>
      </c>
      <c r="H71" s="88">
        <v>0</v>
      </c>
      <c r="I71" s="88">
        <f t="shared" ref="I71:I86" si="20">G71*$F$18+H71*$F$17</f>
        <v>35.906189000000005</v>
      </c>
      <c r="J71" s="88">
        <v>355</v>
      </c>
      <c r="K71" s="89">
        <v>0.75</v>
      </c>
      <c r="L71" s="89">
        <v>4</v>
      </c>
      <c r="M71" s="90">
        <v>1</v>
      </c>
      <c r="N71" s="90">
        <v>1.5</v>
      </c>
      <c r="O71" s="90">
        <v>1</v>
      </c>
      <c r="P71" s="90">
        <f>$M$11/ABS(($M$12/(C71-$M$13)))/1000</f>
        <v>178.33497562227353</v>
      </c>
      <c r="Q71" s="90">
        <v>0</v>
      </c>
      <c r="R71" s="90">
        <v>31.9483301755917</v>
      </c>
      <c r="S71" s="91">
        <f t="shared" ref="S71:S86" si="21">SQRT(P71^2+Q71^2-P71*Q71+3*R71^2)</f>
        <v>186.72292556947249</v>
      </c>
      <c r="T71" s="88">
        <f t="shared" ref="T71:T86" si="22">MIN(J71/$F$7,1.3*(J71/$F$7-S71))</f>
        <v>176.80565130514026</v>
      </c>
      <c r="U71" s="91">
        <f t="shared" ref="U71:U86" si="23">14.3*$F$8/SQRT(J71/$F$7)</f>
        <v>3.98004706603921</v>
      </c>
      <c r="V71" s="91">
        <f t="shared" ref="V71:V86" si="24">15.8*M71*K71*SQRT(I71)/SQRT(T71*O71)</f>
        <v>5.3401681894430899</v>
      </c>
      <c r="W71" s="91">
        <f t="shared" ref="W71:W86" si="25">MAX(U71,V71)+N71</f>
        <v>6.8401681894430899</v>
      </c>
      <c r="X71" s="166" ph="1">
        <v>20</v>
      </c>
      <c r="Y71" s="91" t="str">
        <f t="shared" si="6"/>
        <v>OK</v>
      </c>
    </row>
    <row r="72" spans="1:25" ht="12" customHeight="1" x14ac:dyDescent="0.3">
      <c r="A72" s="87">
        <v>50</v>
      </c>
      <c r="B72" s="87" t="s">
        <v>140</v>
      </c>
      <c r="C72" s="87">
        <v>10.5</v>
      </c>
      <c r="D72" s="88">
        <v>0</v>
      </c>
      <c r="E72" s="88">
        <v>0</v>
      </c>
      <c r="F72" s="88">
        <f t="shared" si="19"/>
        <v>0</v>
      </c>
      <c r="G72" s="88">
        <f>1.025*9.81*(($F$10+0.76)-C72)+25</f>
        <v>32.64199</v>
      </c>
      <c r="H72" s="88">
        <v>0</v>
      </c>
      <c r="I72" s="88">
        <f t="shared" si="20"/>
        <v>35.906189000000005</v>
      </c>
      <c r="J72" s="88">
        <v>355</v>
      </c>
      <c r="K72" s="89">
        <v>0.75</v>
      </c>
      <c r="L72" s="89">
        <v>4</v>
      </c>
      <c r="M72" s="90">
        <v>1</v>
      </c>
      <c r="N72" s="90">
        <v>1.5</v>
      </c>
      <c r="O72" s="90">
        <v>1</v>
      </c>
      <c r="P72" s="90">
        <f t="shared" ref="P72:P86" si="26">$M$11/ABS(($M$12/(C72-$M$13)))/1000</f>
        <v>178.33497562227353</v>
      </c>
      <c r="Q72" s="90">
        <v>0</v>
      </c>
      <c r="R72" s="90">
        <v>29.541083553569599</v>
      </c>
      <c r="S72" s="91">
        <f t="shared" si="21"/>
        <v>185.5300255558486</v>
      </c>
      <c r="T72" s="88">
        <f t="shared" si="22"/>
        <v>178.35642132285133</v>
      </c>
      <c r="U72" s="91">
        <f t="shared" si="23"/>
        <v>3.98004706603921</v>
      </c>
      <c r="V72" s="91">
        <f t="shared" si="24"/>
        <v>5.3169017084196417</v>
      </c>
      <c r="W72" s="91">
        <f t="shared" si="25"/>
        <v>6.8169017084196417</v>
      </c>
      <c r="X72" s="166" ph="1">
        <v>20</v>
      </c>
      <c r="Y72" s="91" t="str">
        <f t="shared" si="6"/>
        <v>OK</v>
      </c>
    </row>
    <row r="73" spans="1:25" ht="12" customHeight="1" x14ac:dyDescent="0.3">
      <c r="A73" s="87">
        <v>51</v>
      </c>
      <c r="B73" s="87" t="s">
        <v>140</v>
      </c>
      <c r="C73" s="87">
        <v>10.5</v>
      </c>
      <c r="D73" s="88">
        <v>0</v>
      </c>
      <c r="E73" s="88">
        <v>0</v>
      </c>
      <c r="F73" s="88">
        <f t="shared" si="19"/>
        <v>0</v>
      </c>
      <c r="G73" s="88">
        <f t="shared" ref="G73:G86" si="27">1.025*9.81*(($F$10+0.76)-C73)+25</f>
        <v>32.64199</v>
      </c>
      <c r="H73" s="88">
        <v>0</v>
      </c>
      <c r="I73" s="88">
        <f t="shared" si="20"/>
        <v>35.906189000000005</v>
      </c>
      <c r="J73" s="88">
        <v>355</v>
      </c>
      <c r="K73" s="89">
        <v>0.75</v>
      </c>
      <c r="L73" s="89">
        <v>4</v>
      </c>
      <c r="M73" s="90">
        <v>1</v>
      </c>
      <c r="N73" s="90">
        <v>1.5</v>
      </c>
      <c r="O73" s="90">
        <v>1</v>
      </c>
      <c r="P73" s="90">
        <f t="shared" si="26"/>
        <v>178.33497562227353</v>
      </c>
      <c r="Q73" s="90">
        <v>0</v>
      </c>
      <c r="R73" s="90">
        <v>25.369036371833399</v>
      </c>
      <c r="S73" s="91">
        <f t="shared" si="21"/>
        <v>183.66852628989841</v>
      </c>
      <c r="T73" s="88">
        <f t="shared" si="22"/>
        <v>180.77637036858658</v>
      </c>
      <c r="U73" s="91">
        <f t="shared" si="23"/>
        <v>3.98004706603921</v>
      </c>
      <c r="V73" s="91">
        <f t="shared" si="24"/>
        <v>5.2811946595020114</v>
      </c>
      <c r="W73" s="91">
        <f t="shared" si="25"/>
        <v>6.7811946595020114</v>
      </c>
      <c r="X73" s="166" ph="1">
        <v>20</v>
      </c>
      <c r="Y73" s="91" t="str">
        <f t="shared" si="6"/>
        <v>OK</v>
      </c>
    </row>
    <row r="74" spans="1:25" ht="12" customHeight="1" x14ac:dyDescent="0.3">
      <c r="A74" s="87">
        <v>52</v>
      </c>
      <c r="B74" s="87" t="s">
        <v>140</v>
      </c>
      <c r="C74" s="87">
        <v>10.5</v>
      </c>
      <c r="D74" s="88">
        <v>0</v>
      </c>
      <c r="E74" s="88">
        <v>0</v>
      </c>
      <c r="F74" s="88">
        <f t="shared" si="19"/>
        <v>0</v>
      </c>
      <c r="G74" s="88">
        <f t="shared" si="27"/>
        <v>32.64199</v>
      </c>
      <c r="H74" s="88">
        <v>0</v>
      </c>
      <c r="I74" s="88">
        <f t="shared" si="20"/>
        <v>35.906189000000005</v>
      </c>
      <c r="J74" s="88">
        <v>355</v>
      </c>
      <c r="K74" s="89">
        <v>0.75</v>
      </c>
      <c r="L74" s="89">
        <v>4</v>
      </c>
      <c r="M74" s="90">
        <v>1</v>
      </c>
      <c r="N74" s="90">
        <v>1.5</v>
      </c>
      <c r="O74" s="90">
        <v>1</v>
      </c>
      <c r="P74" s="90">
        <f t="shared" si="26"/>
        <v>178.33497562227353</v>
      </c>
      <c r="Q74" s="90">
        <v>0</v>
      </c>
      <c r="R74" s="90">
        <v>22.961789749810901</v>
      </c>
      <c r="S74" s="91">
        <f t="shared" si="21"/>
        <v>182.71588572354747</v>
      </c>
      <c r="T74" s="88">
        <f t="shared" si="22"/>
        <v>182.0148031048428</v>
      </c>
      <c r="U74" s="91">
        <f t="shared" si="23"/>
        <v>3.98004706603921</v>
      </c>
      <c r="V74" s="91">
        <f t="shared" si="24"/>
        <v>5.2631973111682964</v>
      </c>
      <c r="W74" s="91">
        <f t="shared" si="25"/>
        <v>6.7631973111682964</v>
      </c>
      <c r="X74" s="166" ph="1">
        <v>20</v>
      </c>
      <c r="Y74" s="91" t="str">
        <f t="shared" si="6"/>
        <v>OK</v>
      </c>
    </row>
    <row r="75" spans="1:25" ht="12" customHeight="1" x14ac:dyDescent="0.3">
      <c r="A75" s="87">
        <v>53</v>
      </c>
      <c r="B75" s="87" t="s">
        <v>140</v>
      </c>
      <c r="C75" s="87">
        <v>10.5</v>
      </c>
      <c r="D75" s="88">
        <v>0</v>
      </c>
      <c r="E75" s="88">
        <v>0</v>
      </c>
      <c r="F75" s="88">
        <f t="shared" si="19"/>
        <v>0</v>
      </c>
      <c r="G75" s="88">
        <f t="shared" si="27"/>
        <v>32.64199</v>
      </c>
      <c r="H75" s="88">
        <v>0</v>
      </c>
      <c r="I75" s="88">
        <f t="shared" si="20"/>
        <v>35.906189000000005</v>
      </c>
      <c r="J75" s="88">
        <v>355</v>
      </c>
      <c r="K75" s="89">
        <v>0.75</v>
      </c>
      <c r="L75" s="89">
        <v>4</v>
      </c>
      <c r="M75" s="90">
        <v>1</v>
      </c>
      <c r="N75" s="90">
        <v>1.5</v>
      </c>
      <c r="O75" s="90">
        <v>1</v>
      </c>
      <c r="P75" s="90">
        <f t="shared" si="26"/>
        <v>178.33497562227353</v>
      </c>
      <c r="Q75" s="90">
        <v>0</v>
      </c>
      <c r="R75" s="90">
        <v>18.7897425680755</v>
      </c>
      <c r="S75" s="91">
        <f t="shared" si="21"/>
        <v>181.28024384229116</v>
      </c>
      <c r="T75" s="88">
        <f t="shared" si="22"/>
        <v>183.88113755047601</v>
      </c>
      <c r="U75" s="91">
        <f t="shared" si="23"/>
        <v>3.98004706603921</v>
      </c>
      <c r="V75" s="91">
        <f t="shared" si="24"/>
        <v>5.2364193103095733</v>
      </c>
      <c r="W75" s="91">
        <f t="shared" si="25"/>
        <v>6.7364193103095733</v>
      </c>
      <c r="X75" s="166" ph="1">
        <v>20</v>
      </c>
      <c r="Y75" s="91" t="str">
        <f t="shared" si="6"/>
        <v>OK</v>
      </c>
    </row>
    <row r="76" spans="1:25" ht="12" customHeight="1" x14ac:dyDescent="0.3">
      <c r="A76" s="87">
        <v>54</v>
      </c>
      <c r="B76" s="87" t="s">
        <v>140</v>
      </c>
      <c r="C76" s="87">
        <v>10.5</v>
      </c>
      <c r="D76" s="88">
        <v>0</v>
      </c>
      <c r="E76" s="88">
        <v>0</v>
      </c>
      <c r="F76" s="88">
        <f t="shared" si="19"/>
        <v>0</v>
      </c>
      <c r="G76" s="88">
        <f t="shared" si="27"/>
        <v>32.64199</v>
      </c>
      <c r="H76" s="88">
        <v>0</v>
      </c>
      <c r="I76" s="88">
        <f t="shared" si="20"/>
        <v>35.906189000000005</v>
      </c>
      <c r="J76" s="88">
        <v>355</v>
      </c>
      <c r="K76" s="89">
        <v>0.75</v>
      </c>
      <c r="L76" s="89">
        <v>4</v>
      </c>
      <c r="M76" s="90">
        <v>1</v>
      </c>
      <c r="N76" s="90">
        <v>1.5</v>
      </c>
      <c r="O76" s="90">
        <v>1</v>
      </c>
      <c r="P76" s="90">
        <f t="shared" si="26"/>
        <v>178.33497562227353</v>
      </c>
      <c r="Q76" s="90">
        <v>0</v>
      </c>
      <c r="R76" s="90">
        <v>16.382495946053002</v>
      </c>
      <c r="S76" s="91">
        <f t="shared" si="21"/>
        <v>180.57829894664593</v>
      </c>
      <c r="T76" s="88">
        <f t="shared" si="22"/>
        <v>184.7936659148148</v>
      </c>
      <c r="U76" s="91">
        <f t="shared" si="23"/>
        <v>3.98004706603921</v>
      </c>
      <c r="V76" s="91">
        <f t="shared" si="24"/>
        <v>5.223474346104215</v>
      </c>
      <c r="W76" s="91">
        <f t="shared" si="25"/>
        <v>6.723474346104215</v>
      </c>
      <c r="X76" s="166" ph="1">
        <v>20</v>
      </c>
      <c r="Y76" s="91" t="str">
        <f t="shared" si="6"/>
        <v>OK</v>
      </c>
    </row>
    <row r="77" spans="1:25" ht="12" customHeight="1" x14ac:dyDescent="0.3">
      <c r="A77" s="87">
        <v>55</v>
      </c>
      <c r="B77" s="87" t="s">
        <v>140</v>
      </c>
      <c r="C77" s="87">
        <v>10.5</v>
      </c>
      <c r="D77" s="88">
        <v>0</v>
      </c>
      <c r="E77" s="88">
        <v>0</v>
      </c>
      <c r="F77" s="88">
        <f t="shared" si="19"/>
        <v>0</v>
      </c>
      <c r="G77" s="88">
        <f t="shared" si="27"/>
        <v>32.64199</v>
      </c>
      <c r="H77" s="88">
        <v>0</v>
      </c>
      <c r="I77" s="88">
        <f t="shared" si="20"/>
        <v>35.906189000000005</v>
      </c>
      <c r="J77" s="88">
        <v>355</v>
      </c>
      <c r="K77" s="89">
        <v>0.75</v>
      </c>
      <c r="L77" s="89">
        <v>4</v>
      </c>
      <c r="M77" s="90">
        <v>1</v>
      </c>
      <c r="N77" s="90">
        <v>1.5</v>
      </c>
      <c r="O77" s="90">
        <v>1</v>
      </c>
      <c r="P77" s="90">
        <f t="shared" si="26"/>
        <v>178.33497562227353</v>
      </c>
      <c r="Q77" s="90">
        <v>0</v>
      </c>
      <c r="R77" s="90">
        <v>12.210448764317601</v>
      </c>
      <c r="S77" s="91">
        <f t="shared" si="21"/>
        <v>179.58465610200381</v>
      </c>
      <c r="T77" s="88">
        <f t="shared" si="22"/>
        <v>186.08540161284955</v>
      </c>
      <c r="U77" s="91">
        <f t="shared" si="23"/>
        <v>3.98004706603921</v>
      </c>
      <c r="V77" s="91">
        <f t="shared" si="24"/>
        <v>5.2053130652181654</v>
      </c>
      <c r="W77" s="91">
        <f t="shared" si="25"/>
        <v>6.7053130652181654</v>
      </c>
      <c r="X77" s="166" ph="1">
        <v>20</v>
      </c>
      <c r="Y77" s="91" t="str">
        <f t="shared" si="6"/>
        <v>OK</v>
      </c>
    </row>
    <row r="78" spans="1:25" ht="12" customHeight="1" x14ac:dyDescent="0.3">
      <c r="A78" s="87">
        <v>56</v>
      </c>
      <c r="B78" s="87" t="s">
        <v>140</v>
      </c>
      <c r="C78" s="87">
        <v>10.5</v>
      </c>
      <c r="D78" s="88">
        <v>0</v>
      </c>
      <c r="E78" s="88">
        <v>0</v>
      </c>
      <c r="F78" s="88">
        <f t="shared" si="19"/>
        <v>0</v>
      </c>
      <c r="G78" s="88">
        <f t="shared" si="27"/>
        <v>32.64199</v>
      </c>
      <c r="H78" s="88">
        <v>0</v>
      </c>
      <c r="I78" s="88">
        <f t="shared" si="20"/>
        <v>35.906189000000005</v>
      </c>
      <c r="J78" s="88">
        <v>355</v>
      </c>
      <c r="K78" s="89">
        <v>0.75</v>
      </c>
      <c r="L78" s="89">
        <v>4</v>
      </c>
      <c r="M78" s="90">
        <v>1</v>
      </c>
      <c r="N78" s="90">
        <v>1.5</v>
      </c>
      <c r="O78" s="90">
        <v>1</v>
      </c>
      <c r="P78" s="90">
        <f t="shared" si="26"/>
        <v>178.33497562227353</v>
      </c>
      <c r="Q78" s="90">
        <v>0</v>
      </c>
      <c r="R78" s="90">
        <v>9.8032021422955307</v>
      </c>
      <c r="S78" s="91">
        <f t="shared" si="21"/>
        <v>179.14148555520302</v>
      </c>
      <c r="T78" s="88">
        <f t="shared" si="22"/>
        <v>186.66152332369057</v>
      </c>
      <c r="U78" s="91">
        <f t="shared" si="23"/>
        <v>3.98004706603921</v>
      </c>
      <c r="V78" s="91">
        <f t="shared" si="24"/>
        <v>5.1972738845180677</v>
      </c>
      <c r="W78" s="91">
        <f t="shared" si="25"/>
        <v>6.6972738845180677</v>
      </c>
      <c r="X78" s="166" ph="1">
        <v>20</v>
      </c>
      <c r="Y78" s="91" t="str">
        <f t="shared" si="6"/>
        <v>OK</v>
      </c>
    </row>
    <row r="79" spans="1:25" ht="12" customHeight="1" x14ac:dyDescent="0.3">
      <c r="A79" s="87">
        <v>57</v>
      </c>
      <c r="B79" s="87" t="s">
        <v>140</v>
      </c>
      <c r="C79" s="87">
        <v>10.5</v>
      </c>
      <c r="D79" s="88">
        <v>0</v>
      </c>
      <c r="E79" s="88">
        <v>0</v>
      </c>
      <c r="F79" s="88">
        <f t="shared" si="19"/>
        <v>0</v>
      </c>
      <c r="G79" s="88">
        <f t="shared" si="27"/>
        <v>32.64199</v>
      </c>
      <c r="H79" s="88">
        <v>0</v>
      </c>
      <c r="I79" s="88">
        <f t="shared" si="20"/>
        <v>35.906189000000005</v>
      </c>
      <c r="J79" s="88">
        <v>355</v>
      </c>
      <c r="K79" s="89">
        <v>0.75</v>
      </c>
      <c r="L79" s="89">
        <v>4</v>
      </c>
      <c r="M79" s="90">
        <v>1</v>
      </c>
      <c r="N79" s="90">
        <v>1.5</v>
      </c>
      <c r="O79" s="90">
        <v>1</v>
      </c>
      <c r="P79" s="90">
        <f t="shared" si="26"/>
        <v>178.33497562227353</v>
      </c>
      <c r="Q79" s="90">
        <v>0</v>
      </c>
      <c r="R79" s="90">
        <v>5.6311549605589697</v>
      </c>
      <c r="S79" s="91">
        <f t="shared" si="21"/>
        <v>178.60149285144954</v>
      </c>
      <c r="T79" s="88">
        <f t="shared" si="22"/>
        <v>187.3635138385701</v>
      </c>
      <c r="U79" s="91">
        <f t="shared" si="23"/>
        <v>3.98004706603921</v>
      </c>
      <c r="V79" s="91">
        <f t="shared" si="24"/>
        <v>5.1875284952190928</v>
      </c>
      <c r="W79" s="91">
        <f t="shared" si="25"/>
        <v>6.6875284952190928</v>
      </c>
      <c r="X79" s="166" ph="1">
        <v>20</v>
      </c>
      <c r="Y79" s="91" t="str">
        <f t="shared" si="6"/>
        <v>OK</v>
      </c>
    </row>
    <row r="80" spans="1:25" ht="12" customHeight="1" x14ac:dyDescent="0.3">
      <c r="A80" s="87">
        <v>58</v>
      </c>
      <c r="B80" s="87" t="s">
        <v>140</v>
      </c>
      <c r="C80" s="87">
        <v>10.5</v>
      </c>
      <c r="D80" s="88">
        <v>0</v>
      </c>
      <c r="E80" s="88">
        <v>0</v>
      </c>
      <c r="F80" s="88">
        <f t="shared" si="19"/>
        <v>0</v>
      </c>
      <c r="G80" s="88">
        <f t="shared" si="27"/>
        <v>32.64199</v>
      </c>
      <c r="H80" s="88">
        <v>0</v>
      </c>
      <c r="I80" s="88">
        <f t="shared" si="20"/>
        <v>35.906189000000005</v>
      </c>
      <c r="J80" s="88">
        <v>355</v>
      </c>
      <c r="K80" s="89">
        <v>0.75</v>
      </c>
      <c r="L80" s="89">
        <v>4</v>
      </c>
      <c r="M80" s="90">
        <v>1</v>
      </c>
      <c r="N80" s="90">
        <v>1.5</v>
      </c>
      <c r="O80" s="90">
        <v>1</v>
      </c>
      <c r="P80" s="90">
        <f t="shared" si="26"/>
        <v>178.33497562227353</v>
      </c>
      <c r="Q80" s="90">
        <v>0</v>
      </c>
      <c r="R80" s="90">
        <v>3.2239083385368401</v>
      </c>
      <c r="S80" s="91">
        <f t="shared" si="21"/>
        <v>178.42237607744931</v>
      </c>
      <c r="T80" s="88">
        <f t="shared" si="22"/>
        <v>187.5963656447704</v>
      </c>
      <c r="U80" s="91">
        <f t="shared" si="23"/>
        <v>3.98004706603921</v>
      </c>
      <c r="V80" s="91">
        <f t="shared" si="24"/>
        <v>5.1843080158688846</v>
      </c>
      <c r="W80" s="91">
        <f t="shared" si="25"/>
        <v>6.6843080158688846</v>
      </c>
      <c r="X80" s="166" ph="1">
        <v>20</v>
      </c>
      <c r="Y80" s="91" t="str">
        <f t="shared" si="6"/>
        <v>OK</v>
      </c>
    </row>
    <row r="81" spans="1:25" ht="12" customHeight="1" x14ac:dyDescent="0.3">
      <c r="A81" s="87">
        <v>59</v>
      </c>
      <c r="B81" s="87" t="s">
        <v>140</v>
      </c>
      <c r="C81" s="87">
        <v>10.5</v>
      </c>
      <c r="D81" s="88">
        <v>0</v>
      </c>
      <c r="E81" s="88">
        <v>0</v>
      </c>
      <c r="F81" s="88">
        <f t="shared" si="19"/>
        <v>0</v>
      </c>
      <c r="G81" s="88">
        <f t="shared" si="27"/>
        <v>32.64199</v>
      </c>
      <c r="H81" s="88">
        <v>0</v>
      </c>
      <c r="I81" s="88">
        <f t="shared" si="20"/>
        <v>35.906189000000005</v>
      </c>
      <c r="J81" s="88">
        <v>355</v>
      </c>
      <c r="K81" s="89">
        <v>0.75</v>
      </c>
      <c r="L81" s="89">
        <v>4</v>
      </c>
      <c r="M81" s="90">
        <v>1</v>
      </c>
      <c r="N81" s="90">
        <v>1.5</v>
      </c>
      <c r="O81" s="90">
        <v>1</v>
      </c>
      <c r="P81" s="90">
        <f t="shared" si="26"/>
        <v>178.33497562227353</v>
      </c>
      <c r="Q81" s="90">
        <v>0</v>
      </c>
      <c r="R81" s="90">
        <v>3.3553854652209099</v>
      </c>
      <c r="S81" s="91">
        <f t="shared" si="21"/>
        <v>178.42964822320741</v>
      </c>
      <c r="T81" s="88">
        <f t="shared" si="22"/>
        <v>187.58691185528488</v>
      </c>
      <c r="U81" s="91">
        <f t="shared" si="23"/>
        <v>3.98004706603921</v>
      </c>
      <c r="V81" s="91">
        <f t="shared" si="24"/>
        <v>5.1844386506200948</v>
      </c>
      <c r="W81" s="91">
        <f t="shared" si="25"/>
        <v>6.6844386506200948</v>
      </c>
      <c r="X81" s="166" ph="1">
        <v>20</v>
      </c>
      <c r="Y81" s="91" t="str">
        <f t="shared" si="6"/>
        <v>OK</v>
      </c>
    </row>
    <row r="82" spans="1:25" ht="12" customHeight="1" x14ac:dyDescent="0.3">
      <c r="A82" s="87">
        <v>60</v>
      </c>
      <c r="B82" s="87" t="s">
        <v>140</v>
      </c>
      <c r="C82" s="87">
        <v>10.5</v>
      </c>
      <c r="D82" s="88">
        <v>0</v>
      </c>
      <c r="E82" s="88">
        <v>0</v>
      </c>
      <c r="F82" s="88">
        <f t="shared" si="19"/>
        <v>0</v>
      </c>
      <c r="G82" s="88">
        <f t="shared" si="27"/>
        <v>32.64199</v>
      </c>
      <c r="H82" s="88">
        <v>0</v>
      </c>
      <c r="I82" s="88">
        <f t="shared" si="20"/>
        <v>35.906189000000005</v>
      </c>
      <c r="J82" s="88">
        <v>355</v>
      </c>
      <c r="K82" s="89">
        <v>0.75</v>
      </c>
      <c r="L82" s="89">
        <v>4</v>
      </c>
      <c r="M82" s="90">
        <v>1</v>
      </c>
      <c r="N82" s="90">
        <v>1.5</v>
      </c>
      <c r="O82" s="90">
        <v>1</v>
      </c>
      <c r="P82" s="90">
        <f t="shared" si="26"/>
        <v>178.33497562227353</v>
      </c>
      <c r="Q82" s="90">
        <v>0</v>
      </c>
      <c r="R82" s="90">
        <v>5.7626320872430696</v>
      </c>
      <c r="S82" s="91">
        <f t="shared" si="21"/>
        <v>178.61407367818379</v>
      </c>
      <c r="T82" s="88">
        <f t="shared" si="22"/>
        <v>187.34715876381557</v>
      </c>
      <c r="U82" s="91">
        <f t="shared" si="23"/>
        <v>3.98004706603921</v>
      </c>
      <c r="V82" s="91">
        <f t="shared" si="24"/>
        <v>5.187754921297083</v>
      </c>
      <c r="W82" s="91">
        <f t="shared" si="25"/>
        <v>6.687754921297083</v>
      </c>
      <c r="X82" s="166" ph="1">
        <v>20</v>
      </c>
      <c r="Y82" s="91" t="str">
        <f t="shared" si="6"/>
        <v>OK</v>
      </c>
    </row>
    <row r="83" spans="1:25" ht="12" customHeight="1" x14ac:dyDescent="0.3">
      <c r="A83" s="87">
        <v>61</v>
      </c>
      <c r="B83" s="87" t="s">
        <v>140</v>
      </c>
      <c r="C83" s="87">
        <v>10.5</v>
      </c>
      <c r="D83" s="88">
        <v>0</v>
      </c>
      <c r="E83" s="88">
        <v>0</v>
      </c>
      <c r="F83" s="88">
        <f t="shared" si="19"/>
        <v>0</v>
      </c>
      <c r="G83" s="88">
        <f t="shared" si="27"/>
        <v>32.64199</v>
      </c>
      <c r="H83" s="88">
        <v>0</v>
      </c>
      <c r="I83" s="88">
        <f t="shared" si="20"/>
        <v>35.906189000000005</v>
      </c>
      <c r="J83" s="88">
        <v>355</v>
      </c>
      <c r="K83" s="89">
        <v>0.75</v>
      </c>
      <c r="L83" s="89">
        <v>4</v>
      </c>
      <c r="M83" s="90">
        <v>1</v>
      </c>
      <c r="N83" s="90">
        <v>1.5</v>
      </c>
      <c r="O83" s="90">
        <v>1</v>
      </c>
      <c r="P83" s="90">
        <f t="shared" si="26"/>
        <v>178.33497562227353</v>
      </c>
      <c r="Q83" s="90">
        <v>0</v>
      </c>
      <c r="R83" s="90">
        <v>9.9346792689791705</v>
      </c>
      <c r="S83" s="91">
        <f t="shared" si="21"/>
        <v>179.16321354209225</v>
      </c>
      <c r="T83" s="88">
        <f t="shared" si="22"/>
        <v>186.63327694073459</v>
      </c>
      <c r="U83" s="91">
        <f t="shared" si="23"/>
        <v>3.98004706603921</v>
      </c>
      <c r="V83" s="91">
        <f t="shared" si="24"/>
        <v>5.1976671654932058</v>
      </c>
      <c r="W83" s="91">
        <f t="shared" si="25"/>
        <v>6.6976671654932058</v>
      </c>
      <c r="X83" s="166" ph="1">
        <v>20</v>
      </c>
      <c r="Y83" s="91" t="str">
        <f t="shared" si="6"/>
        <v>OK</v>
      </c>
    </row>
    <row r="84" spans="1:25" ht="12" customHeight="1" x14ac:dyDescent="0.3">
      <c r="A84" s="87">
        <v>62</v>
      </c>
      <c r="B84" s="87" t="s">
        <v>140</v>
      </c>
      <c r="C84" s="87">
        <v>10.5</v>
      </c>
      <c r="D84" s="88">
        <v>0</v>
      </c>
      <c r="E84" s="88">
        <v>0</v>
      </c>
      <c r="F84" s="88">
        <f t="shared" si="19"/>
        <v>0</v>
      </c>
      <c r="G84" s="88">
        <f t="shared" si="27"/>
        <v>32.64199</v>
      </c>
      <c r="H84" s="88">
        <v>0</v>
      </c>
      <c r="I84" s="88">
        <f t="shared" si="20"/>
        <v>35.906189000000005</v>
      </c>
      <c r="J84" s="88">
        <v>355</v>
      </c>
      <c r="K84" s="89">
        <v>0.75</v>
      </c>
      <c r="L84" s="89">
        <v>4</v>
      </c>
      <c r="M84" s="90">
        <v>1</v>
      </c>
      <c r="N84" s="90">
        <v>1.5</v>
      </c>
      <c r="O84" s="90">
        <v>1</v>
      </c>
      <c r="P84" s="90">
        <f t="shared" si="26"/>
        <v>178.33497562227353</v>
      </c>
      <c r="Q84" s="90">
        <v>0</v>
      </c>
      <c r="R84" s="90">
        <v>12.3419258910014</v>
      </c>
      <c r="S84" s="91">
        <f t="shared" si="21"/>
        <v>179.61161692466834</v>
      </c>
      <c r="T84" s="88">
        <f t="shared" si="22"/>
        <v>186.05035254338566</v>
      </c>
      <c r="U84" s="91">
        <f t="shared" si="23"/>
        <v>3.98004706603921</v>
      </c>
      <c r="V84" s="91">
        <f t="shared" si="24"/>
        <v>5.2058033432133985</v>
      </c>
      <c r="W84" s="91">
        <f t="shared" si="25"/>
        <v>6.7058033432133985</v>
      </c>
      <c r="X84" s="166" ph="1">
        <v>20</v>
      </c>
      <c r="Y84" s="91" t="str">
        <f t="shared" si="6"/>
        <v>OK</v>
      </c>
    </row>
    <row r="85" spans="1:25" ht="12" customHeight="1" x14ac:dyDescent="0.3">
      <c r="A85" s="87">
        <v>63</v>
      </c>
      <c r="B85" s="87" t="s">
        <v>140</v>
      </c>
      <c r="C85" s="87">
        <v>10.5</v>
      </c>
      <c r="D85" s="88">
        <v>0</v>
      </c>
      <c r="E85" s="88">
        <v>0</v>
      </c>
      <c r="F85" s="88">
        <f t="shared" si="19"/>
        <v>0</v>
      </c>
      <c r="G85" s="88">
        <f t="shared" si="27"/>
        <v>32.64199</v>
      </c>
      <c r="H85" s="88">
        <v>0</v>
      </c>
      <c r="I85" s="88">
        <f t="shared" si="20"/>
        <v>35.906189000000005</v>
      </c>
      <c r="J85" s="88">
        <v>355</v>
      </c>
      <c r="K85" s="89">
        <v>0.75</v>
      </c>
      <c r="L85" s="89">
        <v>4</v>
      </c>
      <c r="M85" s="90">
        <v>1</v>
      </c>
      <c r="N85" s="90">
        <v>1.5</v>
      </c>
      <c r="O85" s="90">
        <v>1</v>
      </c>
      <c r="P85" s="90">
        <f t="shared" si="26"/>
        <v>178.33497562227353</v>
      </c>
      <c r="Q85" s="90">
        <v>0</v>
      </c>
      <c r="R85" s="90">
        <v>16.5139721580329</v>
      </c>
      <c r="S85" s="91">
        <f t="shared" si="21"/>
        <v>180.614222472943</v>
      </c>
      <c r="T85" s="88">
        <f t="shared" si="22"/>
        <v>184.7469653306286</v>
      </c>
      <c r="U85" s="91">
        <f t="shared" si="23"/>
        <v>3.98004706603921</v>
      </c>
      <c r="V85" s="91">
        <f t="shared" si="24"/>
        <v>5.2241345027923938</v>
      </c>
      <c r="W85" s="91">
        <f t="shared" si="25"/>
        <v>6.7241345027923938</v>
      </c>
      <c r="X85" s="166" ph="1">
        <v>20</v>
      </c>
      <c r="Y85" s="91" t="str">
        <f t="shared" si="6"/>
        <v>OK</v>
      </c>
    </row>
    <row r="86" spans="1:25" ht="12" customHeight="1" x14ac:dyDescent="0.3">
      <c r="A86" s="87">
        <v>64</v>
      </c>
      <c r="B86" s="87" t="s">
        <v>140</v>
      </c>
      <c r="C86" s="87">
        <v>10.5</v>
      </c>
      <c r="D86" s="88">
        <v>0</v>
      </c>
      <c r="E86" s="88">
        <v>0</v>
      </c>
      <c r="F86" s="88">
        <f t="shared" si="19"/>
        <v>0</v>
      </c>
      <c r="G86" s="88">
        <f t="shared" si="27"/>
        <v>32.64199</v>
      </c>
      <c r="H86" s="88">
        <v>0</v>
      </c>
      <c r="I86" s="88">
        <f t="shared" si="20"/>
        <v>35.906189000000005</v>
      </c>
      <c r="J86" s="88">
        <v>355</v>
      </c>
      <c r="K86" s="89">
        <v>0.75</v>
      </c>
      <c r="L86" s="89">
        <v>4</v>
      </c>
      <c r="M86" s="90">
        <v>1</v>
      </c>
      <c r="N86" s="90">
        <v>1.5</v>
      </c>
      <c r="O86" s="90">
        <v>1</v>
      </c>
      <c r="P86" s="90">
        <f t="shared" si="26"/>
        <v>178.33497562227353</v>
      </c>
      <c r="Q86" s="90">
        <v>0</v>
      </c>
      <c r="R86" s="90">
        <v>18.9212178653504</v>
      </c>
      <c r="S86" s="91">
        <f t="shared" si="21"/>
        <v>181.32126457401804</v>
      </c>
      <c r="T86" s="88">
        <f t="shared" si="22"/>
        <v>183.82781059923104</v>
      </c>
      <c r="U86" s="91">
        <f t="shared" si="23"/>
        <v>3.98004706603921</v>
      </c>
      <c r="V86" s="91">
        <f t="shared" si="24"/>
        <v>5.2371787765399755</v>
      </c>
      <c r="W86" s="91">
        <f t="shared" si="25"/>
        <v>6.7371787765399755</v>
      </c>
      <c r="X86" s="166" ph="1">
        <v>20</v>
      </c>
      <c r="Y86" s="91" t="str">
        <f t="shared" si="6"/>
        <v>OK</v>
      </c>
    </row>
    <row r="87" spans="1:25" ht="12" customHeight="1" x14ac:dyDescent="0.3">
      <c r="A87" s="92">
        <v>65</v>
      </c>
      <c r="B87" s="92" t="s">
        <v>141</v>
      </c>
      <c r="C87" s="92">
        <v>0</v>
      </c>
      <c r="D87" s="93">
        <v>0</v>
      </c>
      <c r="E87" s="93">
        <v>0</v>
      </c>
      <c r="F87" s="93">
        <f t="shared" ref="F87:F116" si="28">D87*$F$18+E87*$F$17</f>
        <v>0</v>
      </c>
      <c r="G87" s="93">
        <f t="shared" ref="G87:G116" si="29">1.025*9.81*(($F$10+0.76)-C87)+25</f>
        <v>138.22211499999997</v>
      </c>
      <c r="H87" s="93">
        <v>0</v>
      </c>
      <c r="I87" s="93">
        <f t="shared" ref="I87:I116" si="30">G87*$F$18+H87*$F$17</f>
        <v>152.04432649999998</v>
      </c>
      <c r="J87" s="93">
        <v>355</v>
      </c>
      <c r="K87" s="94">
        <v>0.75</v>
      </c>
      <c r="L87" s="94">
        <v>4</v>
      </c>
      <c r="M87" s="95">
        <v>1</v>
      </c>
      <c r="N87" s="95">
        <v>1.5</v>
      </c>
      <c r="O87" s="95">
        <v>1</v>
      </c>
      <c r="P87" s="95">
        <f t="shared" ref="P87:P97" si="31">$M$11/ABS(($M$12/(C87-$M$13)))/1000</f>
        <v>199.41714139081347</v>
      </c>
      <c r="Q87" s="95">
        <v>0</v>
      </c>
      <c r="R87" s="95">
        <v>62.706326521937299</v>
      </c>
      <c r="S87" s="96">
        <f t="shared" ref="S87:S116" si="32">SQRT(P87^2+Q87^2-P87*Q87+3*R87^2)</f>
        <v>227.07586053588159</v>
      </c>
      <c r="T87" s="93">
        <f t="shared" ref="T87:T116" si="33">MIN(J87/$F$7,1.3*(J87/$F$7-S87))</f>
        <v>124.34683584880844</v>
      </c>
      <c r="U87" s="96">
        <f t="shared" ref="U87:U116" si="34">14.3*$F$8/SQRT(J87/$F$7)</f>
        <v>3.98004706603921</v>
      </c>
      <c r="V87" s="96">
        <f>15.8*M87*K87*SQRT(I87)/SQRT(T87*O87)</f>
        <v>13.103463117742887</v>
      </c>
      <c r="W87" s="96">
        <f t="shared" ref="W87:W116" si="35">MAX(U87,V87)+N87</f>
        <v>14.603463117742887</v>
      </c>
      <c r="X87" s="179" ph="1">
        <v>14.5</v>
      </c>
      <c r="Y87" s="96" t="str">
        <f t="shared" si="6"/>
        <v>OK</v>
      </c>
    </row>
    <row r="88" spans="1:25" ht="12" customHeight="1" x14ac:dyDescent="0.3">
      <c r="A88" s="92">
        <v>66</v>
      </c>
      <c r="B88" s="92" t="s">
        <v>141</v>
      </c>
      <c r="C88" s="92">
        <v>0.35000001662410801</v>
      </c>
      <c r="D88" s="93">
        <v>0</v>
      </c>
      <c r="E88" s="93">
        <v>0</v>
      </c>
      <c r="F88" s="93">
        <f t="shared" si="28"/>
        <v>0</v>
      </c>
      <c r="G88" s="93">
        <f t="shared" si="29"/>
        <v>134.70277733284041</v>
      </c>
      <c r="H88" s="93">
        <v>0</v>
      </c>
      <c r="I88" s="93">
        <f t="shared" si="30"/>
        <v>148.17305506612448</v>
      </c>
      <c r="J88" s="93">
        <v>355</v>
      </c>
      <c r="K88" s="94">
        <v>0.75</v>
      </c>
      <c r="L88" s="94">
        <v>4</v>
      </c>
      <c r="M88" s="95">
        <v>1</v>
      </c>
      <c r="N88" s="95">
        <v>1.5</v>
      </c>
      <c r="O88" s="95">
        <v>1</v>
      </c>
      <c r="P88" s="95">
        <f t="shared" si="31"/>
        <v>186.82540355896845</v>
      </c>
      <c r="Q88" s="95">
        <v>0</v>
      </c>
      <c r="R88" s="95">
        <v>65.015895908695498</v>
      </c>
      <c r="S88" s="96">
        <f t="shared" si="32"/>
        <v>218.13970655844022</v>
      </c>
      <c r="T88" s="93">
        <f t="shared" si="33"/>
        <v>135.96383601948222</v>
      </c>
      <c r="U88" s="96">
        <f t="shared" si="34"/>
        <v>3.98004706603921</v>
      </c>
      <c r="V88" s="96">
        <f>15.8*M88*K88*SQRT(I88)/SQRT(T88*O88)</f>
        <v>12.370614218299218</v>
      </c>
      <c r="W88" s="96">
        <f t="shared" si="35"/>
        <v>13.870614218299218</v>
      </c>
      <c r="X88" s="179" ph="1">
        <v>14.5</v>
      </c>
      <c r="Y88" s="96" t="str">
        <f t="shared" ref="Y88:Y116" si="36">IF(MROUND(W88,0.5)&lt;=X88,"OK","N.G")</f>
        <v>OK</v>
      </c>
    </row>
    <row r="89" spans="1:25" ht="12" customHeight="1" x14ac:dyDescent="0.3">
      <c r="A89" s="92">
        <v>67</v>
      </c>
      <c r="B89" s="92" t="s">
        <v>141</v>
      </c>
      <c r="C89" s="92">
        <v>0.70000003324821602</v>
      </c>
      <c r="D89" s="93">
        <v>0</v>
      </c>
      <c r="E89" s="93">
        <v>0</v>
      </c>
      <c r="F89" s="93">
        <f t="shared" si="28"/>
        <v>0</v>
      </c>
      <c r="G89" s="93">
        <f t="shared" si="29"/>
        <v>131.18343966568085</v>
      </c>
      <c r="H89" s="93">
        <v>0</v>
      </c>
      <c r="I89" s="93">
        <f t="shared" si="30"/>
        <v>144.30178363224894</v>
      </c>
      <c r="J89" s="93">
        <v>355</v>
      </c>
      <c r="K89" s="94">
        <v>0.75</v>
      </c>
      <c r="L89" s="94">
        <v>4</v>
      </c>
      <c r="M89" s="95">
        <v>1</v>
      </c>
      <c r="N89" s="95">
        <v>1.5</v>
      </c>
      <c r="O89" s="95">
        <v>1</v>
      </c>
      <c r="P89" s="95">
        <f t="shared" si="31"/>
        <v>174.23366572712345</v>
      </c>
      <c r="Q89" s="95">
        <v>0</v>
      </c>
      <c r="R89" s="95">
        <v>67.165593957613197</v>
      </c>
      <c r="S89" s="96">
        <f t="shared" si="32"/>
        <v>209.50184082185982</v>
      </c>
      <c r="T89" s="93">
        <f t="shared" si="33"/>
        <v>147.19306147703674</v>
      </c>
      <c r="U89" s="96">
        <f t="shared" si="34"/>
        <v>3.98004706603921</v>
      </c>
      <c r="V89" s="96">
        <f t="shared" ref="V89:V116" si="37">15.8*M89*K89*SQRT(I89)/SQRT(T89*O89)</f>
        <v>11.733039446926767</v>
      </c>
      <c r="W89" s="96">
        <f t="shared" si="35"/>
        <v>13.233039446926767</v>
      </c>
      <c r="X89" s="179" ph="1">
        <v>14.5</v>
      </c>
      <c r="Y89" s="96" t="str">
        <f t="shared" si="36"/>
        <v>OK</v>
      </c>
    </row>
    <row r="90" spans="1:25" ht="12" customHeight="1" x14ac:dyDescent="0.3">
      <c r="A90" s="92">
        <v>68</v>
      </c>
      <c r="B90" s="92" t="s">
        <v>141</v>
      </c>
      <c r="C90" s="92">
        <v>1.0500000498723201</v>
      </c>
      <c r="D90" s="93">
        <v>0</v>
      </c>
      <c r="E90" s="93">
        <v>0</v>
      </c>
      <c r="F90" s="93">
        <f t="shared" si="28"/>
        <v>0</v>
      </c>
      <c r="G90" s="93">
        <f t="shared" si="29"/>
        <v>127.66410199852135</v>
      </c>
      <c r="H90" s="93">
        <v>0</v>
      </c>
      <c r="I90" s="93">
        <f t="shared" si="30"/>
        <v>140.43051219837349</v>
      </c>
      <c r="J90" s="93">
        <v>355</v>
      </c>
      <c r="K90" s="94">
        <v>0.75</v>
      </c>
      <c r="L90" s="94">
        <v>4</v>
      </c>
      <c r="M90" s="95">
        <v>1</v>
      </c>
      <c r="N90" s="95">
        <v>1.5</v>
      </c>
      <c r="O90" s="95">
        <v>1</v>
      </c>
      <c r="P90" s="95">
        <f t="shared" si="31"/>
        <v>161.6419278952786</v>
      </c>
      <c r="Q90" s="95">
        <v>0</v>
      </c>
      <c r="R90" s="95">
        <v>69.155420668690397</v>
      </c>
      <c r="S90" s="96">
        <f t="shared" si="32"/>
        <v>201.18531128612008</v>
      </c>
      <c r="T90" s="93">
        <f t="shared" si="33"/>
        <v>158.00454987349841</v>
      </c>
      <c r="U90" s="96">
        <f t="shared" si="34"/>
        <v>3.98004706603921</v>
      </c>
      <c r="V90" s="96">
        <f t="shared" si="37"/>
        <v>11.17157212644231</v>
      </c>
      <c r="W90" s="96">
        <f t="shared" si="35"/>
        <v>12.67157212644231</v>
      </c>
      <c r="X90" s="179" ph="1">
        <v>14.5</v>
      </c>
      <c r="Y90" s="96" t="str">
        <f t="shared" si="36"/>
        <v>OK</v>
      </c>
    </row>
    <row r="91" spans="1:25" ht="12" customHeight="1" x14ac:dyDescent="0.3">
      <c r="A91" s="92">
        <v>69</v>
      </c>
      <c r="B91" s="92" t="s">
        <v>141</v>
      </c>
      <c r="C91" s="92">
        <v>1.4000000664964301</v>
      </c>
      <c r="D91" s="93">
        <v>0</v>
      </c>
      <c r="E91" s="93">
        <v>0</v>
      </c>
      <c r="F91" s="93">
        <f t="shared" si="28"/>
        <v>0</v>
      </c>
      <c r="G91" s="93">
        <f t="shared" si="29"/>
        <v>124.14476433136176</v>
      </c>
      <c r="H91" s="93">
        <v>0</v>
      </c>
      <c r="I91" s="93">
        <f t="shared" si="30"/>
        <v>136.55924076449793</v>
      </c>
      <c r="J91" s="93">
        <v>355</v>
      </c>
      <c r="K91" s="94">
        <v>0.75</v>
      </c>
      <c r="L91" s="94">
        <v>4</v>
      </c>
      <c r="M91" s="95">
        <v>1</v>
      </c>
      <c r="N91" s="95">
        <v>1.5</v>
      </c>
      <c r="O91" s="95">
        <v>1</v>
      </c>
      <c r="P91" s="95">
        <f t="shared" si="31"/>
        <v>149.05019006343355</v>
      </c>
      <c r="Q91" s="95">
        <v>0</v>
      </c>
      <c r="R91" s="95">
        <v>70.985376041927495</v>
      </c>
      <c r="S91" s="96">
        <f t="shared" si="32"/>
        <v>193.21679531911099</v>
      </c>
      <c r="T91" s="93">
        <f t="shared" si="33"/>
        <v>168.36362063061023</v>
      </c>
      <c r="U91" s="96">
        <f t="shared" si="34"/>
        <v>3.98004706603921</v>
      </c>
      <c r="V91" s="96">
        <f t="shared" si="37"/>
        <v>10.672219987428445</v>
      </c>
      <c r="W91" s="96">
        <f t="shared" si="35"/>
        <v>12.172219987428445</v>
      </c>
      <c r="X91" s="162" ph="1">
        <v>12</v>
      </c>
      <c r="Y91" s="96" t="str">
        <f t="shared" si="36"/>
        <v>OK</v>
      </c>
    </row>
    <row r="92" spans="1:25" ht="12" customHeight="1" x14ac:dyDescent="0.3">
      <c r="A92" s="92">
        <v>70</v>
      </c>
      <c r="B92" s="92" t="s">
        <v>141</v>
      </c>
      <c r="C92" s="92">
        <v>1.75000008312054</v>
      </c>
      <c r="D92" s="93">
        <v>0</v>
      </c>
      <c r="E92" s="93">
        <v>0</v>
      </c>
      <c r="F92" s="93">
        <f t="shared" si="28"/>
        <v>0</v>
      </c>
      <c r="G92" s="93">
        <f t="shared" si="29"/>
        <v>120.62542666420218</v>
      </c>
      <c r="H92" s="93">
        <v>0</v>
      </c>
      <c r="I92" s="93">
        <f t="shared" si="30"/>
        <v>132.68796933062242</v>
      </c>
      <c r="J92" s="93">
        <v>355</v>
      </c>
      <c r="K92" s="94">
        <v>0.75</v>
      </c>
      <c r="L92" s="94">
        <v>4</v>
      </c>
      <c r="M92" s="95">
        <v>1</v>
      </c>
      <c r="N92" s="95">
        <v>1.5</v>
      </c>
      <c r="O92" s="95">
        <v>1</v>
      </c>
      <c r="P92" s="95">
        <f t="shared" si="31"/>
        <v>136.45845223158852</v>
      </c>
      <c r="Q92" s="95">
        <v>0</v>
      </c>
      <c r="R92" s="95">
        <v>72.655460077323994</v>
      </c>
      <c r="S92" s="96">
        <f t="shared" si="32"/>
        <v>185.62692914171583</v>
      </c>
      <c r="T92" s="93">
        <f t="shared" si="33"/>
        <v>178.23044666122391</v>
      </c>
      <c r="U92" s="96">
        <f t="shared" si="34"/>
        <v>3.98004706603921</v>
      </c>
      <c r="V92" s="96">
        <f t="shared" si="37"/>
        <v>10.224525830439863</v>
      </c>
      <c r="W92" s="96">
        <f t="shared" si="35"/>
        <v>11.724525830439863</v>
      </c>
      <c r="X92" s="162" ph="1">
        <v>12</v>
      </c>
      <c r="Y92" s="96" t="str">
        <f t="shared" si="36"/>
        <v>OK</v>
      </c>
    </row>
    <row r="93" spans="1:25" ht="12" customHeight="1" x14ac:dyDescent="0.3">
      <c r="A93" s="92">
        <v>71</v>
      </c>
      <c r="B93" s="92" t="s">
        <v>141</v>
      </c>
      <c r="C93" s="92">
        <v>2.10000009974465</v>
      </c>
      <c r="D93" s="93">
        <v>0</v>
      </c>
      <c r="E93" s="93">
        <v>0</v>
      </c>
      <c r="F93" s="93">
        <f t="shared" si="28"/>
        <v>0</v>
      </c>
      <c r="G93" s="93">
        <f t="shared" si="29"/>
        <v>117.1060889970426</v>
      </c>
      <c r="H93" s="93">
        <v>0</v>
      </c>
      <c r="I93" s="93">
        <f t="shared" si="30"/>
        <v>128.81669789674689</v>
      </c>
      <c r="J93" s="93">
        <v>355</v>
      </c>
      <c r="K93" s="94">
        <v>0.75</v>
      </c>
      <c r="L93" s="94">
        <v>4</v>
      </c>
      <c r="M93" s="95">
        <v>1</v>
      </c>
      <c r="N93" s="95">
        <v>1.5</v>
      </c>
      <c r="O93" s="95">
        <v>1</v>
      </c>
      <c r="P93" s="95">
        <f t="shared" si="31"/>
        <v>123.86671439974342</v>
      </c>
      <c r="Q93" s="95">
        <v>0</v>
      </c>
      <c r="R93" s="95">
        <v>74.165672774880406</v>
      </c>
      <c r="S93" s="96">
        <f t="shared" si="32"/>
        <v>178.45056455679682</v>
      </c>
      <c r="T93" s="93">
        <f t="shared" si="33"/>
        <v>187.55972062161865</v>
      </c>
      <c r="U93" s="96">
        <f t="shared" si="34"/>
        <v>3.98004706603921</v>
      </c>
      <c r="V93" s="96">
        <f t="shared" si="37"/>
        <v>9.8205235823489154</v>
      </c>
      <c r="W93" s="96">
        <f t="shared" si="35"/>
        <v>11.320523582348915</v>
      </c>
      <c r="X93" s="162" ph="1">
        <v>12</v>
      </c>
      <c r="Y93" s="96" t="str">
        <f t="shared" si="36"/>
        <v>OK</v>
      </c>
    </row>
    <row r="94" spans="1:25" ht="12" customHeight="1" x14ac:dyDescent="0.3">
      <c r="A94" s="92">
        <v>72</v>
      </c>
      <c r="B94" s="92" t="s">
        <v>141</v>
      </c>
      <c r="C94" s="92">
        <v>2.4500001163687601</v>
      </c>
      <c r="D94" s="93">
        <v>0</v>
      </c>
      <c r="E94" s="93">
        <v>0</v>
      </c>
      <c r="F94" s="93">
        <f t="shared" si="28"/>
        <v>0</v>
      </c>
      <c r="G94" s="93">
        <f t="shared" si="29"/>
        <v>113.586751329883</v>
      </c>
      <c r="H94" s="93">
        <v>0</v>
      </c>
      <c r="I94" s="93">
        <f t="shared" si="30"/>
        <v>124.94542646287131</v>
      </c>
      <c r="J94" s="93">
        <v>355</v>
      </c>
      <c r="K94" s="94">
        <v>0.75</v>
      </c>
      <c r="L94" s="94">
        <v>4</v>
      </c>
      <c r="M94" s="95">
        <v>1</v>
      </c>
      <c r="N94" s="95">
        <v>1.5</v>
      </c>
      <c r="O94" s="95">
        <v>1</v>
      </c>
      <c r="P94" s="95">
        <f t="shared" si="31"/>
        <v>111.27497656789835</v>
      </c>
      <c r="Q94" s="95">
        <v>0</v>
      </c>
      <c r="R94" s="95">
        <v>75.516014134596503</v>
      </c>
      <c r="S94" s="96">
        <f t="shared" si="32"/>
        <v>171.72689242665535</v>
      </c>
      <c r="T94" s="93">
        <f t="shared" si="33"/>
        <v>196.30049439080256</v>
      </c>
      <c r="U94" s="96">
        <f t="shared" si="34"/>
        <v>3.98004706603921</v>
      </c>
      <c r="V94" s="96">
        <f t="shared" si="37"/>
        <v>9.454048708394005</v>
      </c>
      <c r="W94" s="96">
        <f t="shared" si="35"/>
        <v>10.954048708394005</v>
      </c>
      <c r="X94" s="162" ph="1">
        <v>12</v>
      </c>
      <c r="Y94" s="96" t="str">
        <f t="shared" si="36"/>
        <v>OK</v>
      </c>
    </row>
    <row r="95" spans="1:25" ht="12" customHeight="1" x14ac:dyDescent="0.3">
      <c r="A95" s="92">
        <v>73</v>
      </c>
      <c r="B95" s="92" t="s">
        <v>141</v>
      </c>
      <c r="C95" s="92">
        <v>2.8000001329928601</v>
      </c>
      <c r="D95" s="93">
        <v>0</v>
      </c>
      <c r="E95" s="93">
        <v>0</v>
      </c>
      <c r="F95" s="93">
        <f t="shared" si="28"/>
        <v>0</v>
      </c>
      <c r="G95" s="93">
        <f t="shared" si="29"/>
        <v>110.06741366272354</v>
      </c>
      <c r="H95" s="93">
        <v>0</v>
      </c>
      <c r="I95" s="93">
        <f t="shared" si="30"/>
        <v>121.0741550289959</v>
      </c>
      <c r="J95" s="93">
        <v>355</v>
      </c>
      <c r="K95" s="94">
        <v>0.75</v>
      </c>
      <c r="L95" s="94">
        <v>4</v>
      </c>
      <c r="M95" s="95">
        <v>1</v>
      </c>
      <c r="N95" s="95">
        <v>1.5</v>
      </c>
      <c r="O95" s="95">
        <v>1</v>
      </c>
      <c r="P95" s="95">
        <f t="shared" si="31"/>
        <v>98.683238736053653</v>
      </c>
      <c r="Q95" s="95">
        <v>0</v>
      </c>
      <c r="R95" s="95">
        <v>76.7064841564722</v>
      </c>
      <c r="S95" s="96">
        <f t="shared" si="32"/>
        <v>165.49935269474113</v>
      </c>
      <c r="T95" s="93">
        <f t="shared" si="33"/>
        <v>204.39629604229103</v>
      </c>
      <c r="U95" s="96">
        <f t="shared" si="34"/>
        <v>3.98004706603921</v>
      </c>
      <c r="V95" s="96">
        <f t="shared" si="37"/>
        <v>9.120267216757</v>
      </c>
      <c r="W95" s="96">
        <f t="shared" si="35"/>
        <v>10.620267216757</v>
      </c>
      <c r="X95" s="162" ph="1">
        <v>12</v>
      </c>
      <c r="Y95" s="96" t="str">
        <f t="shared" si="36"/>
        <v>OK</v>
      </c>
    </row>
    <row r="96" spans="1:25" ht="12" customHeight="1" x14ac:dyDescent="0.3">
      <c r="A96" s="92">
        <v>74</v>
      </c>
      <c r="B96" s="92" t="s">
        <v>141</v>
      </c>
      <c r="C96" s="92">
        <v>3.1500001496169698</v>
      </c>
      <c r="D96" s="93">
        <v>0</v>
      </c>
      <c r="E96" s="93">
        <v>0</v>
      </c>
      <c r="F96" s="93">
        <f t="shared" si="28"/>
        <v>0</v>
      </c>
      <c r="G96" s="93">
        <f t="shared" si="29"/>
        <v>106.54807599556395</v>
      </c>
      <c r="H96" s="93">
        <v>0</v>
      </c>
      <c r="I96" s="93">
        <f t="shared" si="30"/>
        <v>117.20288359512035</v>
      </c>
      <c r="J96" s="93">
        <v>355</v>
      </c>
      <c r="K96" s="94">
        <v>0.75</v>
      </c>
      <c r="L96" s="94">
        <v>4</v>
      </c>
      <c r="M96" s="95">
        <v>1</v>
      </c>
      <c r="N96" s="95">
        <v>1.5</v>
      </c>
      <c r="O96" s="95">
        <v>1</v>
      </c>
      <c r="P96" s="95">
        <f t="shared" si="31"/>
        <v>86.091500904208587</v>
      </c>
      <c r="Q96" s="95">
        <v>0</v>
      </c>
      <c r="R96" s="95">
        <v>77.737082840507199</v>
      </c>
      <c r="S96" s="96">
        <f t="shared" si="32"/>
        <v>159.81523292100471</v>
      </c>
      <c r="T96" s="93">
        <f t="shared" si="33"/>
        <v>211.78565174814838</v>
      </c>
      <c r="U96" s="96">
        <f t="shared" si="34"/>
        <v>3.98004706603921</v>
      </c>
      <c r="V96" s="96">
        <f t="shared" si="37"/>
        <v>8.815343341359922</v>
      </c>
      <c r="W96" s="96">
        <f t="shared" si="35"/>
        <v>10.315343341359922</v>
      </c>
      <c r="X96" s="162" ph="1">
        <v>12</v>
      </c>
      <c r="Y96" s="96" t="str">
        <f t="shared" si="36"/>
        <v>OK</v>
      </c>
    </row>
    <row r="97" spans="1:25" ht="12" customHeight="1" x14ac:dyDescent="0.3">
      <c r="A97" s="92">
        <v>75</v>
      </c>
      <c r="B97" s="92" t="s">
        <v>141</v>
      </c>
      <c r="C97" s="92">
        <v>3.50000016624108</v>
      </c>
      <c r="D97" s="93">
        <v>0</v>
      </c>
      <c r="E97" s="93">
        <v>0</v>
      </c>
      <c r="F97" s="93">
        <f t="shared" si="28"/>
        <v>0</v>
      </c>
      <c r="G97" s="93">
        <f t="shared" si="29"/>
        <v>103.02873832840437</v>
      </c>
      <c r="H97" s="93">
        <v>0</v>
      </c>
      <c r="I97" s="93">
        <f t="shared" si="30"/>
        <v>113.33161216124482</v>
      </c>
      <c r="J97" s="93">
        <v>355</v>
      </c>
      <c r="K97" s="94">
        <v>0.75</v>
      </c>
      <c r="L97" s="94">
        <v>4</v>
      </c>
      <c r="M97" s="95">
        <v>1</v>
      </c>
      <c r="N97" s="95">
        <v>1.5</v>
      </c>
      <c r="O97" s="95">
        <v>1</v>
      </c>
      <c r="P97" s="95">
        <f t="shared" si="31"/>
        <v>73.499763072363507</v>
      </c>
      <c r="Q97" s="95">
        <v>0</v>
      </c>
      <c r="R97" s="95">
        <v>78.607810186701897</v>
      </c>
      <c r="S97" s="96">
        <f t="shared" si="32"/>
        <v>154.72484816195242</v>
      </c>
      <c r="T97" s="93">
        <f t="shared" si="33"/>
        <v>218.40315193491637</v>
      </c>
      <c r="U97" s="96">
        <f t="shared" si="34"/>
        <v>3.98004706603921</v>
      </c>
      <c r="V97" s="96">
        <f t="shared" si="37"/>
        <v>8.5361970706642989</v>
      </c>
      <c r="W97" s="96">
        <f t="shared" si="35"/>
        <v>10.036197070664299</v>
      </c>
      <c r="X97" s="162" ph="1">
        <v>12</v>
      </c>
      <c r="Y97" s="96" t="str">
        <f t="shared" si="36"/>
        <v>OK</v>
      </c>
    </row>
    <row r="98" spans="1:25" ht="12" customHeight="1" x14ac:dyDescent="0.3">
      <c r="A98" s="92">
        <v>76</v>
      </c>
      <c r="B98" s="92" t="s">
        <v>141</v>
      </c>
      <c r="C98" s="92">
        <v>3.8500001828651902</v>
      </c>
      <c r="D98" s="93">
        <v>0</v>
      </c>
      <c r="E98" s="93">
        <v>0</v>
      </c>
      <c r="F98" s="93">
        <f t="shared" si="28"/>
        <v>0</v>
      </c>
      <c r="G98" s="93">
        <f t="shared" si="29"/>
        <v>99.509400661244783</v>
      </c>
      <c r="H98" s="93">
        <v>0</v>
      </c>
      <c r="I98" s="93">
        <f t="shared" si="30"/>
        <v>109.46034072736927</v>
      </c>
      <c r="J98" s="93">
        <v>355</v>
      </c>
      <c r="K98" s="94">
        <v>0.75</v>
      </c>
      <c r="L98" s="94">
        <v>4</v>
      </c>
      <c r="M98" s="95">
        <v>1</v>
      </c>
      <c r="N98" s="95">
        <v>1.5</v>
      </c>
      <c r="O98" s="95">
        <v>1</v>
      </c>
      <c r="P98" s="95">
        <f t="shared" ref="P98:P116" si="38">$M$11/ABS(($M$12/(C98-$M$13)))/1000</f>
        <v>60.908025240518441</v>
      </c>
      <c r="Q98" s="95">
        <v>0</v>
      </c>
      <c r="R98" s="95">
        <v>79.318666195056394</v>
      </c>
      <c r="S98" s="96">
        <f t="shared" si="32"/>
        <v>150.28020481616326</v>
      </c>
      <c r="T98" s="93">
        <f t="shared" si="33"/>
        <v>224.18118828444227</v>
      </c>
      <c r="U98" s="96">
        <f t="shared" si="34"/>
        <v>3.98004706603921</v>
      </c>
      <c r="V98" s="96">
        <f t="shared" si="37"/>
        <v>8.2803208384994598</v>
      </c>
      <c r="W98" s="96">
        <f t="shared" si="35"/>
        <v>9.7803208384994598</v>
      </c>
      <c r="X98" s="162" ph="1">
        <v>12</v>
      </c>
      <c r="Y98" s="96" t="str">
        <f t="shared" si="36"/>
        <v>OK</v>
      </c>
    </row>
    <row r="99" spans="1:25" ht="12" customHeight="1" x14ac:dyDescent="0.3">
      <c r="A99" s="92">
        <v>77</v>
      </c>
      <c r="B99" s="92" t="s">
        <v>141</v>
      </c>
      <c r="C99" s="92">
        <v>4.2000001994892999</v>
      </c>
      <c r="D99" s="93">
        <v>0</v>
      </c>
      <c r="E99" s="93">
        <v>0</v>
      </c>
      <c r="F99" s="93">
        <f t="shared" si="28"/>
        <v>0</v>
      </c>
      <c r="G99" s="93">
        <f t="shared" si="29"/>
        <v>95.990062994085207</v>
      </c>
      <c r="H99" s="93">
        <v>0</v>
      </c>
      <c r="I99" s="93">
        <f t="shared" si="30"/>
        <v>105.58906929349374</v>
      </c>
      <c r="J99" s="93">
        <v>355</v>
      </c>
      <c r="K99" s="94">
        <v>0.75</v>
      </c>
      <c r="L99" s="94">
        <v>4</v>
      </c>
      <c r="M99" s="95">
        <v>1</v>
      </c>
      <c r="N99" s="95">
        <v>1.5</v>
      </c>
      <c r="O99" s="95">
        <v>1</v>
      </c>
      <c r="P99" s="95">
        <f t="shared" si="38"/>
        <v>48.316287408673389</v>
      </c>
      <c r="Q99" s="95">
        <v>0</v>
      </c>
      <c r="R99" s="95">
        <v>79.869650865570804</v>
      </c>
      <c r="S99" s="96">
        <f t="shared" si="32"/>
        <v>146.53309188412717</v>
      </c>
      <c r="T99" s="93">
        <f t="shared" si="33"/>
        <v>229.05243509608917</v>
      </c>
      <c r="U99" s="96">
        <f t="shared" si="34"/>
        <v>3.98004706603921</v>
      </c>
      <c r="V99" s="96">
        <f t="shared" si="37"/>
        <v>8.0456358944783091</v>
      </c>
      <c r="W99" s="96">
        <f t="shared" si="35"/>
        <v>9.5456358944783091</v>
      </c>
      <c r="X99" s="162" ph="1">
        <v>12</v>
      </c>
      <c r="Y99" s="96" t="str">
        <f t="shared" si="36"/>
        <v>OK</v>
      </c>
    </row>
    <row r="100" spans="1:25" ht="12" customHeight="1" x14ac:dyDescent="0.3">
      <c r="A100" s="92">
        <v>78</v>
      </c>
      <c r="B100" s="92" t="s">
        <v>141</v>
      </c>
      <c r="C100" s="92">
        <v>4.5500002161133999</v>
      </c>
      <c r="D100" s="93">
        <v>0</v>
      </c>
      <c r="E100" s="93">
        <v>0</v>
      </c>
      <c r="F100" s="93">
        <f t="shared" si="28"/>
        <v>0</v>
      </c>
      <c r="G100" s="93">
        <f t="shared" si="29"/>
        <v>92.470725326925731</v>
      </c>
      <c r="H100" s="93">
        <v>0</v>
      </c>
      <c r="I100" s="93">
        <f t="shared" si="30"/>
        <v>101.71779785961832</v>
      </c>
      <c r="J100" s="93">
        <v>355</v>
      </c>
      <c r="K100" s="94">
        <v>0.75</v>
      </c>
      <c r="L100" s="94">
        <v>4</v>
      </c>
      <c r="M100" s="95">
        <v>1</v>
      </c>
      <c r="N100" s="95">
        <v>1.5</v>
      </c>
      <c r="O100" s="95">
        <v>1</v>
      </c>
      <c r="P100" s="95">
        <f t="shared" si="38"/>
        <v>35.724549576828679</v>
      </c>
      <c r="Q100" s="95">
        <v>0</v>
      </c>
      <c r="R100" s="95">
        <v>80.260764198244502</v>
      </c>
      <c r="S100" s="96">
        <f t="shared" si="32"/>
        <v>143.53262434556788</v>
      </c>
      <c r="T100" s="93">
        <f t="shared" si="33"/>
        <v>232.95304289621626</v>
      </c>
      <c r="U100" s="96">
        <f t="shared" si="34"/>
        <v>3.98004706603921</v>
      </c>
      <c r="V100" s="96">
        <f t="shared" si="37"/>
        <v>7.8303762633063307</v>
      </c>
      <c r="W100" s="96">
        <f t="shared" si="35"/>
        <v>9.3303762633063307</v>
      </c>
      <c r="X100" s="162" ph="1">
        <v>12</v>
      </c>
      <c r="Y100" s="96" t="str">
        <f t="shared" si="36"/>
        <v>OK</v>
      </c>
    </row>
    <row r="101" spans="1:25" ht="12" customHeight="1" x14ac:dyDescent="0.3">
      <c r="A101" s="92">
        <v>79</v>
      </c>
      <c r="B101" s="92" t="s">
        <v>141</v>
      </c>
      <c r="C101" s="92">
        <v>4.9000002327375096</v>
      </c>
      <c r="D101" s="93">
        <v>0</v>
      </c>
      <c r="E101" s="93">
        <v>0</v>
      </c>
      <c r="F101" s="93">
        <f t="shared" si="28"/>
        <v>0</v>
      </c>
      <c r="G101" s="93">
        <f t="shared" si="29"/>
        <v>88.951387659766141</v>
      </c>
      <c r="H101" s="93">
        <v>0</v>
      </c>
      <c r="I101" s="93">
        <f t="shared" si="30"/>
        <v>97.846526425742766</v>
      </c>
      <c r="J101" s="93">
        <v>355</v>
      </c>
      <c r="K101" s="94">
        <v>0.75</v>
      </c>
      <c r="L101" s="94">
        <v>4</v>
      </c>
      <c r="M101" s="95">
        <v>1</v>
      </c>
      <c r="N101" s="95">
        <v>1.5</v>
      </c>
      <c r="O101" s="95">
        <v>1</v>
      </c>
      <c r="P101" s="95">
        <f t="shared" si="38"/>
        <v>23.13281174498362</v>
      </c>
      <c r="Q101" s="95">
        <v>0</v>
      </c>
      <c r="R101" s="95">
        <v>81.7201757843754</v>
      </c>
      <c r="S101" s="96">
        <f t="shared" si="32"/>
        <v>143.42136650414574</v>
      </c>
      <c r="T101" s="93">
        <f t="shared" si="33"/>
        <v>233.09767809006505</v>
      </c>
      <c r="U101" s="96">
        <f t="shared" si="34"/>
        <v>3.98004706603921</v>
      </c>
      <c r="V101" s="96">
        <f t="shared" si="37"/>
        <v>7.6775399144651342</v>
      </c>
      <c r="W101" s="96">
        <f t="shared" si="35"/>
        <v>9.1775399144651342</v>
      </c>
      <c r="X101" s="162" ph="1">
        <v>12</v>
      </c>
      <c r="Y101" s="96" t="str">
        <f t="shared" si="36"/>
        <v>OK</v>
      </c>
    </row>
    <row r="102" spans="1:25" ht="12" customHeight="1" x14ac:dyDescent="0.3">
      <c r="A102" s="92">
        <v>80</v>
      </c>
      <c r="B102" s="92" t="s">
        <v>141</v>
      </c>
      <c r="C102" s="92">
        <v>5.2500002493616202</v>
      </c>
      <c r="D102" s="93">
        <v>0</v>
      </c>
      <c r="E102" s="93">
        <v>0</v>
      </c>
      <c r="F102" s="93">
        <f t="shared" si="28"/>
        <v>0</v>
      </c>
      <c r="G102" s="93">
        <f t="shared" si="29"/>
        <v>85.432049992606551</v>
      </c>
      <c r="H102" s="93">
        <v>0</v>
      </c>
      <c r="I102" s="93">
        <f t="shared" si="30"/>
        <v>93.975254991867217</v>
      </c>
      <c r="J102" s="93">
        <v>355</v>
      </c>
      <c r="K102" s="94">
        <v>0.75</v>
      </c>
      <c r="L102" s="94">
        <v>4</v>
      </c>
      <c r="M102" s="95">
        <v>1</v>
      </c>
      <c r="N102" s="95">
        <v>1.5</v>
      </c>
      <c r="O102" s="95">
        <v>1</v>
      </c>
      <c r="P102" s="95">
        <f t="shared" si="38"/>
        <v>10.541073913138534</v>
      </c>
      <c r="Q102" s="95">
        <v>0</v>
      </c>
      <c r="R102" s="95">
        <v>81.791546441368595</v>
      </c>
      <c r="S102" s="96">
        <f t="shared" si="32"/>
        <v>142.0587394251192</v>
      </c>
      <c r="T102" s="93">
        <f t="shared" si="33"/>
        <v>234.86909329279953</v>
      </c>
      <c r="U102" s="96">
        <f t="shared" si="34"/>
        <v>3.98004706603921</v>
      </c>
      <c r="V102" s="96">
        <f t="shared" si="37"/>
        <v>7.4956995626726899</v>
      </c>
      <c r="W102" s="96">
        <f t="shared" si="35"/>
        <v>8.9956995626726908</v>
      </c>
      <c r="X102" s="162" ph="1">
        <v>12</v>
      </c>
      <c r="Y102" s="96" t="str">
        <f t="shared" si="36"/>
        <v>OK</v>
      </c>
    </row>
    <row r="103" spans="1:25" ht="12" customHeight="1" x14ac:dyDescent="0.3">
      <c r="A103" s="92">
        <v>81</v>
      </c>
      <c r="B103" s="92" t="s">
        <v>141</v>
      </c>
      <c r="C103" s="92">
        <v>5.60000026598573</v>
      </c>
      <c r="D103" s="93">
        <v>0</v>
      </c>
      <c r="E103" s="93">
        <v>0</v>
      </c>
      <c r="F103" s="93">
        <f t="shared" si="28"/>
        <v>0</v>
      </c>
      <c r="G103" s="93">
        <f t="shared" si="29"/>
        <v>81.912712325446989</v>
      </c>
      <c r="H103" s="93">
        <v>0</v>
      </c>
      <c r="I103" s="93">
        <f t="shared" si="30"/>
        <v>90.103983557991697</v>
      </c>
      <c r="J103" s="93">
        <v>355</v>
      </c>
      <c r="K103" s="94">
        <v>0.75</v>
      </c>
      <c r="L103" s="94">
        <v>4</v>
      </c>
      <c r="M103" s="95">
        <v>1</v>
      </c>
      <c r="N103" s="95">
        <v>1.5</v>
      </c>
      <c r="O103" s="95">
        <v>1</v>
      </c>
      <c r="P103" s="95">
        <f t="shared" si="38"/>
        <v>2.0506639187065234</v>
      </c>
      <c r="Q103" s="95">
        <v>0</v>
      </c>
      <c r="R103" s="95">
        <v>81.791546441368098</v>
      </c>
      <c r="S103" s="96">
        <f t="shared" si="32"/>
        <v>141.68195520361408</v>
      </c>
      <c r="T103" s="93">
        <f t="shared" si="33"/>
        <v>235.35891278075621</v>
      </c>
      <c r="U103" s="96">
        <f t="shared" si="34"/>
        <v>3.98004706603921</v>
      </c>
      <c r="V103" s="96">
        <f t="shared" si="37"/>
        <v>7.3320433103271583</v>
      </c>
      <c r="W103" s="96">
        <f t="shared" si="35"/>
        <v>8.8320433103271583</v>
      </c>
      <c r="X103" s="162" ph="1">
        <v>12</v>
      </c>
      <c r="Y103" s="96" t="str">
        <f t="shared" si="36"/>
        <v>OK</v>
      </c>
    </row>
    <row r="104" spans="1:25" ht="12" customHeight="1" x14ac:dyDescent="0.3">
      <c r="A104" s="92">
        <v>82</v>
      </c>
      <c r="B104" s="92" t="s">
        <v>141</v>
      </c>
      <c r="C104" s="92">
        <v>5.9500002826098397</v>
      </c>
      <c r="D104" s="93">
        <v>0</v>
      </c>
      <c r="E104" s="93">
        <v>0</v>
      </c>
      <c r="F104" s="93">
        <f t="shared" si="28"/>
        <v>0</v>
      </c>
      <c r="G104" s="93">
        <f t="shared" si="29"/>
        <v>78.393374658287399</v>
      </c>
      <c r="H104" s="93">
        <v>0</v>
      </c>
      <c r="I104" s="93">
        <f t="shared" si="30"/>
        <v>86.232712124116148</v>
      </c>
      <c r="J104" s="93">
        <v>355</v>
      </c>
      <c r="K104" s="94">
        <v>0.75</v>
      </c>
      <c r="L104" s="94">
        <v>4</v>
      </c>
      <c r="M104" s="95">
        <v>1</v>
      </c>
      <c r="N104" s="95">
        <v>1.5</v>
      </c>
      <c r="O104" s="95">
        <v>1</v>
      </c>
      <c r="P104" s="95">
        <f t="shared" si="38"/>
        <v>14.64240175055158</v>
      </c>
      <c r="Q104" s="95">
        <v>0</v>
      </c>
      <c r="R104" s="95">
        <v>81.703045760521107</v>
      </c>
      <c r="S104" s="96">
        <f t="shared" si="32"/>
        <v>142.26933256560238</v>
      </c>
      <c r="T104" s="93">
        <f t="shared" si="33"/>
        <v>234.59532221017142</v>
      </c>
      <c r="U104" s="96">
        <f t="shared" si="34"/>
        <v>3.98004706603921</v>
      </c>
      <c r="V104" s="96">
        <f t="shared" si="37"/>
        <v>7.1844693936487181</v>
      </c>
      <c r="W104" s="96">
        <f t="shared" si="35"/>
        <v>8.6844693936487189</v>
      </c>
      <c r="X104" s="162" ph="1">
        <v>12</v>
      </c>
      <c r="Y104" s="96" t="str">
        <f t="shared" si="36"/>
        <v>OK</v>
      </c>
    </row>
    <row r="105" spans="1:25" ht="12" customHeight="1" x14ac:dyDescent="0.3">
      <c r="A105" s="92">
        <v>83</v>
      </c>
      <c r="B105" s="92" t="s">
        <v>141</v>
      </c>
      <c r="C105" s="92">
        <v>6.3000002992339397</v>
      </c>
      <c r="D105" s="93">
        <v>0</v>
      </c>
      <c r="E105" s="93">
        <v>0</v>
      </c>
      <c r="F105" s="93">
        <f t="shared" si="28"/>
        <v>0</v>
      </c>
      <c r="G105" s="93">
        <f t="shared" si="29"/>
        <v>74.874036991127923</v>
      </c>
      <c r="H105" s="93">
        <v>0</v>
      </c>
      <c r="I105" s="93">
        <f t="shared" si="30"/>
        <v>82.361440690240727</v>
      </c>
      <c r="J105" s="93">
        <v>355</v>
      </c>
      <c r="K105" s="94">
        <v>0.75</v>
      </c>
      <c r="L105" s="94">
        <v>4</v>
      </c>
      <c r="M105" s="95">
        <v>1</v>
      </c>
      <c r="N105" s="95">
        <v>1.5</v>
      </c>
      <c r="O105" s="95">
        <v>1</v>
      </c>
      <c r="P105" s="95">
        <f t="shared" si="38"/>
        <v>27.234139582396285</v>
      </c>
      <c r="Q105" s="95">
        <v>0</v>
      </c>
      <c r="R105" s="95">
        <v>81.454673741833503</v>
      </c>
      <c r="S105" s="96">
        <f t="shared" si="32"/>
        <v>143.68816924840775</v>
      </c>
      <c r="T105" s="93">
        <f t="shared" si="33"/>
        <v>232.75083452252443</v>
      </c>
      <c r="U105" s="96">
        <f t="shared" si="34"/>
        <v>3.98004706603921</v>
      </c>
      <c r="V105" s="96">
        <f t="shared" si="37"/>
        <v>7.0491166003844743</v>
      </c>
      <c r="W105" s="96">
        <f t="shared" si="35"/>
        <v>8.5491166003844743</v>
      </c>
      <c r="X105" s="162" ph="1">
        <v>12</v>
      </c>
      <c r="Y105" s="96" t="str">
        <f t="shared" si="36"/>
        <v>OK</v>
      </c>
    </row>
    <row r="106" spans="1:25" ht="12" customHeight="1" x14ac:dyDescent="0.3">
      <c r="A106" s="92">
        <v>84</v>
      </c>
      <c r="B106" s="92" t="s">
        <v>141</v>
      </c>
      <c r="C106" s="92">
        <v>6.6500003158580503</v>
      </c>
      <c r="D106" s="93">
        <v>0</v>
      </c>
      <c r="E106" s="93">
        <v>0</v>
      </c>
      <c r="F106" s="93">
        <f t="shared" si="28"/>
        <v>0</v>
      </c>
      <c r="G106" s="93">
        <f t="shared" si="29"/>
        <v>71.354699323968333</v>
      </c>
      <c r="H106" s="93">
        <v>0</v>
      </c>
      <c r="I106" s="93">
        <f t="shared" si="30"/>
        <v>78.490169256365178</v>
      </c>
      <c r="J106" s="93">
        <v>355</v>
      </c>
      <c r="K106" s="94">
        <v>0.75</v>
      </c>
      <c r="L106" s="94">
        <v>4</v>
      </c>
      <c r="M106" s="95">
        <v>1</v>
      </c>
      <c r="N106" s="95">
        <v>1.5</v>
      </c>
      <c r="O106" s="95">
        <v>1</v>
      </c>
      <c r="P106" s="95">
        <f t="shared" si="38"/>
        <v>39.825877414241376</v>
      </c>
      <c r="Q106" s="95">
        <v>0</v>
      </c>
      <c r="R106" s="95">
        <v>81.046430385305797</v>
      </c>
      <c r="S106" s="96">
        <f t="shared" si="32"/>
        <v>145.91666164771874</v>
      </c>
      <c r="T106" s="93">
        <f t="shared" si="33"/>
        <v>229.85379440342015</v>
      </c>
      <c r="U106" s="96">
        <f t="shared" si="34"/>
        <v>3.98004706603921</v>
      </c>
      <c r="V106" s="96">
        <f t="shared" si="37"/>
        <v>6.9246869460745106</v>
      </c>
      <c r="W106" s="96">
        <f t="shared" si="35"/>
        <v>8.4246869460745106</v>
      </c>
      <c r="X106" s="162" ph="1">
        <v>12</v>
      </c>
      <c r="Y106" s="96" t="str">
        <f t="shared" si="36"/>
        <v>OK</v>
      </c>
    </row>
    <row r="107" spans="1:25" ht="12" customHeight="1" x14ac:dyDescent="0.3">
      <c r="A107" s="92">
        <v>85</v>
      </c>
      <c r="B107" s="92" t="s">
        <v>141</v>
      </c>
      <c r="C107" s="92">
        <v>7.00000033248216</v>
      </c>
      <c r="D107" s="93">
        <v>0</v>
      </c>
      <c r="E107" s="93">
        <v>0</v>
      </c>
      <c r="F107" s="93">
        <f t="shared" si="28"/>
        <v>0</v>
      </c>
      <c r="G107" s="93">
        <f t="shared" si="29"/>
        <v>67.835361656808757</v>
      </c>
      <c r="H107" s="93">
        <v>0</v>
      </c>
      <c r="I107" s="93">
        <f t="shared" si="30"/>
        <v>74.618897822489643</v>
      </c>
      <c r="J107" s="93">
        <v>355</v>
      </c>
      <c r="K107" s="94">
        <v>0.75</v>
      </c>
      <c r="L107" s="94">
        <v>4</v>
      </c>
      <c r="M107" s="95">
        <v>1</v>
      </c>
      <c r="N107" s="95">
        <v>1.5</v>
      </c>
      <c r="O107" s="95">
        <v>1</v>
      </c>
      <c r="P107" s="95">
        <f t="shared" si="38"/>
        <v>52.417615246086434</v>
      </c>
      <c r="Q107" s="95">
        <v>0</v>
      </c>
      <c r="R107" s="95">
        <v>80.478315690937507</v>
      </c>
      <c r="S107" s="96">
        <f t="shared" si="32"/>
        <v>148.92241025929357</v>
      </c>
      <c r="T107" s="93">
        <f t="shared" si="33"/>
        <v>225.94632120837286</v>
      </c>
      <c r="U107" s="96">
        <f t="shared" si="34"/>
        <v>3.98004706603921</v>
      </c>
      <c r="V107" s="96">
        <f t="shared" si="37"/>
        <v>6.8098904882566629</v>
      </c>
      <c r="W107" s="96">
        <f t="shared" si="35"/>
        <v>8.3098904882566629</v>
      </c>
      <c r="X107" s="162" ph="1">
        <v>12</v>
      </c>
      <c r="Y107" s="96" t="str">
        <f t="shared" si="36"/>
        <v>OK</v>
      </c>
    </row>
    <row r="108" spans="1:25" ht="12" customHeight="1" x14ac:dyDescent="0.3">
      <c r="A108" s="92">
        <v>86</v>
      </c>
      <c r="B108" s="92" t="s">
        <v>141</v>
      </c>
      <c r="C108" s="92">
        <v>7.3500003491062698</v>
      </c>
      <c r="D108" s="93">
        <v>0</v>
      </c>
      <c r="E108" s="93">
        <v>0</v>
      </c>
      <c r="F108" s="93">
        <f t="shared" si="28"/>
        <v>0</v>
      </c>
      <c r="G108" s="93">
        <f t="shared" si="29"/>
        <v>64.316023989649182</v>
      </c>
      <c r="H108" s="93">
        <v>0</v>
      </c>
      <c r="I108" s="93">
        <f t="shared" si="30"/>
        <v>70.747626388614108</v>
      </c>
      <c r="J108" s="93">
        <v>355</v>
      </c>
      <c r="K108" s="94">
        <v>0.75</v>
      </c>
      <c r="L108" s="94">
        <v>4</v>
      </c>
      <c r="M108" s="95">
        <v>1</v>
      </c>
      <c r="N108" s="95">
        <v>1.5</v>
      </c>
      <c r="O108" s="95">
        <v>1</v>
      </c>
      <c r="P108" s="95">
        <f t="shared" si="38"/>
        <v>65.009353077931493</v>
      </c>
      <c r="Q108" s="95">
        <v>0</v>
      </c>
      <c r="R108" s="95">
        <v>79.750329658728901</v>
      </c>
      <c r="S108" s="96">
        <f t="shared" si="32"/>
        <v>152.66486573419232</v>
      </c>
      <c r="T108" s="93">
        <f t="shared" si="33"/>
        <v>221.0811290910045</v>
      </c>
      <c r="U108" s="96">
        <f t="shared" si="34"/>
        <v>3.98004706603921</v>
      </c>
      <c r="V108" s="96">
        <f t="shared" si="37"/>
        <v>6.7034511705900544</v>
      </c>
      <c r="W108" s="96">
        <f t="shared" si="35"/>
        <v>8.2034511705900535</v>
      </c>
      <c r="X108" s="162" ph="1">
        <v>12</v>
      </c>
      <c r="Y108" s="96" t="str">
        <f t="shared" si="36"/>
        <v>OK</v>
      </c>
    </row>
    <row r="109" spans="1:25" ht="12" customHeight="1" x14ac:dyDescent="0.3">
      <c r="A109" s="92">
        <v>87</v>
      </c>
      <c r="B109" s="92" t="s">
        <v>141</v>
      </c>
      <c r="C109" s="92">
        <v>7.7000003657303804</v>
      </c>
      <c r="D109" s="93">
        <v>0</v>
      </c>
      <c r="E109" s="93">
        <v>0</v>
      </c>
      <c r="F109" s="93">
        <f t="shared" si="28"/>
        <v>0</v>
      </c>
      <c r="G109" s="93">
        <f t="shared" si="29"/>
        <v>60.796686322489585</v>
      </c>
      <c r="H109" s="93">
        <v>0</v>
      </c>
      <c r="I109" s="93">
        <f t="shared" si="30"/>
        <v>66.876354954738545</v>
      </c>
      <c r="J109" s="93">
        <v>355</v>
      </c>
      <c r="K109" s="94">
        <v>0.75</v>
      </c>
      <c r="L109" s="94">
        <v>4</v>
      </c>
      <c r="M109" s="95">
        <v>1</v>
      </c>
      <c r="N109" s="95">
        <v>1.5</v>
      </c>
      <c r="O109" s="95">
        <v>1</v>
      </c>
      <c r="P109" s="95">
        <f t="shared" si="38"/>
        <v>77.601090909776588</v>
      </c>
      <c r="Q109" s="95">
        <v>0</v>
      </c>
      <c r="R109" s="95">
        <v>78.8624722886792</v>
      </c>
      <c r="S109" s="96">
        <f t="shared" si="32"/>
        <v>157.09805191928859</v>
      </c>
      <c r="T109" s="93">
        <f t="shared" si="33"/>
        <v>215.31798705037934</v>
      </c>
      <c r="U109" s="96">
        <f t="shared" si="34"/>
        <v>3.98004706603921</v>
      </c>
      <c r="V109" s="96">
        <f t="shared" si="37"/>
        <v>6.6041129427584613</v>
      </c>
      <c r="W109" s="96">
        <f t="shared" si="35"/>
        <v>8.1041129427584622</v>
      </c>
      <c r="X109" s="162" ph="1">
        <v>12</v>
      </c>
      <c r="Y109" s="96" t="str">
        <f t="shared" si="36"/>
        <v>OK</v>
      </c>
    </row>
    <row r="110" spans="1:25" ht="12" customHeight="1" x14ac:dyDescent="0.3">
      <c r="A110" s="92">
        <v>88</v>
      </c>
      <c r="B110" s="92" t="s">
        <v>141</v>
      </c>
      <c r="C110" s="92">
        <v>8.0500003823544795</v>
      </c>
      <c r="D110" s="93">
        <v>0</v>
      </c>
      <c r="E110" s="93">
        <v>0</v>
      </c>
      <c r="F110" s="93">
        <f t="shared" si="28"/>
        <v>0</v>
      </c>
      <c r="G110" s="93">
        <f t="shared" si="29"/>
        <v>57.277348655330115</v>
      </c>
      <c r="H110" s="93">
        <v>0</v>
      </c>
      <c r="I110" s="93">
        <f t="shared" si="30"/>
        <v>63.005083520863131</v>
      </c>
      <c r="J110" s="93">
        <v>355</v>
      </c>
      <c r="K110" s="94">
        <v>0.75</v>
      </c>
      <c r="L110" s="94">
        <v>4</v>
      </c>
      <c r="M110" s="95">
        <v>1</v>
      </c>
      <c r="N110" s="95">
        <v>1.5</v>
      </c>
      <c r="O110" s="95">
        <v>1</v>
      </c>
      <c r="P110" s="95">
        <f t="shared" si="38"/>
        <v>90.192828741621241</v>
      </c>
      <c r="Q110" s="95">
        <v>0</v>
      </c>
      <c r="R110" s="95">
        <v>77.814743580789894</v>
      </c>
      <c r="S110" s="96">
        <f t="shared" si="32"/>
        <v>162.17320775037925</v>
      </c>
      <c r="T110" s="93">
        <f t="shared" si="33"/>
        <v>208.72028446996148</v>
      </c>
      <c r="U110" s="96">
        <f t="shared" si="34"/>
        <v>3.98004706603921</v>
      </c>
      <c r="V110" s="96">
        <f t="shared" si="37"/>
        <v>6.5106420247822543</v>
      </c>
      <c r="W110" s="96">
        <f t="shared" si="35"/>
        <v>8.0106420247822534</v>
      </c>
      <c r="X110" s="162" ph="1">
        <v>12</v>
      </c>
      <c r="Y110" s="96" t="str">
        <f t="shared" si="36"/>
        <v>OK</v>
      </c>
    </row>
    <row r="111" spans="1:25" ht="12" customHeight="1" x14ac:dyDescent="0.3">
      <c r="A111" s="92">
        <v>89</v>
      </c>
      <c r="B111" s="92" t="s">
        <v>141</v>
      </c>
      <c r="C111" s="92">
        <v>8.4000003989785892</v>
      </c>
      <c r="D111" s="93">
        <v>0</v>
      </c>
      <c r="E111" s="93">
        <v>0</v>
      </c>
      <c r="F111" s="93">
        <f t="shared" si="28"/>
        <v>0</v>
      </c>
      <c r="G111" s="93">
        <f t="shared" si="29"/>
        <v>53.75801098817054</v>
      </c>
      <c r="H111" s="93">
        <v>0</v>
      </c>
      <c r="I111" s="93">
        <f t="shared" si="30"/>
        <v>59.133812086987597</v>
      </c>
      <c r="J111" s="93">
        <v>355</v>
      </c>
      <c r="K111" s="94">
        <v>0.75</v>
      </c>
      <c r="L111" s="94">
        <v>4</v>
      </c>
      <c r="M111" s="95">
        <v>1</v>
      </c>
      <c r="N111" s="95">
        <v>1.5</v>
      </c>
      <c r="O111" s="95">
        <v>1</v>
      </c>
      <c r="P111" s="95">
        <f t="shared" si="38"/>
        <v>102.78456657346631</v>
      </c>
      <c r="Q111" s="95">
        <v>0</v>
      </c>
      <c r="R111" s="95">
        <v>76.607143535060004</v>
      </c>
      <c r="S111" s="96">
        <f t="shared" si="32"/>
        <v>167.84108688726721</v>
      </c>
      <c r="T111" s="93">
        <f t="shared" si="33"/>
        <v>201.35204159200714</v>
      </c>
      <c r="U111" s="96">
        <f t="shared" si="34"/>
        <v>3.98004706603921</v>
      </c>
      <c r="V111" s="96">
        <f t="shared" si="37"/>
        <v>6.4218220951152922</v>
      </c>
      <c r="W111" s="96">
        <f t="shared" si="35"/>
        <v>7.9218220951152922</v>
      </c>
      <c r="X111" s="162" ph="1">
        <v>12</v>
      </c>
      <c r="Y111" s="96" t="str">
        <f t="shared" si="36"/>
        <v>OK</v>
      </c>
    </row>
    <row r="112" spans="1:25" ht="12" customHeight="1" x14ac:dyDescent="0.3">
      <c r="A112" s="92">
        <v>90</v>
      </c>
      <c r="B112" s="92" t="s">
        <v>141</v>
      </c>
      <c r="C112" s="92">
        <v>8.7500004156027007</v>
      </c>
      <c r="D112" s="93">
        <v>0</v>
      </c>
      <c r="E112" s="93">
        <v>0</v>
      </c>
      <c r="F112" s="93">
        <f t="shared" si="28"/>
        <v>0</v>
      </c>
      <c r="G112" s="93">
        <f t="shared" si="29"/>
        <v>50.238673321010936</v>
      </c>
      <c r="H112" s="93">
        <v>0</v>
      </c>
      <c r="I112" s="93">
        <f t="shared" si="30"/>
        <v>55.262540653112033</v>
      </c>
      <c r="J112" s="93">
        <v>355</v>
      </c>
      <c r="K112" s="94">
        <v>0.75</v>
      </c>
      <c r="L112" s="94">
        <v>4</v>
      </c>
      <c r="M112" s="95">
        <v>1</v>
      </c>
      <c r="N112" s="95">
        <v>1.5</v>
      </c>
      <c r="O112" s="95">
        <v>1</v>
      </c>
      <c r="P112" s="95">
        <f t="shared" si="38"/>
        <v>115.37630440531143</v>
      </c>
      <c r="Q112" s="95">
        <v>0</v>
      </c>
      <c r="R112" s="95">
        <v>75.239672151489899</v>
      </c>
      <c r="S112" s="96">
        <f t="shared" si="32"/>
        <v>174.05377449115585</v>
      </c>
      <c r="T112" s="93">
        <f t="shared" si="33"/>
        <v>193.2755477069519</v>
      </c>
      <c r="U112" s="96">
        <f t="shared" si="34"/>
        <v>3.98004706603921</v>
      </c>
      <c r="V112" s="96">
        <f t="shared" si="37"/>
        <v>6.3364398664135635</v>
      </c>
      <c r="W112" s="96">
        <f t="shared" si="35"/>
        <v>7.8364398664135635</v>
      </c>
      <c r="X112" s="162" ph="1">
        <v>12</v>
      </c>
      <c r="Y112" s="96" t="str">
        <f t="shared" si="36"/>
        <v>OK</v>
      </c>
    </row>
    <row r="113" spans="1:25" ht="12" customHeight="1" x14ac:dyDescent="0.3">
      <c r="A113" s="92">
        <v>91</v>
      </c>
      <c r="B113" s="92" t="s">
        <v>141</v>
      </c>
      <c r="C113" s="92">
        <v>9.1000004322268104</v>
      </c>
      <c r="D113" s="93">
        <v>0</v>
      </c>
      <c r="E113" s="93">
        <v>0</v>
      </c>
      <c r="F113" s="93">
        <f t="shared" si="28"/>
        <v>0</v>
      </c>
      <c r="G113" s="93">
        <f t="shared" si="29"/>
        <v>46.71933565385136</v>
      </c>
      <c r="H113" s="93">
        <v>0</v>
      </c>
      <c r="I113" s="93">
        <f t="shared" si="30"/>
        <v>51.391269219236499</v>
      </c>
      <c r="J113" s="93">
        <v>355</v>
      </c>
      <c r="K113" s="94">
        <v>0.75</v>
      </c>
      <c r="L113" s="94">
        <v>4</v>
      </c>
      <c r="M113" s="95">
        <v>1</v>
      </c>
      <c r="N113" s="95">
        <v>1.5</v>
      </c>
      <c r="O113" s="95">
        <v>1</v>
      </c>
      <c r="P113" s="95">
        <f t="shared" si="38"/>
        <v>127.96804223715648</v>
      </c>
      <c r="Q113" s="95">
        <v>0</v>
      </c>
      <c r="R113" s="95">
        <v>73.712329430079706</v>
      </c>
      <c r="S113" s="96">
        <f t="shared" si="32"/>
        <v>180.76598785179817</v>
      </c>
      <c r="T113" s="93">
        <f t="shared" si="33"/>
        <v>184.54967033811687</v>
      </c>
      <c r="U113" s="96">
        <f t="shared" si="34"/>
        <v>3.98004706603921</v>
      </c>
      <c r="V113" s="96">
        <f t="shared" si="37"/>
        <v>6.2532585459604038</v>
      </c>
      <c r="W113" s="96">
        <f t="shared" si="35"/>
        <v>7.7532585459604038</v>
      </c>
      <c r="X113" s="162" ph="1">
        <v>12</v>
      </c>
      <c r="Y113" s="96" t="str">
        <f t="shared" si="36"/>
        <v>OK</v>
      </c>
    </row>
    <row r="114" spans="1:25" ht="12" customHeight="1" x14ac:dyDescent="0.3">
      <c r="A114" s="92">
        <v>92</v>
      </c>
      <c r="B114" s="92" t="s">
        <v>141</v>
      </c>
      <c r="C114" s="92">
        <v>9.4500004488509095</v>
      </c>
      <c r="D114" s="93">
        <v>0</v>
      </c>
      <c r="E114" s="93">
        <v>0</v>
      </c>
      <c r="F114" s="93">
        <f t="shared" si="28"/>
        <v>0</v>
      </c>
      <c r="G114" s="93">
        <f t="shared" si="29"/>
        <v>43.199997986691884</v>
      </c>
      <c r="H114" s="93">
        <v>0</v>
      </c>
      <c r="I114" s="93">
        <f t="shared" si="30"/>
        <v>47.519997785361078</v>
      </c>
      <c r="J114" s="93">
        <v>355</v>
      </c>
      <c r="K114" s="94">
        <v>0.75</v>
      </c>
      <c r="L114" s="94">
        <v>4</v>
      </c>
      <c r="M114" s="95">
        <v>1</v>
      </c>
      <c r="N114" s="95">
        <v>1.5</v>
      </c>
      <c r="O114" s="95">
        <v>1</v>
      </c>
      <c r="P114" s="95">
        <f t="shared" si="38"/>
        <v>140.55978006900114</v>
      </c>
      <c r="Q114" s="95">
        <v>0</v>
      </c>
      <c r="R114" s="95">
        <v>72.025115370829397</v>
      </c>
      <c r="S114" s="96">
        <f t="shared" si="32"/>
        <v>187.93590265191435</v>
      </c>
      <c r="T114" s="93">
        <f t="shared" si="33"/>
        <v>175.22878109796585</v>
      </c>
      <c r="U114" s="96">
        <f t="shared" si="34"/>
        <v>3.98004706603921</v>
      </c>
      <c r="V114" s="96">
        <f t="shared" si="37"/>
        <v>6.1709756994231153</v>
      </c>
      <c r="W114" s="96">
        <f t="shared" si="35"/>
        <v>7.6709756994231153</v>
      </c>
      <c r="X114" s="162" ph="1">
        <v>12</v>
      </c>
      <c r="Y114" s="96" t="str">
        <f t="shared" si="36"/>
        <v>OK</v>
      </c>
    </row>
    <row r="115" spans="1:25" ht="12" customHeight="1" x14ac:dyDescent="0.3">
      <c r="A115" s="92">
        <v>93</v>
      </c>
      <c r="B115" s="92" t="s">
        <v>141</v>
      </c>
      <c r="C115" s="92">
        <v>9.8000004654750192</v>
      </c>
      <c r="D115" s="93">
        <v>0</v>
      </c>
      <c r="E115" s="93">
        <v>0</v>
      </c>
      <c r="F115" s="93">
        <f t="shared" si="28"/>
        <v>0</v>
      </c>
      <c r="G115" s="93">
        <f t="shared" si="29"/>
        <v>39.680660319532308</v>
      </c>
      <c r="H115" s="93">
        <v>0</v>
      </c>
      <c r="I115" s="93">
        <f t="shared" si="30"/>
        <v>43.648726351485543</v>
      </c>
      <c r="J115" s="93">
        <v>355</v>
      </c>
      <c r="K115" s="94">
        <v>0.75</v>
      </c>
      <c r="L115" s="94">
        <v>4</v>
      </c>
      <c r="M115" s="95">
        <v>1</v>
      </c>
      <c r="N115" s="95">
        <v>1.5</v>
      </c>
      <c r="O115" s="95">
        <v>1</v>
      </c>
      <c r="P115" s="95">
        <f t="shared" si="38"/>
        <v>153.15151790084619</v>
      </c>
      <c r="Q115" s="95">
        <v>0</v>
      </c>
      <c r="R115" s="95">
        <v>70.178029973739299</v>
      </c>
      <c r="S115" s="96">
        <f t="shared" si="32"/>
        <v>195.52558683793373</v>
      </c>
      <c r="T115" s="93">
        <f t="shared" si="33"/>
        <v>165.36219165614065</v>
      </c>
      <c r="U115" s="96">
        <f t="shared" si="34"/>
        <v>3.98004706603921</v>
      </c>
      <c r="V115" s="96">
        <f t="shared" si="37"/>
        <v>6.0881595932604684</v>
      </c>
      <c r="W115" s="96">
        <f t="shared" si="35"/>
        <v>7.5881595932604684</v>
      </c>
      <c r="X115" s="162" ph="1">
        <v>12</v>
      </c>
      <c r="Y115" s="96" t="str">
        <f t="shared" si="36"/>
        <v>OK</v>
      </c>
    </row>
    <row r="116" spans="1:25" ht="12" customHeight="1" x14ac:dyDescent="0.3">
      <c r="A116" s="92">
        <v>94</v>
      </c>
      <c r="B116" s="92" t="s">
        <v>141</v>
      </c>
      <c r="C116" s="92">
        <v>10.150000232737501</v>
      </c>
      <c r="D116" s="93">
        <v>0</v>
      </c>
      <c r="E116" s="93">
        <v>0</v>
      </c>
      <c r="F116" s="93">
        <f t="shared" si="28"/>
        <v>0</v>
      </c>
      <c r="G116" s="93">
        <f t="shared" si="29"/>
        <v>36.161325159766243</v>
      </c>
      <c r="H116" s="93">
        <v>0</v>
      </c>
      <c r="I116" s="93">
        <f t="shared" si="30"/>
        <v>39.777457675742873</v>
      </c>
      <c r="J116" s="93">
        <v>355</v>
      </c>
      <c r="K116" s="94">
        <v>0.75</v>
      </c>
      <c r="L116" s="94">
        <v>4</v>
      </c>
      <c r="M116" s="95">
        <v>1</v>
      </c>
      <c r="N116" s="95">
        <v>1.5</v>
      </c>
      <c r="O116" s="95">
        <v>1</v>
      </c>
      <c r="P116" s="95">
        <f t="shared" si="38"/>
        <v>165.74324676155956</v>
      </c>
      <c r="Q116" s="95">
        <v>0</v>
      </c>
      <c r="R116" s="95">
        <v>68.171074725638604</v>
      </c>
      <c r="S116" s="96">
        <f t="shared" si="32"/>
        <v>203.50113054921596</v>
      </c>
      <c r="T116" s="93">
        <f t="shared" si="33"/>
        <v>154.99398483147377</v>
      </c>
      <c r="U116" s="96">
        <f t="shared" si="34"/>
        <v>3.98004706603921</v>
      </c>
      <c r="V116" s="96">
        <f t="shared" si="37"/>
        <v>6.0031533779183608</v>
      </c>
      <c r="W116" s="96">
        <f t="shared" si="35"/>
        <v>7.5031533779183608</v>
      </c>
      <c r="X116" s="162" ph="1">
        <v>12</v>
      </c>
      <c r="Y116" s="96" t="str">
        <f t="shared" si="36"/>
        <v>OK</v>
      </c>
    </row>
    <row r="118" spans="1:25" ht="12" customHeight="1" x14ac:dyDescent="0.45">
      <c r="A118" s="4" t="s">
        <v>142</v>
      </c>
    </row>
    <row r="119" spans="1:25" ht="12" customHeight="1" x14ac:dyDescent="0.45">
      <c r="A119" s="4" t="s">
        <v>143</v>
      </c>
    </row>
    <row r="120" spans="1:25" ht="12" customHeight="1" x14ac:dyDescent="0.45">
      <c r="A120" s="4" t="s">
        <v>144</v>
      </c>
    </row>
    <row r="131" ht="15" customHeight="1" x14ac:dyDescent="0.45"/>
    <row r="132" ht="15" customHeight="1" x14ac:dyDescent="0.45"/>
    <row r="133" ht="15" customHeight="1" x14ac:dyDescent="0.45"/>
    <row r="134" ht="15" customHeight="1" x14ac:dyDescent="0.45"/>
    <row r="135" ht="15" customHeight="1" x14ac:dyDescent="0.45"/>
    <row r="136" ht="15" customHeight="1" x14ac:dyDescent="0.45"/>
    <row r="137" ht="15" customHeight="1" x14ac:dyDescent="0.45"/>
    <row r="138" ht="15" customHeight="1" x14ac:dyDescent="0.45"/>
    <row r="139" ht="15" customHeight="1" x14ac:dyDescent="0.45"/>
    <row r="140" ht="15" customHeight="1" x14ac:dyDescent="0.45"/>
    <row r="141" ht="15" customHeight="1" x14ac:dyDescent="0.45"/>
    <row r="142" ht="15" customHeight="1" x14ac:dyDescent="0.45"/>
    <row r="143" ht="15" customHeight="1" x14ac:dyDescent="0.45"/>
    <row r="144" ht="15" customHeight="1" x14ac:dyDescent="0.45"/>
    <row r="145" spans="1:14" ht="15" customHeight="1" x14ac:dyDescent="0.45"/>
    <row r="146" spans="1:14" ht="15" customHeight="1" x14ac:dyDescent="0.45"/>
    <row r="147" spans="1:14" ht="15" customHeight="1" x14ac:dyDescent="0.45"/>
    <row r="148" spans="1:14" ht="15" customHeight="1" x14ac:dyDescent="0.45">
      <c r="A148" s="16">
        <v>1</v>
      </c>
      <c r="B148" s="17" t="s">
        <v>145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0</v>
      </c>
      <c r="D150" s="28"/>
      <c r="E150" s="29">
        <v>191</v>
      </c>
      <c r="F150" s="30">
        <v>171.24545454545449</v>
      </c>
      <c r="G150" s="27">
        <v>0.75</v>
      </c>
      <c r="H150" s="27">
        <v>7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166</v>
      </c>
      <c r="B153" s="28"/>
      <c r="C153" s="28"/>
      <c r="D153" s="28"/>
      <c r="E153" s="44">
        <v>43.137022499999993</v>
      </c>
      <c r="F153" s="45">
        <v>61.966966861816026</v>
      </c>
      <c r="G153" s="46">
        <v>105.10398936181602</v>
      </c>
      <c r="H153" s="47">
        <v>130.58012500000001</v>
      </c>
      <c r="I153" s="29">
        <v>0</v>
      </c>
      <c r="J153" s="48">
        <v>130.58012500000001</v>
      </c>
      <c r="K153" s="30">
        <v>130.58012500000001</v>
      </c>
      <c r="L153" s="27"/>
      <c r="M153" s="31">
        <v>11.347784223428096</v>
      </c>
      <c r="N153" s="37"/>
    </row>
    <row r="154" spans="1:14" ht="15" customHeight="1" x14ac:dyDescent="0.45">
      <c r="A154" s="16">
        <v>2</v>
      </c>
      <c r="B154" s="17" t="s">
        <v>167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0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168</v>
      </c>
      <c r="B159" s="28"/>
      <c r="C159" s="28"/>
      <c r="D159" s="28"/>
      <c r="E159" s="44">
        <v>43.137022499999993</v>
      </c>
      <c r="F159" s="45">
        <v>61.966966861816026</v>
      </c>
      <c r="G159" s="46">
        <v>105.10398936181602</v>
      </c>
      <c r="H159" s="47">
        <v>130.58012500000001</v>
      </c>
      <c r="I159" s="29">
        <v>0</v>
      </c>
      <c r="J159" s="48">
        <v>130.58012500000001</v>
      </c>
      <c r="K159" s="30">
        <v>130.58012500000001</v>
      </c>
      <c r="L159" s="27"/>
      <c r="M159" s="31">
        <v>10.657931941866222</v>
      </c>
      <c r="N159" s="37"/>
    </row>
    <row r="160" spans="1:14" ht="15" customHeight="1" x14ac:dyDescent="0.45">
      <c r="A160" s="16">
        <v>3</v>
      </c>
      <c r="B160" s="17" t="s">
        <v>169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2.9</v>
      </c>
      <c r="D162" s="28"/>
      <c r="E162" s="29">
        <v>85.6</v>
      </c>
      <c r="F162" s="30">
        <v>308.26545454545453</v>
      </c>
      <c r="G162" s="27">
        <v>0.7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170</v>
      </c>
      <c r="B165" s="28"/>
      <c r="C165" s="28"/>
      <c r="D165" s="28"/>
      <c r="E165" s="44">
        <v>13.9767975</v>
      </c>
      <c r="F165" s="45">
        <v>86.836910943515008</v>
      </c>
      <c r="G165" s="46">
        <v>100.81370844351501</v>
      </c>
      <c r="H165" s="47">
        <v>101.41989999999998</v>
      </c>
      <c r="I165" s="29">
        <v>0</v>
      </c>
      <c r="J165" s="48">
        <v>101.41989999999998</v>
      </c>
      <c r="K165" s="30">
        <v>101.41989999999998</v>
      </c>
      <c r="L165" s="27"/>
      <c r="M165" s="31">
        <v>7.3438701735973515</v>
      </c>
      <c r="N165" s="37"/>
    </row>
    <row r="166" spans="1:14" ht="15" customHeight="1" x14ac:dyDescent="0.45">
      <c r="A166" s="16">
        <v>4</v>
      </c>
      <c r="B166" s="17" t="s">
        <v>171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5.8</v>
      </c>
      <c r="D168" s="28"/>
      <c r="E168" s="29">
        <v>191</v>
      </c>
      <c r="F168" s="30">
        <v>171.24545454545449</v>
      </c>
      <c r="G168" s="27">
        <v>0.7</v>
      </c>
      <c r="H168" s="27">
        <v>4.2140000000000004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172</v>
      </c>
      <c r="B171" s="28"/>
      <c r="C171" s="28"/>
      <c r="D171" s="28"/>
      <c r="E171" s="44">
        <v>0</v>
      </c>
      <c r="F171" s="45">
        <v>81.583270874999982</v>
      </c>
      <c r="G171" s="46">
        <v>81.583270874999982</v>
      </c>
      <c r="H171" s="47">
        <v>72.259674999999987</v>
      </c>
      <c r="I171" s="29">
        <v>0</v>
      </c>
      <c r="J171" s="48">
        <v>72.259674999999987</v>
      </c>
      <c r="K171" s="30">
        <v>81.583270874999982</v>
      </c>
      <c r="L171" s="27"/>
      <c r="M171" s="31">
        <v>8.6338945626591972</v>
      </c>
      <c r="N171" s="37"/>
    </row>
    <row r="172" spans="1:14" ht="15" customHeight="1" x14ac:dyDescent="0.45">
      <c r="A172" s="16">
        <v>5</v>
      </c>
      <c r="B172" s="17" t="s">
        <v>173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10.5</v>
      </c>
      <c r="D174" s="28"/>
      <c r="E174" s="29">
        <v>191</v>
      </c>
      <c r="F174" s="30">
        <v>171.24545454545449</v>
      </c>
      <c r="G174" s="27">
        <v>0.75</v>
      </c>
      <c r="H174" s="27">
        <v>4.2140000000000004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174</v>
      </c>
      <c r="B177" s="28"/>
      <c r="C177" s="28"/>
      <c r="D177" s="28"/>
      <c r="E177" s="44">
        <v>0</v>
      </c>
      <c r="F177" s="45">
        <v>17.782709624999981</v>
      </c>
      <c r="G177" s="46">
        <v>17.782709624999981</v>
      </c>
      <c r="H177" s="47">
        <v>25</v>
      </c>
      <c r="I177" s="29">
        <v>0</v>
      </c>
      <c r="J177" s="48">
        <v>25</v>
      </c>
      <c r="K177" s="30">
        <v>25</v>
      </c>
      <c r="L177" s="27"/>
      <c r="M177" s="31">
        <v>6.5720658924548943</v>
      </c>
      <c r="N177" s="37"/>
    </row>
    <row r="178" spans="1:14" ht="15" customHeight="1" x14ac:dyDescent="0.45">
      <c r="A178" s="16">
        <v>6</v>
      </c>
      <c r="B178" s="17" t="s">
        <v>175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7</v>
      </c>
      <c r="D180" s="28"/>
      <c r="E180" s="29">
        <v>127</v>
      </c>
      <c r="F180" s="30">
        <v>254.44545454545451</v>
      </c>
      <c r="G180" s="27">
        <v>0.75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176</v>
      </c>
      <c r="B183" s="28"/>
      <c r="C183" s="28"/>
      <c r="D183" s="28"/>
      <c r="E183" s="44">
        <v>0</v>
      </c>
      <c r="F183" s="45">
        <v>65.293765874999991</v>
      </c>
      <c r="G183" s="46">
        <v>65.293765874999991</v>
      </c>
      <c r="H183" s="47">
        <v>60.193374999999996</v>
      </c>
      <c r="I183" s="29">
        <v>0</v>
      </c>
      <c r="J183" s="48">
        <v>60.193374999999996</v>
      </c>
      <c r="K183" s="30">
        <v>65.293765874999991</v>
      </c>
      <c r="L183" s="27"/>
      <c r="M183" s="31">
        <v>7.0028412837538214</v>
      </c>
      <c r="N183" s="37"/>
    </row>
    <row r="184" spans="1:14" ht="15" customHeight="1" x14ac:dyDescent="0.45">
      <c r="A184" s="16">
        <v>7</v>
      </c>
      <c r="B184" s="17" t="s">
        <v>177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0</v>
      </c>
      <c r="D186" s="28"/>
      <c r="E186" s="29">
        <v>191</v>
      </c>
      <c r="F186" s="30">
        <v>171.24545454545449</v>
      </c>
      <c r="G186" s="27">
        <v>0.75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168</v>
      </c>
      <c r="B189" s="28"/>
      <c r="C189" s="28"/>
      <c r="D189" s="28"/>
      <c r="E189" s="44">
        <v>43.137022499999993</v>
      </c>
      <c r="F189" s="45">
        <v>61.966966861816026</v>
      </c>
      <c r="G189" s="46">
        <v>105.10398936181602</v>
      </c>
      <c r="H189" s="47">
        <v>0</v>
      </c>
      <c r="I189" s="29">
        <v>0</v>
      </c>
      <c r="J189" s="48">
        <v>0</v>
      </c>
      <c r="K189" s="30">
        <v>105.10398936181602</v>
      </c>
      <c r="L189" s="27"/>
      <c r="M189" s="31">
        <v>10.283642848058932</v>
      </c>
      <c r="N189" s="37"/>
    </row>
    <row r="190" spans="1:14" ht="15" customHeight="1" x14ac:dyDescent="0.45">
      <c r="A190" s="16">
        <v>8</v>
      </c>
      <c r="B190" s="17" t="s">
        <v>178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0</v>
      </c>
      <c r="D192" s="28"/>
      <c r="E192" s="29">
        <v>191</v>
      </c>
      <c r="F192" s="30">
        <v>171.24545454545449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168</v>
      </c>
      <c r="B195" s="28"/>
      <c r="C195" s="28"/>
      <c r="D195" s="28"/>
      <c r="E195" s="44">
        <v>43.137022499999993</v>
      </c>
      <c r="F195" s="45">
        <v>61.966966861816026</v>
      </c>
      <c r="G195" s="46">
        <v>105.10398936181602</v>
      </c>
      <c r="H195" s="47">
        <v>0</v>
      </c>
      <c r="I195" s="29">
        <v>0</v>
      </c>
      <c r="J195" s="48">
        <v>0</v>
      </c>
      <c r="K195" s="30">
        <v>105.10398936181602</v>
      </c>
      <c r="L195" s="27"/>
      <c r="M195" s="31">
        <v>9.6647333248550016</v>
      </c>
      <c r="N195" s="37"/>
    </row>
    <row r="196" spans="1:14" ht="15" customHeight="1" x14ac:dyDescent="0.45">
      <c r="A196" s="16">
        <v>9</v>
      </c>
      <c r="B196" s="17" t="s">
        <v>179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2.9</v>
      </c>
      <c r="D198" s="28"/>
      <c r="E198" s="29">
        <v>85.6</v>
      </c>
      <c r="F198" s="30">
        <v>308.26545454545453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170</v>
      </c>
      <c r="B201" s="28"/>
      <c r="C201" s="28"/>
      <c r="D201" s="28"/>
      <c r="E201" s="44">
        <v>13.9767975</v>
      </c>
      <c r="F201" s="45">
        <v>86.836910943515008</v>
      </c>
      <c r="G201" s="46">
        <v>100.81370844351501</v>
      </c>
      <c r="H201" s="47">
        <v>0</v>
      </c>
      <c r="I201" s="29">
        <v>0</v>
      </c>
      <c r="J201" s="48">
        <v>0</v>
      </c>
      <c r="K201" s="30">
        <v>100.81370844351501</v>
      </c>
      <c r="L201" s="27"/>
      <c r="M201" s="31">
        <v>7.3248829526161403</v>
      </c>
      <c r="N201" s="37"/>
    </row>
    <row r="202" spans="1:14" ht="15" customHeight="1" x14ac:dyDescent="0.45">
      <c r="A202" s="16">
        <v>10</v>
      </c>
      <c r="B202" s="17" t="s">
        <v>180</v>
      </c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9"/>
      <c r="N202" s="9"/>
    </row>
    <row r="203" spans="1:14" ht="15" customHeight="1" x14ac:dyDescent="0.45">
      <c r="A203" s="20" t="s">
        <v>146</v>
      </c>
      <c r="B203" s="21" t="s">
        <v>147</v>
      </c>
      <c r="C203" s="22" t="s">
        <v>148</v>
      </c>
      <c r="D203" s="22"/>
      <c r="E203" s="23" t="s">
        <v>149</v>
      </c>
      <c r="F203" s="21" t="s">
        <v>150</v>
      </c>
      <c r="G203" s="24" t="s">
        <v>151</v>
      </c>
      <c r="H203" s="24" t="s">
        <v>152</v>
      </c>
      <c r="I203" s="24" t="s">
        <v>153</v>
      </c>
      <c r="J203" s="24" t="s">
        <v>154</v>
      </c>
      <c r="K203" s="24" t="s">
        <v>155</v>
      </c>
      <c r="L203" s="24"/>
      <c r="M203" s="25" t="s">
        <v>156</v>
      </c>
      <c r="N203" s="9"/>
    </row>
    <row r="204" spans="1:14" ht="15" customHeight="1" x14ac:dyDescent="0.45">
      <c r="A204" s="26">
        <v>355</v>
      </c>
      <c r="B204" s="27">
        <v>1.1000000000000001</v>
      </c>
      <c r="C204" s="28">
        <v>5.8</v>
      </c>
      <c r="D204" s="28"/>
      <c r="E204" s="29">
        <v>127</v>
      </c>
      <c r="F204" s="30">
        <v>254.44545454545451</v>
      </c>
      <c r="G204" s="27">
        <v>0.7</v>
      </c>
      <c r="H204" s="27">
        <v>4</v>
      </c>
      <c r="I204" s="27">
        <v>1</v>
      </c>
      <c r="J204" s="27">
        <v>1</v>
      </c>
      <c r="K204" s="27">
        <v>1</v>
      </c>
      <c r="L204" s="29"/>
      <c r="M204" s="31">
        <v>5.5720658924548943</v>
      </c>
      <c r="N204" s="37"/>
    </row>
    <row r="205" spans="1:14" ht="15" customHeight="1" x14ac:dyDescent="0.45">
      <c r="A205" s="32" t="s">
        <v>157</v>
      </c>
      <c r="B205" s="33"/>
      <c r="C205" s="22"/>
      <c r="D205" s="22"/>
      <c r="E205" s="24"/>
      <c r="F205" s="34"/>
      <c r="G205" s="35"/>
      <c r="H205" s="36" t="s">
        <v>158</v>
      </c>
      <c r="I205" s="33"/>
      <c r="J205" s="35"/>
      <c r="K205" s="37"/>
      <c r="L205" s="9"/>
      <c r="M205" s="38"/>
      <c r="N205" s="9"/>
    </row>
    <row r="206" spans="1:14" ht="15" customHeight="1" x14ac:dyDescent="0.45">
      <c r="A206" s="39" t="s">
        <v>159</v>
      </c>
      <c r="B206" s="22"/>
      <c r="C206" s="22"/>
      <c r="D206" s="22"/>
      <c r="E206" s="22" t="s">
        <v>160</v>
      </c>
      <c r="F206" s="22" t="s">
        <v>161</v>
      </c>
      <c r="G206" s="40" t="s">
        <v>162</v>
      </c>
      <c r="H206" s="41" t="s">
        <v>160</v>
      </c>
      <c r="I206" s="22" t="s">
        <v>161</v>
      </c>
      <c r="J206" s="42" t="s">
        <v>163</v>
      </c>
      <c r="K206" s="24" t="s">
        <v>164</v>
      </c>
      <c r="L206" s="24"/>
      <c r="M206" s="25" t="s">
        <v>165</v>
      </c>
      <c r="N206" s="9"/>
    </row>
    <row r="207" spans="1:14" ht="15" customHeight="1" x14ac:dyDescent="0.45">
      <c r="A207" s="43" t="s">
        <v>172</v>
      </c>
      <c r="B207" s="28"/>
      <c r="C207" s="28"/>
      <c r="D207" s="28"/>
      <c r="E207" s="44">
        <v>0</v>
      </c>
      <c r="F207" s="45">
        <v>81.583270874999982</v>
      </c>
      <c r="G207" s="46">
        <v>81.583270874999982</v>
      </c>
      <c r="H207" s="47">
        <v>0</v>
      </c>
      <c r="I207" s="29">
        <v>0</v>
      </c>
      <c r="J207" s="48">
        <v>0</v>
      </c>
      <c r="K207" s="30">
        <v>81.583270874999982</v>
      </c>
      <c r="L207" s="27"/>
      <c r="M207" s="31">
        <v>7.2626527990297367</v>
      </c>
      <c r="N207" s="37"/>
    </row>
    <row r="208" spans="1:14" ht="15" customHeight="1" x14ac:dyDescent="0.45">
      <c r="A208" s="16">
        <v>11</v>
      </c>
      <c r="B208" s="17" t="s">
        <v>181</v>
      </c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9"/>
      <c r="N208" s="9"/>
    </row>
    <row r="209" spans="1:14" ht="15" customHeight="1" x14ac:dyDescent="0.45">
      <c r="A209" s="20" t="s">
        <v>146</v>
      </c>
      <c r="B209" s="21" t="s">
        <v>147</v>
      </c>
      <c r="C209" s="22" t="s">
        <v>148</v>
      </c>
      <c r="D209" s="22"/>
      <c r="E209" s="23" t="s">
        <v>149</v>
      </c>
      <c r="F209" s="21" t="s">
        <v>150</v>
      </c>
      <c r="G209" s="24" t="s">
        <v>151</v>
      </c>
      <c r="H209" s="24" t="s">
        <v>152</v>
      </c>
      <c r="I209" s="24" t="s">
        <v>153</v>
      </c>
      <c r="J209" s="24" t="s">
        <v>154</v>
      </c>
      <c r="K209" s="24" t="s">
        <v>155</v>
      </c>
      <c r="L209" s="24"/>
      <c r="M209" s="25" t="s">
        <v>156</v>
      </c>
      <c r="N209" s="9"/>
    </row>
    <row r="210" spans="1:14" ht="15" customHeight="1" x14ac:dyDescent="0.45">
      <c r="A210" s="26">
        <v>355</v>
      </c>
      <c r="B210" s="27">
        <v>1.1000000000000001</v>
      </c>
      <c r="C210" s="28">
        <v>7</v>
      </c>
      <c r="D210" s="28"/>
      <c r="E210" s="29">
        <v>127</v>
      </c>
      <c r="F210" s="30">
        <v>254.44545454545451</v>
      </c>
      <c r="G210" s="27">
        <v>0.7</v>
      </c>
      <c r="H210" s="27">
        <v>4</v>
      </c>
      <c r="I210" s="27">
        <v>1</v>
      </c>
      <c r="J210" s="27">
        <v>1</v>
      </c>
      <c r="K210" s="27">
        <v>1</v>
      </c>
      <c r="L210" s="29"/>
      <c r="M210" s="31">
        <v>5.5720658924548943</v>
      </c>
      <c r="N210" s="37"/>
    </row>
    <row r="211" spans="1:14" ht="15" customHeight="1" x14ac:dyDescent="0.45">
      <c r="A211" s="32" t="s">
        <v>157</v>
      </c>
      <c r="B211" s="33"/>
      <c r="C211" s="22"/>
      <c r="D211" s="22"/>
      <c r="E211" s="24"/>
      <c r="F211" s="34"/>
      <c r="G211" s="35"/>
      <c r="H211" s="36" t="s">
        <v>158</v>
      </c>
      <c r="I211" s="33"/>
      <c r="J211" s="35"/>
      <c r="K211" s="37"/>
      <c r="L211" s="9"/>
      <c r="M211" s="38"/>
      <c r="N211" s="9"/>
    </row>
    <row r="212" spans="1:14" ht="15" customHeight="1" x14ac:dyDescent="0.45">
      <c r="A212" s="39" t="s">
        <v>159</v>
      </c>
      <c r="B212" s="22"/>
      <c r="C212" s="22"/>
      <c r="D212" s="22"/>
      <c r="E212" s="22" t="s">
        <v>160</v>
      </c>
      <c r="F212" s="22" t="s">
        <v>161</v>
      </c>
      <c r="G212" s="40" t="s">
        <v>162</v>
      </c>
      <c r="H212" s="41" t="s">
        <v>160</v>
      </c>
      <c r="I212" s="22" t="s">
        <v>161</v>
      </c>
      <c r="J212" s="42" t="s">
        <v>163</v>
      </c>
      <c r="K212" s="24" t="s">
        <v>164</v>
      </c>
      <c r="L212" s="24"/>
      <c r="M212" s="25" t="s">
        <v>165</v>
      </c>
      <c r="N212" s="9"/>
    </row>
    <row r="213" spans="1:14" ht="15" customHeight="1" x14ac:dyDescent="0.45">
      <c r="A213" s="43" t="s">
        <v>176</v>
      </c>
      <c r="B213" s="28"/>
      <c r="C213" s="28"/>
      <c r="D213" s="28"/>
      <c r="E213" s="44">
        <v>0</v>
      </c>
      <c r="F213" s="45">
        <v>65.293765874999991</v>
      </c>
      <c r="G213" s="46">
        <v>65.293765874999991</v>
      </c>
      <c r="H213" s="47">
        <v>0</v>
      </c>
      <c r="I213" s="29">
        <v>0</v>
      </c>
      <c r="J213" s="48">
        <v>0</v>
      </c>
      <c r="K213" s="30">
        <v>65.293765874999991</v>
      </c>
      <c r="L213" s="27"/>
      <c r="M213" s="31">
        <v>6.6026518648368988</v>
      </c>
      <c r="N213" s="37"/>
    </row>
    <row r="214" spans="1:14" ht="15" customHeight="1" x14ac:dyDescent="0.45"/>
    <row r="215" spans="1:14" ht="15" customHeight="1" x14ac:dyDescent="0.45"/>
    <row r="216" spans="1:14" ht="15" customHeight="1" x14ac:dyDescent="0.45"/>
    <row r="217" spans="1:14" ht="15" customHeight="1" x14ac:dyDescent="0.45"/>
    <row r="218" spans="1:14" ht="15" customHeight="1" x14ac:dyDescent="0.45"/>
    <row r="219" spans="1:14" ht="15" customHeight="1" x14ac:dyDescent="0.45"/>
    <row r="220" spans="1:14" ht="15" customHeight="1" x14ac:dyDescent="0.45"/>
    <row r="221" spans="1:14" ht="15" customHeight="1" x14ac:dyDescent="0.45"/>
    <row r="222" spans="1:14" ht="15" customHeight="1" x14ac:dyDescent="0.45"/>
    <row r="223" spans="1:14" ht="15" customHeight="1" x14ac:dyDescent="0.45"/>
    <row r="224" spans="1:14" ht="15" customHeight="1" x14ac:dyDescent="0.45"/>
    <row r="225" ht="15" customHeight="1" x14ac:dyDescent="0.45"/>
    <row r="226" ht="15" customHeight="1" x14ac:dyDescent="0.45"/>
    <row r="227" ht="15" customHeight="1" x14ac:dyDescent="0.45"/>
  </sheetData>
  <mergeCells count="4">
    <mergeCell ref="F4:N5"/>
    <mergeCell ref="M21:M22"/>
    <mergeCell ref="A21:B22"/>
    <mergeCell ref="F1:N3"/>
  </mergeCells>
  <phoneticPr fontId="4" type="noConversion"/>
  <conditionalFormatting sqref="Z39:AB39 Y23:Y116">
    <cfRule type="cellIs" dxfId="9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E4051-14ED-4084-891A-B27C35B738A0}">
  <sheetPr codeName="Sheet6"/>
  <dimension ref="A1:AH215"/>
  <sheetViews>
    <sheetView showGridLines="0" topLeftCell="A112" zoomScale="130" zoomScaleNormal="130" workbookViewId="0">
      <selection activeCell="A21" sqref="A21:Y104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33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33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33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33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5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5" t="s">
        <v>77</v>
      </c>
      <c r="I11" s="4" t="s">
        <v>78</v>
      </c>
      <c r="M11" s="101">
        <v>544000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I12" s="4" t="s">
        <v>82</v>
      </c>
      <c r="M12" s="4">
        <v>13.3025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5" t="s">
        <v>37</v>
      </c>
      <c r="I13" s="4" t="s">
        <v>86</v>
      </c>
      <c r="M13" s="4">
        <v>4.6609999999999996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5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5" t="s">
        <v>37</v>
      </c>
      <c r="I15" s="4" t="s">
        <v>92</v>
      </c>
      <c r="M15" s="4">
        <v>30600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190.6095846645367</v>
      </c>
      <c r="Q23" s="65">
        <v>0</v>
      </c>
      <c r="R23" s="65">
        <v>43.295471195715699</v>
      </c>
      <c r="S23" s="60">
        <f t="shared" ref="S23:S24" si="0">SQRT(P23^2+Q23^2-P23*Q23+3*R23^2)</f>
        <v>204.8304353463233</v>
      </c>
      <c r="T23" s="59">
        <f>MIN(J23/$F$7,1.3*(J23/$F$7-S23))</f>
        <v>153.2658885952342</v>
      </c>
      <c r="U23" s="60">
        <f>14.3*$F$8/SQRT(J23/$F$7)</f>
        <v>3.98004706603921</v>
      </c>
      <c r="V23" s="60">
        <f>15.8*M23*K23*SQRT(I23)/SQRT(T23*O23)</f>
        <v>11.802682003431133</v>
      </c>
      <c r="W23" s="60">
        <f t="shared" ref="W23:W40" si="1">MAX(U23,V23)+N23</f>
        <v>13.302682003431133</v>
      </c>
      <c r="X23" s="169">
        <v>13.5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64" si="3">$M$11/ABS(($M$12/(C24-$M$13)))/1000</f>
        <v>190.6095846645367</v>
      </c>
      <c r="Q24" s="65">
        <v>0</v>
      </c>
      <c r="R24" s="65">
        <v>38.940138851156398</v>
      </c>
      <c r="S24" s="60">
        <f t="shared" si="0"/>
        <v>202.19054628550072</v>
      </c>
      <c r="T24" s="59">
        <f>MIN(J24/$F$7,1.3*(J24/$F$7-S24))</f>
        <v>156.69774437430357</v>
      </c>
      <c r="U24" s="60">
        <f t="shared" ref="U24:U85" si="4">14.3*$F$8/SQRT(J24/$F$7)</f>
        <v>3.98004706603921</v>
      </c>
      <c r="V24" s="60">
        <f t="shared" ref="V24:V37" si="5">15.8*M24*K24*SQRT(I24)/SQRT(T24*O24)</f>
        <v>11.672720523444756</v>
      </c>
      <c r="W24" s="60">
        <f t="shared" si="1"/>
        <v>13.172720523444756</v>
      </c>
      <c r="X24" s="169">
        <v>13.5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190.6095846645367</v>
      </c>
      <c r="Q25" s="65">
        <v>0</v>
      </c>
      <c r="R25" s="65">
        <v>28.221763038587099</v>
      </c>
      <c r="S25" s="60">
        <f>SQRT(P25^2+Q25^2-P25*Q25+3*R25^2)</f>
        <v>196.77758381737914</v>
      </c>
      <c r="T25" s="59">
        <f>MIN(J25/$F$7,1.3*(J25/$F$7-S25))</f>
        <v>163.73459558286163</v>
      </c>
      <c r="U25" s="60">
        <f t="shared" si="4"/>
        <v>3.98004706603921</v>
      </c>
      <c r="V25" s="60">
        <f t="shared" si="5"/>
        <v>11.419135706788174</v>
      </c>
      <c r="W25" s="60">
        <f t="shared" si="1"/>
        <v>12.919135706788174</v>
      </c>
      <c r="X25" s="169">
        <v>13.5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190.6095846645367</v>
      </c>
      <c r="Q26" s="65">
        <v>0</v>
      </c>
      <c r="R26" s="65">
        <v>23.866430694027599</v>
      </c>
      <c r="S26" s="60">
        <f t="shared" ref="S26:S87" si="8">SQRT(P26^2+Q26^2-P26*Q26+3*R26^2)</f>
        <v>195.04059400085319</v>
      </c>
      <c r="T26" s="59">
        <f>MIN(J26/$F$7,1.3*(J26/$F$7-S26))</f>
        <v>165.99268234434535</v>
      </c>
      <c r="U26" s="60">
        <f t="shared" si="4"/>
        <v>3.98004706603921</v>
      </c>
      <c r="V26" s="60">
        <f t="shared" si="5"/>
        <v>11.341199458288038</v>
      </c>
      <c r="W26" s="60">
        <f t="shared" si="1"/>
        <v>12.841199458288038</v>
      </c>
      <c r="X26" s="169">
        <v>13.5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190.6095846645367</v>
      </c>
      <c r="Q27" s="65">
        <v>0</v>
      </c>
      <c r="R27" s="65">
        <v>13.1480548814583</v>
      </c>
      <c r="S27" s="60">
        <f t="shared" si="8"/>
        <v>191.96517342342256</v>
      </c>
      <c r="T27" s="59">
        <f>MIN(J27/$F$7,1.3*(J27/$F$7-S27))</f>
        <v>169.99072909500518</v>
      </c>
      <c r="U27" s="60">
        <f t="shared" si="4"/>
        <v>3.98004706603921</v>
      </c>
      <c r="V27" s="60">
        <f t="shared" si="5"/>
        <v>11.207037925885974</v>
      </c>
      <c r="W27" s="60">
        <f t="shared" si="1"/>
        <v>12.707037925885974</v>
      </c>
      <c r="X27" s="169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64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190.6095846645367</v>
      </c>
      <c r="Q28" s="65">
        <v>0</v>
      </c>
      <c r="R28" s="65">
        <v>8.7927225368989905</v>
      </c>
      <c r="S28" s="60">
        <f t="shared" si="8"/>
        <v>191.21702245046035</v>
      </c>
      <c r="T28" s="59">
        <f t="shared" ref="T28:T38" si="10">MIN(J28/$F$7,1.3*(J28/$F$7-S28))</f>
        <v>170.96332535985604</v>
      </c>
      <c r="U28" s="60">
        <f t="shared" si="4"/>
        <v>3.98004706603921</v>
      </c>
      <c r="V28" s="60">
        <f t="shared" si="5"/>
        <v>11.175114501234175</v>
      </c>
      <c r="W28" s="60">
        <f t="shared" si="1"/>
        <v>12.675114501234175</v>
      </c>
      <c r="X28" s="169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190.6095846645367</v>
      </c>
      <c r="Q29" s="65">
        <v>0</v>
      </c>
      <c r="R29" s="65">
        <v>6.2809856202297301</v>
      </c>
      <c r="S29" s="60">
        <f t="shared" si="8"/>
        <v>190.91978972089765</v>
      </c>
      <c r="T29" s="59">
        <f t="shared" si="10"/>
        <v>171.34972790828755</v>
      </c>
      <c r="U29" s="60">
        <f t="shared" si="4"/>
        <v>3.98004706603921</v>
      </c>
      <c r="V29" s="60">
        <f t="shared" si="5"/>
        <v>11.162507157456469</v>
      </c>
      <c r="W29" s="60">
        <f t="shared" si="1"/>
        <v>12.662507157456469</v>
      </c>
      <c r="X29" s="169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190.6095846645367</v>
      </c>
      <c r="Q30" s="65">
        <v>0</v>
      </c>
      <c r="R30" s="65">
        <v>10.6363179647894</v>
      </c>
      <c r="S30" s="60">
        <f t="shared" si="8"/>
        <v>191.49780036734492</v>
      </c>
      <c r="T30" s="59">
        <f t="shared" si="10"/>
        <v>170.5983140679061</v>
      </c>
      <c r="U30" s="60">
        <f t="shared" si="4"/>
        <v>3.98004706603921</v>
      </c>
      <c r="V30" s="60">
        <f t="shared" si="5"/>
        <v>11.18706322259218</v>
      </c>
      <c r="W30" s="60">
        <f t="shared" si="1"/>
        <v>12.68706322259218</v>
      </c>
      <c r="X30" s="169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190.6095846645367</v>
      </c>
      <c r="Q31" s="65">
        <v>0</v>
      </c>
      <c r="R31" s="65">
        <v>21.354693777358499</v>
      </c>
      <c r="S31" s="60">
        <f t="shared" si="8"/>
        <v>194.16509110795752</v>
      </c>
      <c r="T31" s="59">
        <f t="shared" si="10"/>
        <v>167.13083610510972</v>
      </c>
      <c r="U31" s="60">
        <f t="shared" si="4"/>
        <v>3.98004706603921</v>
      </c>
      <c r="V31" s="60">
        <f t="shared" si="5"/>
        <v>11.302516950491103</v>
      </c>
      <c r="W31" s="60">
        <f t="shared" si="1"/>
        <v>12.802516950491103</v>
      </c>
      <c r="X31" s="169">
        <v>14.5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190.6095846645367</v>
      </c>
      <c r="Q32" s="65">
        <v>0</v>
      </c>
      <c r="R32" s="65">
        <v>25.710026121918101</v>
      </c>
      <c r="S32" s="60">
        <f t="shared" si="8"/>
        <v>195.74225424153138</v>
      </c>
      <c r="T32" s="59">
        <f t="shared" si="10"/>
        <v>165.08052403146371</v>
      </c>
      <c r="U32" s="60">
        <f t="shared" si="4"/>
        <v>3.98004706603921</v>
      </c>
      <c r="V32" s="60">
        <f t="shared" si="5"/>
        <v>11.372489395109987</v>
      </c>
      <c r="W32" s="60">
        <f t="shared" si="1"/>
        <v>12.872489395109987</v>
      </c>
      <c r="X32" s="169">
        <v>14.5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190.6095846645367</v>
      </c>
      <c r="Q33" s="65">
        <v>0</v>
      </c>
      <c r="R33" s="65">
        <v>36.428401934487297</v>
      </c>
      <c r="S33" s="60">
        <f t="shared" si="8"/>
        <v>200.78122215109872</v>
      </c>
      <c r="T33" s="59">
        <f t="shared" si="10"/>
        <v>158.52986574902616</v>
      </c>
      <c r="U33" s="60">
        <f t="shared" si="4"/>
        <v>3.98004706603921</v>
      </c>
      <c r="V33" s="60">
        <f t="shared" si="5"/>
        <v>11.605073998051376</v>
      </c>
      <c r="W33" s="60">
        <f t="shared" si="1"/>
        <v>13.105073998051376</v>
      </c>
      <c r="X33" s="169">
        <v>14.5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190.6095846645367</v>
      </c>
      <c r="Q34" s="65">
        <v>0</v>
      </c>
      <c r="R34" s="65">
        <v>40.783734279046797</v>
      </c>
      <c r="S34" s="60">
        <f t="shared" si="8"/>
        <v>203.27801826862361</v>
      </c>
      <c r="T34" s="59">
        <f t="shared" si="10"/>
        <v>155.2840307962438</v>
      </c>
      <c r="U34" s="60">
        <f t="shared" si="4"/>
        <v>3.98004706603921</v>
      </c>
      <c r="V34" s="60">
        <f t="shared" si="5"/>
        <v>11.725734651555573</v>
      </c>
      <c r="W34" s="60">
        <f t="shared" si="1"/>
        <v>13.225734651555573</v>
      </c>
      <c r="X34" s="169">
        <v>14.5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190.6095846645367</v>
      </c>
      <c r="Q35" s="65">
        <v>0</v>
      </c>
      <c r="R35" s="65">
        <v>51.502110091615997</v>
      </c>
      <c r="S35" s="60">
        <f t="shared" si="8"/>
        <v>210.45050676502061</v>
      </c>
      <c r="T35" s="59">
        <f t="shared" si="10"/>
        <v>145.95979575092773</v>
      </c>
      <c r="U35" s="60">
        <f t="shared" si="4"/>
        <v>3.98004706603921</v>
      </c>
      <c r="V35" s="60">
        <f t="shared" si="5"/>
        <v>12.094469856709622</v>
      </c>
      <c r="W35" s="60">
        <f t="shared" si="1"/>
        <v>13.594469856709622</v>
      </c>
      <c r="X35" s="169">
        <v>14.5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190.6095846645367</v>
      </c>
      <c r="Q36" s="65">
        <v>0</v>
      </c>
      <c r="R36" s="65">
        <v>55.857442436175603</v>
      </c>
      <c r="S36" s="60">
        <f t="shared" si="8"/>
        <v>213.75728149590412</v>
      </c>
      <c r="T36" s="59">
        <f t="shared" si="10"/>
        <v>141.66098860077915</v>
      </c>
      <c r="U36" s="60">
        <f t="shared" si="4"/>
        <v>3.98004706603921</v>
      </c>
      <c r="V36" s="60">
        <f t="shared" si="5"/>
        <v>12.276606220437547</v>
      </c>
      <c r="W36" s="60">
        <f t="shared" si="1"/>
        <v>13.776606220437547</v>
      </c>
      <c r="X36" s="169">
        <v>14.5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190.6095846645367</v>
      </c>
      <c r="Q37" s="65">
        <v>0</v>
      </c>
      <c r="R37" s="65">
        <v>66.575816593807303</v>
      </c>
      <c r="S37" s="60">
        <f t="shared" si="8"/>
        <v>222.77574336400269</v>
      </c>
      <c r="T37" s="59">
        <f t="shared" si="10"/>
        <v>129.93698817225101</v>
      </c>
      <c r="U37" s="60">
        <f t="shared" si="4"/>
        <v>3.98004706603921</v>
      </c>
      <c r="V37" s="60">
        <f t="shared" si="5"/>
        <v>12.818495697420236</v>
      </c>
      <c r="W37" s="60">
        <f t="shared" si="1"/>
        <v>14.318495697420236</v>
      </c>
      <c r="X37" s="169">
        <v>14.5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190.6095846645367</v>
      </c>
      <c r="Q38" s="65">
        <v>0</v>
      </c>
      <c r="R38" s="65">
        <v>70.931147283429297</v>
      </c>
      <c r="S38" s="60">
        <f t="shared" si="8"/>
        <v>226.77234560417151</v>
      </c>
      <c r="T38" s="59">
        <f t="shared" si="10"/>
        <v>124.74140526003154</v>
      </c>
      <c r="U38" s="60">
        <f t="shared" si="4"/>
        <v>3.98004706603921</v>
      </c>
      <c r="V38" s="60">
        <f>15.8*M38*K38*SQRT(I38)/SQRT(T38*O38)</f>
        <v>13.082722928551327</v>
      </c>
      <c r="W38" s="60">
        <f t="shared" si="1"/>
        <v>14.582722928551327</v>
      </c>
      <c r="X38" s="169">
        <v>14.5</v>
      </c>
      <c r="Y38" s="60" t="str">
        <f t="shared" si="6"/>
        <v>OK</v>
      </c>
    </row>
    <row r="39" spans="1:30" ht="12" customHeight="1" x14ac:dyDescent="0.3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190.6095846645367</v>
      </c>
      <c r="Q39" s="95">
        <v>0</v>
      </c>
      <c r="R39" s="95">
        <v>78.143676103429897</v>
      </c>
      <c r="S39" s="96">
        <f>SQRT(P39^2+Q39^2-P39*Q39+3*R39^2)</f>
        <v>233.77620946294016</v>
      </c>
      <c r="T39" s="93">
        <f>MIN(J39/$F$7,1.3*(J39/$F$7-S39))</f>
        <v>115.6363822436323</v>
      </c>
      <c r="U39" s="96">
        <f>14.3*$F$8/SQRT(J39/$F$7)</f>
        <v>3.98004706603921</v>
      </c>
      <c r="V39" s="96">
        <f>15.8*M39*K39*SQRT(I39)/SQRT(T39*O39)</f>
        <v>12.682153007113268</v>
      </c>
      <c r="W39" s="96">
        <f t="shared" si="1"/>
        <v>14.182153007113268</v>
      </c>
      <c r="X39" s="168" ph="1">
        <v>14</v>
      </c>
      <c r="Y39" s="96" t="str">
        <f t="shared" si="6"/>
        <v>OK</v>
      </c>
      <c r="Z39" s="74"/>
      <c r="AA39" s="81"/>
      <c r="AB39" s="81"/>
    </row>
    <row r="40" spans="1:30" ht="12" customHeight="1" x14ac:dyDescent="0.3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176.29648494316746</v>
      </c>
      <c r="Q40" s="95">
        <v>0</v>
      </c>
      <c r="R40" s="95">
        <v>81.753939465200702</v>
      </c>
      <c r="S40" s="96">
        <f t="shared" si="8"/>
        <v>226.12291006785574</v>
      </c>
      <c r="T40" s="93">
        <f t="shared" ref="T40:T101" si="11">MIN(J40/$F$7,1.3*(J40/$F$7-S40))</f>
        <v>125.58567145724204</v>
      </c>
      <c r="U40" s="96">
        <f t="shared" si="4"/>
        <v>3.98004706603921</v>
      </c>
      <c r="V40" s="96">
        <f t="shared" ref="V40:V101" si="12">15.8*M40*K40*SQRT(I40)/SQRT(T40*O40)</f>
        <v>12.013504037618954</v>
      </c>
      <c r="W40" s="96">
        <f t="shared" si="1"/>
        <v>13.513504037618954</v>
      </c>
      <c r="X40" s="168" ph="1">
        <v>14</v>
      </c>
      <c r="Y40" s="96" t="str">
        <f t="shared" si="6"/>
        <v>OK</v>
      </c>
    </row>
    <row r="41" spans="1:30" ht="12" customHeight="1" x14ac:dyDescent="0.3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161.98338522179819</v>
      </c>
      <c r="Q41" s="95">
        <v>0</v>
      </c>
      <c r="R41" s="95">
        <v>89.799583490275296</v>
      </c>
      <c r="S41" s="96">
        <f t="shared" si="8"/>
        <v>224.56739004805269</v>
      </c>
      <c r="T41" s="93">
        <f t="shared" si="11"/>
        <v>127.60784748298602</v>
      </c>
      <c r="U41" s="96">
        <f t="shared" si="4"/>
        <v>3.98004706603921</v>
      </c>
      <c r="V41" s="96">
        <f t="shared" si="12"/>
        <v>11.761217598553706</v>
      </c>
      <c r="W41" s="96">
        <f t="shared" ref="W41:W102" si="13">MAX(U41,V41)+N41</f>
        <v>13.261217598553706</v>
      </c>
      <c r="X41" s="168" ph="1">
        <v>14</v>
      </c>
      <c r="Y41" s="96" t="str">
        <f t="shared" si="6"/>
        <v>OK</v>
      </c>
    </row>
    <row r="42" spans="1:30" ht="12" customHeight="1" x14ac:dyDescent="0.3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147.67028550042906</v>
      </c>
      <c r="Q42" s="95">
        <v>0</v>
      </c>
      <c r="R42" s="95">
        <v>92.803562194511699</v>
      </c>
      <c r="S42" s="96">
        <f t="shared" si="8"/>
        <v>218.27509406194292</v>
      </c>
      <c r="T42" s="93">
        <f t="shared" si="11"/>
        <v>135.78783226492871</v>
      </c>
      <c r="U42" s="96">
        <f t="shared" si="4"/>
        <v>3.98004706603921</v>
      </c>
      <c r="V42" s="96">
        <f t="shared" si="12"/>
        <v>11.247485430829917</v>
      </c>
      <c r="W42" s="96">
        <f t="shared" si="13"/>
        <v>12.747485430829917</v>
      </c>
      <c r="X42" s="168" ph="1">
        <v>14</v>
      </c>
      <c r="Y42" s="96" t="str">
        <f t="shared" si="6"/>
        <v>OK</v>
      </c>
    </row>
    <row r="43" spans="1:30" ht="12" customHeight="1" x14ac:dyDescent="0.3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133.35718577905971</v>
      </c>
      <c r="Q43" s="95">
        <v>0</v>
      </c>
      <c r="R43" s="95">
        <v>99.099948129337605</v>
      </c>
      <c r="S43" s="96">
        <f t="shared" si="8"/>
        <v>217.36268805069295</v>
      </c>
      <c r="T43" s="93">
        <f t="shared" si="11"/>
        <v>136.97396007955368</v>
      </c>
      <c r="U43" s="96">
        <f t="shared" si="4"/>
        <v>3.98004706603921</v>
      </c>
      <c r="V43" s="96">
        <f t="shared" si="12"/>
        <v>11.043243994788087</v>
      </c>
      <c r="W43" s="96">
        <f t="shared" si="13"/>
        <v>12.543243994788087</v>
      </c>
      <c r="X43" s="168" ph="1">
        <v>14</v>
      </c>
      <c r="Y43" s="96" t="str">
        <f t="shared" si="6"/>
        <v>OK</v>
      </c>
    </row>
    <row r="44" spans="1:30" ht="12" customHeight="1" x14ac:dyDescent="0.3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119.04408605769038</v>
      </c>
      <c r="Q44" s="95">
        <v>0</v>
      </c>
      <c r="R44" s="95">
        <v>101.49764217603899</v>
      </c>
      <c r="S44" s="96">
        <f t="shared" si="8"/>
        <v>212.31299660453323</v>
      </c>
      <c r="T44" s="93">
        <f t="shared" si="11"/>
        <v>143.5385589595613</v>
      </c>
      <c r="U44" s="96">
        <f t="shared" si="4"/>
        <v>3.98004706603921</v>
      </c>
      <c r="V44" s="96">
        <f t="shared" si="12"/>
        <v>10.633754016825108</v>
      </c>
      <c r="W44" s="96">
        <f t="shared" si="13"/>
        <v>12.133754016825108</v>
      </c>
      <c r="X44" s="168" ph="1">
        <v>14</v>
      </c>
      <c r="Y44" s="96" t="str">
        <f t="shared" si="6"/>
        <v>OK</v>
      </c>
    </row>
    <row r="45" spans="1:30" ht="12" customHeight="1" x14ac:dyDescent="0.3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104.730986336321</v>
      </c>
      <c r="Q45" s="95">
        <v>0</v>
      </c>
      <c r="R45" s="95">
        <v>106.037706704706</v>
      </c>
      <c r="S45" s="96">
        <f t="shared" si="8"/>
        <v>211.42508183410598</v>
      </c>
      <c r="T45" s="93">
        <f t="shared" si="11"/>
        <v>144.69284816111673</v>
      </c>
      <c r="U45" s="96">
        <f t="shared" si="4"/>
        <v>3.98004706603921</v>
      </c>
      <c r="V45" s="96">
        <f t="shared" si="12"/>
        <v>10.435606037125641</v>
      </c>
      <c r="W45" s="96">
        <f t="shared" si="13"/>
        <v>11.935606037125641</v>
      </c>
      <c r="X45" s="168" ph="1">
        <v>14</v>
      </c>
      <c r="Y45" s="96" t="str">
        <f t="shared" si="6"/>
        <v>OK</v>
      </c>
    </row>
    <row r="46" spans="1:30" ht="12" customHeight="1" x14ac:dyDescent="0.3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90.417886614951655</v>
      </c>
      <c r="Q46" s="95">
        <v>0</v>
      </c>
      <c r="R46" s="95">
        <v>107.82911609387401</v>
      </c>
      <c r="S46" s="96">
        <f t="shared" si="8"/>
        <v>207.50120253307625</v>
      </c>
      <c r="T46" s="93">
        <f t="shared" si="11"/>
        <v>149.79389125245538</v>
      </c>
      <c r="U46" s="96">
        <f t="shared" si="4"/>
        <v>3.98004706603921</v>
      </c>
      <c r="V46" s="96">
        <f t="shared" si="12"/>
        <v>10.101090390574766</v>
      </c>
      <c r="W46" s="96">
        <f t="shared" si="13"/>
        <v>11.601090390574766</v>
      </c>
      <c r="X46" s="168" ph="1">
        <v>14</v>
      </c>
      <c r="Y46" s="96" t="str">
        <f t="shared" si="6"/>
        <v>OK</v>
      </c>
    </row>
    <row r="47" spans="1:30" ht="12" customHeight="1" x14ac:dyDescent="0.3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76.104786893582698</v>
      </c>
      <c r="Q47" s="95">
        <v>0</v>
      </c>
      <c r="R47" s="95">
        <v>109.75621869507199</v>
      </c>
      <c r="S47" s="96">
        <f t="shared" si="8"/>
        <v>204.77114351108909</v>
      </c>
      <c r="T47" s="93">
        <f t="shared" si="11"/>
        <v>153.34296798103867</v>
      </c>
      <c r="U47" s="96">
        <f t="shared" si="4"/>
        <v>3.98004706603921</v>
      </c>
      <c r="V47" s="96">
        <f t="shared" si="12"/>
        <v>9.827632728260955</v>
      </c>
      <c r="W47" s="96">
        <f t="shared" si="13"/>
        <v>11.327632728260955</v>
      </c>
      <c r="X47" s="162" ph="1">
        <v>12</v>
      </c>
      <c r="Y47" s="96" t="str">
        <f t="shared" si="6"/>
        <v>OK</v>
      </c>
    </row>
    <row r="48" spans="1:30" ht="12" customHeight="1" x14ac:dyDescent="0.3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72.015335463258779</v>
      </c>
      <c r="Q48" s="95">
        <v>0</v>
      </c>
      <c r="R48" s="95">
        <v>110.78833431594001</v>
      </c>
      <c r="S48" s="96">
        <f t="shared" si="8"/>
        <v>204.9594438014193</v>
      </c>
      <c r="T48" s="93">
        <f t="shared" si="11"/>
        <v>153.09817760360943</v>
      </c>
      <c r="U48" s="96">
        <f t="shared" si="4"/>
        <v>3.98004706603921</v>
      </c>
      <c r="V48" s="96">
        <f t="shared" si="12"/>
        <v>9.7904571002910732</v>
      </c>
      <c r="W48" s="96">
        <f t="shared" si="13"/>
        <v>11.290457100291073</v>
      </c>
      <c r="X48" s="162" ph="1">
        <v>12</v>
      </c>
      <c r="Y48" s="96" t="str">
        <f t="shared" si="6"/>
        <v>OK</v>
      </c>
    </row>
    <row r="49" spans="1:25" ht="12" customHeight="1" x14ac:dyDescent="0.3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61.791687172213358</v>
      </c>
      <c r="Q49" s="95">
        <v>0</v>
      </c>
      <c r="R49" s="95">
        <v>111.973459047573</v>
      </c>
      <c r="S49" s="96">
        <f t="shared" si="8"/>
        <v>203.54945147758124</v>
      </c>
      <c r="T49" s="93">
        <f t="shared" si="11"/>
        <v>154.93116762459888</v>
      </c>
      <c r="U49" s="96">
        <f t="shared" si="4"/>
        <v>3.98004706603921</v>
      </c>
      <c r="V49" s="96">
        <f t="shared" si="12"/>
        <v>9.6195527058055852</v>
      </c>
      <c r="W49" s="96">
        <f t="shared" si="13"/>
        <v>11.119552705805585</v>
      </c>
      <c r="X49" s="162" ph="1">
        <v>12</v>
      </c>
      <c r="Y49" s="96" t="str">
        <f t="shared" si="6"/>
        <v>OK</v>
      </c>
    </row>
    <row r="50" spans="1:25" ht="12" customHeight="1" x14ac:dyDescent="0.3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47.478587450843996</v>
      </c>
      <c r="Q50" s="95">
        <v>0</v>
      </c>
      <c r="R50" s="95">
        <v>113.782549257423</v>
      </c>
      <c r="S50" s="96">
        <f t="shared" si="8"/>
        <v>202.71561807833436</v>
      </c>
      <c r="T50" s="93">
        <f t="shared" si="11"/>
        <v>156.01515104361982</v>
      </c>
      <c r="U50" s="96">
        <f t="shared" si="4"/>
        <v>3.98004706603921</v>
      </c>
      <c r="V50" s="96">
        <f t="shared" si="12"/>
        <v>9.4264305545969709</v>
      </c>
      <c r="W50" s="96">
        <f t="shared" si="13"/>
        <v>10.926430554596971</v>
      </c>
      <c r="X50" s="162" ph="1">
        <v>12</v>
      </c>
      <c r="Y50" s="96" t="str">
        <f t="shared" si="6"/>
        <v>OK</v>
      </c>
    </row>
    <row r="51" spans="1:25" ht="12" customHeight="1" x14ac:dyDescent="0.3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33.165487729474634</v>
      </c>
      <c r="Q51" s="95">
        <v>0</v>
      </c>
      <c r="R51" s="95">
        <v>114.36138933152</v>
      </c>
      <c r="S51" s="96">
        <f t="shared" si="8"/>
        <v>200.83707746788295</v>
      </c>
      <c r="T51" s="93">
        <f t="shared" si="11"/>
        <v>158.45725383720668</v>
      </c>
      <c r="U51" s="96">
        <f t="shared" si="4"/>
        <v>3.98004706603921</v>
      </c>
      <c r="V51" s="96">
        <f t="shared" si="12"/>
        <v>9.1923692709406986</v>
      </c>
      <c r="W51" s="96">
        <f t="shared" si="13"/>
        <v>10.692369270940699</v>
      </c>
      <c r="X51" s="162" ph="1">
        <v>12</v>
      </c>
      <c r="Y51" s="96" t="str">
        <f t="shared" si="6"/>
        <v>OK</v>
      </c>
    </row>
    <row r="52" spans="1:25" ht="12" customHeight="1" x14ac:dyDescent="0.3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18.85238800810529</v>
      </c>
      <c r="Q52" s="95">
        <v>0</v>
      </c>
      <c r="R52" s="95">
        <v>115.073497491938</v>
      </c>
      <c r="S52" s="96">
        <f t="shared" si="8"/>
        <v>200.20275225053558</v>
      </c>
      <c r="T52" s="93">
        <f t="shared" si="11"/>
        <v>159.28187661975824</v>
      </c>
      <c r="U52" s="96">
        <f t="shared" si="4"/>
        <v>3.98004706603921</v>
      </c>
      <c r="V52" s="96">
        <f t="shared" si="12"/>
        <v>9.0049524933036569</v>
      </c>
      <c r="W52" s="96">
        <f t="shared" si="13"/>
        <v>10.504952493303657</v>
      </c>
      <c r="X52" s="162" ph="1">
        <v>12</v>
      </c>
      <c r="Y52" s="96" t="str">
        <f t="shared" si="6"/>
        <v>OK</v>
      </c>
    </row>
    <row r="53" spans="1:25" ht="12" customHeight="1" x14ac:dyDescent="0.3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4.5392930455861933</v>
      </c>
      <c r="Q53" s="95">
        <v>0</v>
      </c>
      <c r="R53" s="95">
        <v>115.073497491938</v>
      </c>
      <c r="S53" s="96">
        <f t="shared" si="8"/>
        <v>199.36482803251653</v>
      </c>
      <c r="T53" s="93">
        <f t="shared" si="11"/>
        <v>160.37117810318301</v>
      </c>
      <c r="U53" s="96">
        <f t="shared" si="4"/>
        <v>3.98004706603921</v>
      </c>
      <c r="V53" s="96">
        <f t="shared" si="12"/>
        <v>8.8082664708258971</v>
      </c>
      <c r="W53" s="96">
        <f t="shared" si="13"/>
        <v>10.308266470825897</v>
      </c>
      <c r="X53" s="162" ph="1">
        <v>12</v>
      </c>
      <c r="Y53" s="96" t="str">
        <f t="shared" si="6"/>
        <v>OK</v>
      </c>
    </row>
    <row r="54" spans="1:25" ht="12" customHeight="1" x14ac:dyDescent="0.3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9.7738019169329373</v>
      </c>
      <c r="Q54" s="95">
        <v>0</v>
      </c>
      <c r="R54" s="95">
        <v>114.224722644831</v>
      </c>
      <c r="S54" s="96">
        <f t="shared" si="8"/>
        <v>198.08429769615043</v>
      </c>
      <c r="T54" s="93">
        <f t="shared" si="11"/>
        <v>162.03586754045895</v>
      </c>
      <c r="U54" s="96">
        <f t="shared" si="4"/>
        <v>3.98004706603921</v>
      </c>
      <c r="V54" s="96">
        <f t="shared" si="12"/>
        <v>8.5945325296861164</v>
      </c>
      <c r="W54" s="96">
        <f t="shared" si="13"/>
        <v>10.094532529686116</v>
      </c>
      <c r="X54" s="162" ph="1">
        <v>12</v>
      </c>
      <c r="Y54" s="96" t="str">
        <f t="shared" si="6"/>
        <v>OK</v>
      </c>
    </row>
    <row r="55" spans="1:25" ht="12" customHeight="1" x14ac:dyDescent="0.3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24.086901638302283</v>
      </c>
      <c r="Q55" s="95">
        <v>0</v>
      </c>
      <c r="R55" s="95">
        <v>113.89413593420601</v>
      </c>
      <c r="S55" s="96">
        <f t="shared" si="8"/>
        <v>198.73550621650736</v>
      </c>
      <c r="T55" s="93">
        <f t="shared" si="11"/>
        <v>161.18929646399494</v>
      </c>
      <c r="U55" s="96">
        <f t="shared" si="4"/>
        <v>3.98004706603921</v>
      </c>
      <c r="V55" s="96">
        <f t="shared" si="12"/>
        <v>8.4448859643379866</v>
      </c>
      <c r="W55" s="96">
        <f t="shared" si="13"/>
        <v>9.9448859643379866</v>
      </c>
      <c r="X55" s="162" ph="1">
        <v>12</v>
      </c>
      <c r="Y55" s="96" t="str">
        <f t="shared" si="6"/>
        <v>OK</v>
      </c>
    </row>
    <row r="56" spans="1:25" ht="12" customHeight="1" x14ac:dyDescent="0.3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38.40000135967162</v>
      </c>
      <c r="Q56" s="95">
        <v>0</v>
      </c>
      <c r="R56" s="95">
        <v>112.555984818572</v>
      </c>
      <c r="S56" s="96">
        <f t="shared" si="8"/>
        <v>198.69853864550342</v>
      </c>
      <c r="T56" s="93">
        <f t="shared" si="11"/>
        <v>161.23735430630006</v>
      </c>
      <c r="U56" s="96">
        <f t="shared" si="4"/>
        <v>3.98004706603921</v>
      </c>
      <c r="V56" s="96">
        <f t="shared" si="12"/>
        <v>8.2678825278191841</v>
      </c>
      <c r="W56" s="96">
        <f t="shared" si="13"/>
        <v>9.7678825278191841</v>
      </c>
      <c r="X56" s="162" ph="1">
        <v>12</v>
      </c>
      <c r="Y56" s="96" t="str">
        <f t="shared" si="6"/>
        <v>OK</v>
      </c>
    </row>
    <row r="57" spans="1:25" ht="12" customHeight="1" x14ac:dyDescent="0.3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46.578913738019175</v>
      </c>
      <c r="Q57" s="95">
        <v>0</v>
      </c>
      <c r="R57" s="95">
        <v>112.05774933695101</v>
      </c>
      <c r="S57" s="96">
        <f t="shared" si="8"/>
        <v>199.60063317635709</v>
      </c>
      <c r="T57" s="93">
        <f t="shared" si="11"/>
        <v>160.06463141619028</v>
      </c>
      <c r="U57" s="96">
        <f t="shared" si="4"/>
        <v>3.98004706603921</v>
      </c>
      <c r="V57" s="96">
        <f t="shared" si="12"/>
        <v>8.1956177569894617</v>
      </c>
      <c r="W57" s="96">
        <f t="shared" si="13"/>
        <v>9.6956177569894617</v>
      </c>
      <c r="X57" s="162" ph="1">
        <v>12</v>
      </c>
      <c r="Y57" s="96" t="str">
        <f t="shared" si="6"/>
        <v>OK</v>
      </c>
    </row>
    <row r="58" spans="1:25" ht="12" customHeight="1" x14ac:dyDescent="0.3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59.869647202628705</v>
      </c>
      <c r="Q58" s="95">
        <v>0</v>
      </c>
      <c r="R58" s="95">
        <v>111.036999716981</v>
      </c>
      <c r="S58" s="96">
        <f t="shared" si="8"/>
        <v>201.42497505178883</v>
      </c>
      <c r="T58" s="93">
        <f t="shared" si="11"/>
        <v>157.69298697812903</v>
      </c>
      <c r="U58" s="96">
        <f t="shared" si="4"/>
        <v>3.98004706603921</v>
      </c>
      <c r="V58" s="96">
        <f t="shared" si="12"/>
        <v>8.0863996747733395</v>
      </c>
      <c r="W58" s="96">
        <f t="shared" si="13"/>
        <v>9.5863996747733395</v>
      </c>
      <c r="X58" s="162" ph="1">
        <v>12</v>
      </c>
      <c r="Y58" s="96" t="str">
        <f t="shared" si="6"/>
        <v>OK</v>
      </c>
    </row>
    <row r="59" spans="1:25" ht="12" customHeight="1" x14ac:dyDescent="0.3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81.339293045586189</v>
      </c>
      <c r="Q59" s="95">
        <v>0</v>
      </c>
      <c r="R59" s="95">
        <v>107.315757647045</v>
      </c>
      <c r="S59" s="96">
        <f t="shared" si="8"/>
        <v>202.89429787757379</v>
      </c>
      <c r="T59" s="93">
        <f t="shared" si="11"/>
        <v>155.78286730460857</v>
      </c>
      <c r="U59" s="96">
        <f t="shared" si="4"/>
        <v>3.98004706603921</v>
      </c>
      <c r="V59" s="96">
        <f t="shared" si="12"/>
        <v>7.8506013733506528</v>
      </c>
      <c r="W59" s="96">
        <f t="shared" si="13"/>
        <v>9.3506013733506528</v>
      </c>
      <c r="X59" s="162" ph="1">
        <v>12</v>
      </c>
      <c r="Y59" s="96" t="str">
        <f t="shared" si="6"/>
        <v>OK</v>
      </c>
    </row>
    <row r="60" spans="1:25" ht="12" customHeight="1" x14ac:dyDescent="0.3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95.652392766955572</v>
      </c>
      <c r="Q60" s="95">
        <v>0</v>
      </c>
      <c r="R60" s="95">
        <v>105.469459450966</v>
      </c>
      <c r="S60" s="96">
        <f t="shared" si="8"/>
        <v>206.20572463605566</v>
      </c>
      <c r="T60" s="93">
        <f t="shared" si="11"/>
        <v>151.47801251858215</v>
      </c>
      <c r="U60" s="96">
        <f t="shared" si="4"/>
        <v>3.98004706603921</v>
      </c>
      <c r="V60" s="96">
        <f t="shared" si="12"/>
        <v>7.7625561770052558</v>
      </c>
      <c r="W60" s="96">
        <f t="shared" si="13"/>
        <v>9.2625561770052549</v>
      </c>
      <c r="X60" s="162" ph="1">
        <v>12</v>
      </c>
      <c r="Y60" s="96" t="str">
        <f t="shared" si="6"/>
        <v>OK</v>
      </c>
    </row>
    <row r="61" spans="1:25" ht="12" customHeight="1" x14ac:dyDescent="0.3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109.9654924883249</v>
      </c>
      <c r="Q61" s="95">
        <v>0</v>
      </c>
      <c r="R61" s="95">
        <v>101.255988605246</v>
      </c>
      <c r="S61" s="96">
        <f t="shared" si="8"/>
        <v>207.00419131862273</v>
      </c>
      <c r="T61" s="93">
        <f t="shared" si="11"/>
        <v>150.44000583124495</v>
      </c>
      <c r="U61" s="96">
        <f t="shared" si="4"/>
        <v>3.98004706603921</v>
      </c>
      <c r="V61" s="96">
        <f t="shared" si="12"/>
        <v>7.5845428122898575</v>
      </c>
      <c r="W61" s="96">
        <f t="shared" si="13"/>
        <v>9.0845428122898575</v>
      </c>
      <c r="X61" s="162" ph="1">
        <v>12</v>
      </c>
      <c r="Y61" s="96" t="str">
        <f t="shared" si="6"/>
        <v>OK</v>
      </c>
    </row>
    <row r="62" spans="1:25" ht="12" customHeight="1" x14ac:dyDescent="0.3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124.27859220969427</v>
      </c>
      <c r="Q62" s="95">
        <v>0</v>
      </c>
      <c r="R62" s="95">
        <v>98.803405751633093</v>
      </c>
      <c r="S62" s="96">
        <f t="shared" si="8"/>
        <v>211.49824454588037</v>
      </c>
      <c r="T62" s="93">
        <f t="shared" si="11"/>
        <v>144.59773663581004</v>
      </c>
      <c r="U62" s="96">
        <f t="shared" si="4"/>
        <v>3.98004706603921</v>
      </c>
      <c r="V62" s="96">
        <f t="shared" si="12"/>
        <v>7.5216079253335355</v>
      </c>
      <c r="W62" s="96">
        <f t="shared" si="13"/>
        <v>9.0216079253335355</v>
      </c>
      <c r="X62" s="162" ph="1">
        <v>12</v>
      </c>
      <c r="Y62" s="96" t="str">
        <f t="shared" si="6"/>
        <v>OK</v>
      </c>
    </row>
    <row r="63" spans="1:25" ht="12" customHeight="1" x14ac:dyDescent="0.3">
      <c r="A63" s="92">
        <v>41</v>
      </c>
      <c r="B63" s="92" t="s">
        <v>182</v>
      </c>
      <c r="C63" s="92">
        <v>8.0499999667517805</v>
      </c>
      <c r="D63" s="93">
        <v>0</v>
      </c>
      <c r="E63" s="93">
        <v>0</v>
      </c>
      <c r="F63" s="93">
        <f t="shared" si="2"/>
        <v>0</v>
      </c>
      <c r="G63" s="93">
        <f t="shared" si="9"/>
        <v>57.277352834319153</v>
      </c>
      <c r="H63" s="93">
        <v>0</v>
      </c>
      <c r="I63" s="93">
        <f t="shared" si="7"/>
        <v>63.005088117751072</v>
      </c>
      <c r="J63" s="93">
        <v>355</v>
      </c>
      <c r="K63" s="94">
        <v>0.7</v>
      </c>
      <c r="L63" s="94">
        <v>4</v>
      </c>
      <c r="M63" s="95">
        <v>1</v>
      </c>
      <c r="N63" s="95">
        <v>1.5</v>
      </c>
      <c r="O63" s="95">
        <v>1</v>
      </c>
      <c r="P63" s="95">
        <f t="shared" si="3"/>
        <v>138.59169193106325</v>
      </c>
      <c r="Q63" s="95">
        <v>0</v>
      </c>
      <c r="R63" s="95">
        <v>93.439806893695703</v>
      </c>
      <c r="S63" s="96">
        <f t="shared" si="8"/>
        <v>213.07428190494545</v>
      </c>
      <c r="T63" s="93">
        <f t="shared" si="11"/>
        <v>142.54888806902542</v>
      </c>
      <c r="U63" s="96">
        <f t="shared" si="4"/>
        <v>3.98004706603921</v>
      </c>
      <c r="V63" s="96">
        <f t="shared" si="12"/>
        <v>7.35293999102778</v>
      </c>
      <c r="W63" s="96">
        <f t="shared" si="13"/>
        <v>8.85293999102778</v>
      </c>
      <c r="X63" s="162" ph="1">
        <v>12</v>
      </c>
      <c r="Y63" s="96" t="str">
        <f t="shared" si="6"/>
        <v>OK</v>
      </c>
    </row>
    <row r="64" spans="1:25" ht="12" customHeight="1" x14ac:dyDescent="0.3">
      <c r="A64" s="92">
        <v>42</v>
      </c>
      <c r="B64" s="92" t="s">
        <v>182</v>
      </c>
      <c r="C64" s="92">
        <v>8.3999999833758903</v>
      </c>
      <c r="D64" s="93">
        <v>0</v>
      </c>
      <c r="E64" s="93">
        <v>0</v>
      </c>
      <c r="F64" s="93">
        <f t="shared" si="2"/>
        <v>0</v>
      </c>
      <c r="G64" s="93">
        <f t="shared" si="9"/>
        <v>53.75801516715957</v>
      </c>
      <c r="H64" s="93">
        <v>0</v>
      </c>
      <c r="I64" s="93">
        <f t="shared" si="7"/>
        <v>59.13381668387553</v>
      </c>
      <c r="J64" s="93">
        <v>355</v>
      </c>
      <c r="K64" s="94">
        <v>0.7</v>
      </c>
      <c r="L64" s="94">
        <v>4</v>
      </c>
      <c r="M64" s="95">
        <v>1</v>
      </c>
      <c r="N64" s="95">
        <v>1.5</v>
      </c>
      <c r="O64" s="95">
        <v>1</v>
      </c>
      <c r="P64" s="95">
        <f t="shared" si="3"/>
        <v>152.90479165243258</v>
      </c>
      <c r="Q64" s="95">
        <v>0</v>
      </c>
      <c r="R64" s="95">
        <v>90.380939382548306</v>
      </c>
      <c r="S64" s="96">
        <f t="shared" si="8"/>
        <v>218.82874107687368</v>
      </c>
      <c r="T64" s="93">
        <f t="shared" si="11"/>
        <v>135.06809114551871</v>
      </c>
      <c r="U64" s="96">
        <f t="shared" si="4"/>
        <v>3.98004706603921</v>
      </c>
      <c r="V64" s="96">
        <f t="shared" si="12"/>
        <v>7.318072389795983</v>
      </c>
      <c r="W64" s="96">
        <f t="shared" si="13"/>
        <v>8.818072389795983</v>
      </c>
      <c r="X64" s="162" ph="1">
        <v>12</v>
      </c>
      <c r="Y64" s="96" t="str">
        <f t="shared" si="6"/>
        <v>OK</v>
      </c>
    </row>
    <row r="65" spans="1:25" ht="12" customHeight="1" x14ac:dyDescent="0.3">
      <c r="A65" s="103">
        <v>43</v>
      </c>
      <c r="B65" s="103" t="s">
        <v>140</v>
      </c>
      <c r="C65" s="103">
        <v>8.75</v>
      </c>
      <c r="D65" s="104">
        <v>0</v>
      </c>
      <c r="E65" s="104">
        <v>0</v>
      </c>
      <c r="F65" s="104">
        <f t="shared" ref="F65" si="14">D65*$F$18+E65*$F$17</f>
        <v>0</v>
      </c>
      <c r="G65" s="104">
        <f t="shared" ref="G65" si="15">1.025*9.81*(($F$10+0.76)-C65)+25</f>
        <v>50.238677499999994</v>
      </c>
      <c r="H65" s="104">
        <v>0</v>
      </c>
      <c r="I65" s="104">
        <f t="shared" ref="I65" si="16">G65*$F$18+H65*$F$17</f>
        <v>55.262545249999995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ref="P65" si="17">$M$11/ABS(($M$12/(C65-$M$13)))/1000</f>
        <v>167.2178913738019</v>
      </c>
      <c r="Q65" s="106">
        <v>0</v>
      </c>
      <c r="R65" s="106">
        <v>49.890852937776003</v>
      </c>
      <c r="S65" s="107">
        <f t="shared" ref="S65" si="18">SQRT(P65^2+Q65^2-P65*Q65+3*R65^2)</f>
        <v>188.2262330709431</v>
      </c>
      <c r="T65" s="104">
        <f t="shared" ref="T65" si="19">MIN(J65/$F$7,1.3*(J65/$F$7-S65))</f>
        <v>174.85135155322848</v>
      </c>
      <c r="U65" s="107">
        <f t="shared" ref="U65" si="20">14.3*$F$8/SQRT(J65/$F$7)</f>
        <v>3.98004706603921</v>
      </c>
      <c r="V65" s="107">
        <f t="shared" ref="V65" si="21">15.8*M65*K65*SQRT(I65)/SQRT(T65*O65)</f>
        <v>6.2177903127408953</v>
      </c>
      <c r="W65" s="107">
        <f t="shared" ref="W65" si="22">MAX(U65,V65)+N65</f>
        <v>7.7177903127408953</v>
      </c>
      <c r="X65" s="161" ph="1">
        <v>20</v>
      </c>
      <c r="Y65" s="107" t="str">
        <f t="shared" ref="Y65" si="23">IF(MROUND(W65,0.5)&lt;=X65,"OK","N.G")</f>
        <v>OK</v>
      </c>
    </row>
    <row r="66" spans="1:25" ht="12" customHeight="1" x14ac:dyDescent="0.3">
      <c r="A66" s="103">
        <v>44</v>
      </c>
      <c r="B66" s="103" t="s">
        <v>140</v>
      </c>
      <c r="C66" s="103">
        <v>8.75</v>
      </c>
      <c r="D66" s="104">
        <v>0</v>
      </c>
      <c r="E66" s="104">
        <v>0</v>
      </c>
      <c r="F66" s="104">
        <f t="shared" ref="F66:F80" si="24">D66*$F$18+E66*$F$17</f>
        <v>0</v>
      </c>
      <c r="G66" s="104">
        <f t="shared" ref="G66:G80" si="25">1.025*9.81*(($F$10+0.76)-C66)+25</f>
        <v>50.238677499999994</v>
      </c>
      <c r="H66" s="104">
        <v>0</v>
      </c>
      <c r="I66" s="104">
        <f t="shared" ref="I66:I80" si="26">G66*$F$18+H66*$F$17</f>
        <v>55.262545249999995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ref="P66:P80" si="27">$M$11/ABS(($M$12/(C66-$M$13)))/1000</f>
        <v>167.2178913738019</v>
      </c>
      <c r="Q66" s="106">
        <v>0</v>
      </c>
      <c r="R66" s="106">
        <v>46.126301861741403</v>
      </c>
      <c r="S66" s="107">
        <f t="shared" ref="S66:S80" si="28">SQRT(P66^2+Q66^2-P66*Q66+3*R66^2)</f>
        <v>185.32331306617112</v>
      </c>
      <c r="T66" s="104">
        <f t="shared" ref="T66:T80" si="29">MIN(J66/$F$7,1.3*(J66/$F$7-S66))</f>
        <v>178.62514755943204</v>
      </c>
      <c r="U66" s="107">
        <f t="shared" ref="U66:U80" si="30">14.3*$F$8/SQRT(J66/$F$7)</f>
        <v>3.98004706603921</v>
      </c>
      <c r="V66" s="107">
        <f t="shared" ref="V66:V80" si="31">15.8*M66*K66*SQRT(I66)/SQRT(T66*O66)</f>
        <v>6.1517583647002496</v>
      </c>
      <c r="W66" s="107">
        <f t="shared" ref="W66:W80" si="32">MAX(U66,V66)+N66</f>
        <v>7.6517583647002496</v>
      </c>
      <c r="X66" s="161" ph="1">
        <v>20</v>
      </c>
      <c r="Y66" s="107" t="str">
        <f t="shared" ref="Y66:Y80" si="33">IF(MROUND(W66,0.5)&lt;=X66,"OK","N.G")</f>
        <v>OK</v>
      </c>
    </row>
    <row r="67" spans="1:25" ht="12" customHeight="1" x14ac:dyDescent="0.3">
      <c r="A67" s="103">
        <v>45</v>
      </c>
      <c r="B67" s="103" t="s">
        <v>140</v>
      </c>
      <c r="C67" s="103">
        <v>8.75</v>
      </c>
      <c r="D67" s="104">
        <v>0</v>
      </c>
      <c r="E67" s="104">
        <v>0</v>
      </c>
      <c r="F67" s="104">
        <f t="shared" si="24"/>
        <v>0</v>
      </c>
      <c r="G67" s="104">
        <f t="shared" si="25"/>
        <v>50.238677499999994</v>
      </c>
      <c r="H67" s="104">
        <v>0</v>
      </c>
      <c r="I67" s="104">
        <f t="shared" si="26"/>
        <v>55.262545249999995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27"/>
        <v>167.2178913738019</v>
      </c>
      <c r="Q67" s="106">
        <v>0</v>
      </c>
      <c r="R67" s="106">
        <v>39.601883231931701</v>
      </c>
      <c r="S67" s="107">
        <f t="shared" si="28"/>
        <v>180.73945518908502</v>
      </c>
      <c r="T67" s="104">
        <f t="shared" si="29"/>
        <v>184.58416279964399</v>
      </c>
      <c r="U67" s="107">
        <f t="shared" si="30"/>
        <v>3.98004706603921</v>
      </c>
      <c r="V67" s="107">
        <f t="shared" si="31"/>
        <v>6.051643704748793</v>
      </c>
      <c r="W67" s="107">
        <f t="shared" si="32"/>
        <v>7.551643704748793</v>
      </c>
      <c r="X67" s="161" ph="1">
        <v>20</v>
      </c>
      <c r="Y67" s="107" t="str">
        <f t="shared" si="33"/>
        <v>OK</v>
      </c>
    </row>
    <row r="68" spans="1:25" ht="12" customHeight="1" x14ac:dyDescent="0.3">
      <c r="A68" s="103">
        <v>46</v>
      </c>
      <c r="B68" s="103" t="s">
        <v>140</v>
      </c>
      <c r="C68" s="103">
        <v>8.75</v>
      </c>
      <c r="D68" s="104">
        <v>0</v>
      </c>
      <c r="E68" s="104">
        <v>0</v>
      </c>
      <c r="F68" s="104">
        <f t="shared" si="24"/>
        <v>0</v>
      </c>
      <c r="G68" s="104">
        <f t="shared" si="25"/>
        <v>50.238677499999994</v>
      </c>
      <c r="H68" s="104">
        <v>0</v>
      </c>
      <c r="I68" s="104">
        <f t="shared" si="26"/>
        <v>55.262545249999995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27"/>
        <v>167.2178913738019</v>
      </c>
      <c r="Q68" s="106">
        <v>0</v>
      </c>
      <c r="R68" s="106">
        <v>35.837332155897101</v>
      </c>
      <c r="S68" s="107">
        <f t="shared" si="28"/>
        <v>178.36694291167549</v>
      </c>
      <c r="T68" s="104">
        <f t="shared" si="29"/>
        <v>187.66842876027636</v>
      </c>
      <c r="U68" s="107">
        <f t="shared" si="30"/>
        <v>3.98004706603921</v>
      </c>
      <c r="V68" s="107">
        <f t="shared" si="31"/>
        <v>6.0017093518131386</v>
      </c>
      <c r="W68" s="107">
        <f t="shared" si="32"/>
        <v>7.5017093518131386</v>
      </c>
      <c r="X68" s="161" ph="1">
        <v>20</v>
      </c>
      <c r="Y68" s="107" t="str">
        <f t="shared" si="33"/>
        <v>OK</v>
      </c>
    </row>
    <row r="69" spans="1:25" ht="12" customHeight="1" x14ac:dyDescent="0.3">
      <c r="A69" s="103">
        <v>47</v>
      </c>
      <c r="B69" s="103" t="s">
        <v>140</v>
      </c>
      <c r="C69" s="103">
        <v>8.75</v>
      </c>
      <c r="D69" s="104">
        <v>0</v>
      </c>
      <c r="E69" s="104">
        <v>0</v>
      </c>
      <c r="F69" s="104">
        <f t="shared" si="24"/>
        <v>0</v>
      </c>
      <c r="G69" s="104">
        <f t="shared" si="25"/>
        <v>50.238677499999994</v>
      </c>
      <c r="H69" s="104">
        <v>0</v>
      </c>
      <c r="I69" s="104">
        <f t="shared" si="26"/>
        <v>55.262545249999995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27"/>
        <v>167.2178913738019</v>
      </c>
      <c r="Q69" s="106">
        <v>0</v>
      </c>
      <c r="R69" s="106">
        <v>29.312913526087002</v>
      </c>
      <c r="S69" s="107">
        <f t="shared" si="28"/>
        <v>174.7557263544293</v>
      </c>
      <c r="T69" s="104">
        <f t="shared" si="29"/>
        <v>192.36301028469643</v>
      </c>
      <c r="U69" s="107">
        <f t="shared" si="30"/>
        <v>3.98004706603921</v>
      </c>
      <c r="V69" s="107">
        <f t="shared" si="31"/>
        <v>5.9280217221917653</v>
      </c>
      <c r="W69" s="107">
        <f t="shared" si="32"/>
        <v>7.4280217221917653</v>
      </c>
      <c r="X69" s="161" ph="1">
        <v>20</v>
      </c>
      <c r="Y69" s="107" t="str">
        <f t="shared" si="33"/>
        <v>OK</v>
      </c>
    </row>
    <row r="70" spans="1:25" ht="12" customHeight="1" x14ac:dyDescent="0.3">
      <c r="A70" s="103">
        <v>48</v>
      </c>
      <c r="B70" s="103" t="s">
        <v>140</v>
      </c>
      <c r="C70" s="103">
        <v>8.75</v>
      </c>
      <c r="D70" s="104">
        <v>0</v>
      </c>
      <c r="E70" s="104">
        <v>0</v>
      </c>
      <c r="F70" s="104">
        <f t="shared" si="24"/>
        <v>0</v>
      </c>
      <c r="G70" s="104">
        <f t="shared" si="25"/>
        <v>50.238677499999994</v>
      </c>
      <c r="H70" s="104">
        <v>0</v>
      </c>
      <c r="I70" s="104">
        <f t="shared" si="26"/>
        <v>55.262545249999995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27"/>
        <v>167.2178913738019</v>
      </c>
      <c r="Q70" s="106">
        <v>0</v>
      </c>
      <c r="R70" s="106">
        <v>25.548362450053201</v>
      </c>
      <c r="S70" s="107">
        <f t="shared" si="28"/>
        <v>172.97392770917378</v>
      </c>
      <c r="T70" s="104">
        <f t="shared" si="29"/>
        <v>194.6793485235286</v>
      </c>
      <c r="U70" s="107">
        <f t="shared" si="30"/>
        <v>3.98004706603921</v>
      </c>
      <c r="V70" s="107">
        <f t="shared" si="31"/>
        <v>5.8926497301512049</v>
      </c>
      <c r="W70" s="107">
        <f t="shared" si="32"/>
        <v>7.3926497301512049</v>
      </c>
      <c r="X70" s="161" ph="1">
        <v>20</v>
      </c>
      <c r="Y70" s="107" t="str">
        <f t="shared" si="33"/>
        <v>OK</v>
      </c>
    </row>
    <row r="71" spans="1:25" ht="12" customHeight="1" x14ac:dyDescent="0.3">
      <c r="A71" s="103">
        <v>49</v>
      </c>
      <c r="B71" s="103" t="s">
        <v>140</v>
      </c>
      <c r="C71" s="103">
        <v>8.75</v>
      </c>
      <c r="D71" s="104">
        <v>0</v>
      </c>
      <c r="E71" s="104">
        <v>0</v>
      </c>
      <c r="F71" s="104">
        <f t="shared" si="24"/>
        <v>0</v>
      </c>
      <c r="G71" s="104">
        <f t="shared" si="25"/>
        <v>50.238677499999994</v>
      </c>
      <c r="H71" s="104">
        <v>0</v>
      </c>
      <c r="I71" s="104">
        <f t="shared" si="26"/>
        <v>55.262545249999995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27"/>
        <v>167.2178913738019</v>
      </c>
      <c r="Q71" s="106">
        <v>0</v>
      </c>
      <c r="R71" s="106">
        <v>19.023943820243499</v>
      </c>
      <c r="S71" s="107">
        <f t="shared" si="28"/>
        <v>170.43343131829494</v>
      </c>
      <c r="T71" s="104">
        <f t="shared" si="29"/>
        <v>197.98199383167108</v>
      </c>
      <c r="U71" s="107">
        <f t="shared" si="30"/>
        <v>3.98004706603921</v>
      </c>
      <c r="V71" s="107">
        <f t="shared" si="31"/>
        <v>5.8432937837842962</v>
      </c>
      <c r="W71" s="107">
        <f t="shared" si="32"/>
        <v>7.3432937837842962</v>
      </c>
      <c r="X71" s="161" ph="1">
        <v>20</v>
      </c>
      <c r="Y71" s="107" t="str">
        <f t="shared" si="33"/>
        <v>OK</v>
      </c>
    </row>
    <row r="72" spans="1:25" ht="12" customHeight="1" x14ac:dyDescent="0.3">
      <c r="A72" s="103">
        <v>50</v>
      </c>
      <c r="B72" s="103" t="s">
        <v>140</v>
      </c>
      <c r="C72" s="103">
        <v>8.75</v>
      </c>
      <c r="D72" s="104">
        <v>0</v>
      </c>
      <c r="E72" s="104">
        <v>0</v>
      </c>
      <c r="F72" s="104">
        <f t="shared" si="24"/>
        <v>0</v>
      </c>
      <c r="G72" s="104">
        <f t="shared" si="25"/>
        <v>50.238677499999994</v>
      </c>
      <c r="H72" s="104">
        <v>0</v>
      </c>
      <c r="I72" s="104">
        <f t="shared" si="26"/>
        <v>55.262545249999995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27"/>
        <v>167.2178913738019</v>
      </c>
      <c r="Q72" s="106">
        <v>0</v>
      </c>
      <c r="R72" s="106">
        <v>15.259392744208901</v>
      </c>
      <c r="S72" s="107">
        <f t="shared" si="28"/>
        <v>169.29373997955938</v>
      </c>
      <c r="T72" s="104">
        <f t="shared" si="29"/>
        <v>199.46359257202732</v>
      </c>
      <c r="U72" s="107">
        <f t="shared" si="30"/>
        <v>3.98004706603921</v>
      </c>
      <c r="V72" s="107">
        <f t="shared" si="31"/>
        <v>5.8215515870640617</v>
      </c>
      <c r="W72" s="107">
        <f t="shared" si="32"/>
        <v>7.3215515870640617</v>
      </c>
      <c r="X72" s="161" ph="1">
        <v>20</v>
      </c>
      <c r="Y72" s="107" t="str">
        <f t="shared" si="33"/>
        <v>OK</v>
      </c>
    </row>
    <row r="73" spans="1:25" ht="12" customHeight="1" x14ac:dyDescent="0.3">
      <c r="A73" s="103">
        <v>51</v>
      </c>
      <c r="B73" s="103" t="s">
        <v>140</v>
      </c>
      <c r="C73" s="103">
        <v>8.75</v>
      </c>
      <c r="D73" s="104">
        <v>0</v>
      </c>
      <c r="E73" s="104">
        <v>0</v>
      </c>
      <c r="F73" s="104">
        <f t="shared" si="24"/>
        <v>0</v>
      </c>
      <c r="G73" s="104">
        <f t="shared" si="25"/>
        <v>50.238677499999994</v>
      </c>
      <c r="H73" s="104">
        <v>0</v>
      </c>
      <c r="I73" s="104">
        <f t="shared" si="26"/>
        <v>55.262545249999995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27"/>
        <v>167.2178913738019</v>
      </c>
      <c r="Q73" s="106">
        <v>0</v>
      </c>
      <c r="R73" s="106">
        <v>8.7349741143984101</v>
      </c>
      <c r="S73" s="107">
        <f t="shared" si="28"/>
        <v>167.90093065209092</v>
      </c>
      <c r="T73" s="104">
        <f t="shared" si="29"/>
        <v>201.27424469773632</v>
      </c>
      <c r="U73" s="107">
        <f t="shared" si="30"/>
        <v>3.98004706603921</v>
      </c>
      <c r="V73" s="107">
        <f t="shared" si="31"/>
        <v>5.7953072503112812</v>
      </c>
      <c r="W73" s="107">
        <f t="shared" si="32"/>
        <v>7.2953072503112812</v>
      </c>
      <c r="X73" s="161" ph="1">
        <v>20</v>
      </c>
      <c r="Y73" s="107" t="str">
        <f t="shared" si="33"/>
        <v>OK</v>
      </c>
    </row>
    <row r="74" spans="1:25" ht="12" customHeight="1" x14ac:dyDescent="0.3">
      <c r="A74" s="103">
        <v>52</v>
      </c>
      <c r="B74" s="103" t="s">
        <v>140</v>
      </c>
      <c r="C74" s="103">
        <v>8.75</v>
      </c>
      <c r="D74" s="104">
        <v>0</v>
      </c>
      <c r="E74" s="104">
        <v>0</v>
      </c>
      <c r="F74" s="104">
        <f t="shared" si="24"/>
        <v>0</v>
      </c>
      <c r="G74" s="104">
        <f t="shared" si="25"/>
        <v>50.238677499999994</v>
      </c>
      <c r="H74" s="104">
        <v>0</v>
      </c>
      <c r="I74" s="104">
        <f t="shared" si="26"/>
        <v>55.262545249999995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27"/>
        <v>167.2178913738019</v>
      </c>
      <c r="Q74" s="106">
        <v>0</v>
      </c>
      <c r="R74" s="106">
        <v>4.9704230383645402</v>
      </c>
      <c r="S74" s="107">
        <f t="shared" si="28"/>
        <v>167.43935771210283</v>
      </c>
      <c r="T74" s="104">
        <f t="shared" si="29"/>
        <v>201.87428951972083</v>
      </c>
      <c r="U74" s="107">
        <f t="shared" si="30"/>
        <v>3.98004706603921</v>
      </c>
      <c r="V74" s="107">
        <f t="shared" si="31"/>
        <v>5.7866879456323774</v>
      </c>
      <c r="W74" s="107">
        <f t="shared" si="32"/>
        <v>7.2866879456323774</v>
      </c>
      <c r="X74" s="161" ph="1">
        <v>20</v>
      </c>
      <c r="Y74" s="107" t="str">
        <f t="shared" si="33"/>
        <v>OK</v>
      </c>
    </row>
    <row r="75" spans="1:25" ht="12" customHeight="1" x14ac:dyDescent="0.3">
      <c r="A75" s="103">
        <v>53</v>
      </c>
      <c r="B75" s="103" t="s">
        <v>140</v>
      </c>
      <c r="C75" s="103">
        <v>8.75</v>
      </c>
      <c r="D75" s="104">
        <v>0</v>
      </c>
      <c r="E75" s="104">
        <v>0</v>
      </c>
      <c r="F75" s="104">
        <f t="shared" si="24"/>
        <v>0</v>
      </c>
      <c r="G75" s="104">
        <f t="shared" si="25"/>
        <v>50.238677499999994</v>
      </c>
      <c r="H75" s="104">
        <v>0</v>
      </c>
      <c r="I75" s="104">
        <f t="shared" si="26"/>
        <v>55.262545249999995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27"/>
        <v>167.2178913738019</v>
      </c>
      <c r="Q75" s="106">
        <v>0</v>
      </c>
      <c r="R75" s="106">
        <v>5.3185466674796604</v>
      </c>
      <c r="S75" s="107">
        <f t="shared" si="28"/>
        <v>167.47144237589612</v>
      </c>
      <c r="T75" s="104">
        <f t="shared" si="29"/>
        <v>201.83257945678955</v>
      </c>
      <c r="U75" s="107">
        <f t="shared" si="30"/>
        <v>3.98004706603921</v>
      </c>
      <c r="V75" s="107">
        <f t="shared" si="31"/>
        <v>5.7872858437776742</v>
      </c>
      <c r="W75" s="107">
        <f t="shared" si="32"/>
        <v>7.2872858437776742</v>
      </c>
      <c r="X75" s="161" ph="1">
        <v>20</v>
      </c>
      <c r="Y75" s="107" t="str">
        <f t="shared" si="33"/>
        <v>OK</v>
      </c>
    </row>
    <row r="76" spans="1:25" ht="12" customHeight="1" x14ac:dyDescent="0.3">
      <c r="A76" s="103">
        <v>54</v>
      </c>
      <c r="B76" s="103" t="s">
        <v>140</v>
      </c>
      <c r="C76" s="103">
        <v>8.75</v>
      </c>
      <c r="D76" s="104">
        <v>0</v>
      </c>
      <c r="E76" s="104">
        <v>0</v>
      </c>
      <c r="F76" s="104">
        <f t="shared" si="24"/>
        <v>0</v>
      </c>
      <c r="G76" s="104">
        <f t="shared" si="25"/>
        <v>50.238677499999994</v>
      </c>
      <c r="H76" s="104">
        <v>0</v>
      </c>
      <c r="I76" s="104">
        <f t="shared" si="26"/>
        <v>55.262545249999995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27"/>
        <v>167.2178913738019</v>
      </c>
      <c r="Q76" s="106">
        <v>0</v>
      </c>
      <c r="R76" s="106">
        <v>9.0830977435139602</v>
      </c>
      <c r="S76" s="107">
        <f t="shared" si="28"/>
        <v>167.9563371515207</v>
      </c>
      <c r="T76" s="104">
        <f t="shared" si="29"/>
        <v>201.20221624847758</v>
      </c>
      <c r="U76" s="107">
        <f t="shared" si="30"/>
        <v>3.98004706603921</v>
      </c>
      <c r="V76" s="107">
        <f t="shared" si="31"/>
        <v>5.7963444894878133</v>
      </c>
      <c r="W76" s="107">
        <f t="shared" si="32"/>
        <v>7.2963444894878133</v>
      </c>
      <c r="X76" s="161" ph="1">
        <v>20</v>
      </c>
      <c r="Y76" s="107" t="str">
        <f t="shared" si="33"/>
        <v>OK</v>
      </c>
    </row>
    <row r="77" spans="1:25" ht="12" customHeight="1" x14ac:dyDescent="0.3">
      <c r="A77" s="103">
        <v>55</v>
      </c>
      <c r="B77" s="103" t="s">
        <v>140</v>
      </c>
      <c r="C77" s="103">
        <v>8.75</v>
      </c>
      <c r="D77" s="104">
        <v>0</v>
      </c>
      <c r="E77" s="104">
        <v>0</v>
      </c>
      <c r="F77" s="104">
        <f t="shared" si="24"/>
        <v>0</v>
      </c>
      <c r="G77" s="104">
        <f t="shared" si="25"/>
        <v>50.238677499999994</v>
      </c>
      <c r="H77" s="104">
        <v>0</v>
      </c>
      <c r="I77" s="104">
        <f t="shared" si="26"/>
        <v>55.262545249999995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27"/>
        <v>167.2178913738019</v>
      </c>
      <c r="Q77" s="106">
        <v>0</v>
      </c>
      <c r="R77" s="106">
        <v>15.6075163733247</v>
      </c>
      <c r="S77" s="107">
        <f t="shared" si="28"/>
        <v>169.38892200356966</v>
      </c>
      <c r="T77" s="104">
        <f t="shared" si="29"/>
        <v>199.33985594081395</v>
      </c>
      <c r="U77" s="107">
        <f t="shared" si="30"/>
        <v>3.98004706603921</v>
      </c>
      <c r="V77" s="107">
        <f t="shared" si="31"/>
        <v>5.8233581184992858</v>
      </c>
      <c r="W77" s="107">
        <f t="shared" si="32"/>
        <v>7.3233581184992858</v>
      </c>
      <c r="X77" s="161" ph="1">
        <v>20</v>
      </c>
      <c r="Y77" s="107" t="str">
        <f t="shared" si="33"/>
        <v>OK</v>
      </c>
    </row>
    <row r="78" spans="1:25" ht="12" customHeight="1" x14ac:dyDescent="0.3">
      <c r="A78" s="103">
        <v>56</v>
      </c>
      <c r="B78" s="103" t="s">
        <v>140</v>
      </c>
      <c r="C78" s="103">
        <v>8.75</v>
      </c>
      <c r="D78" s="104">
        <v>0</v>
      </c>
      <c r="E78" s="104">
        <v>0</v>
      </c>
      <c r="F78" s="104">
        <f t="shared" si="24"/>
        <v>0</v>
      </c>
      <c r="G78" s="104">
        <f t="shared" si="25"/>
        <v>50.238677499999994</v>
      </c>
      <c r="H78" s="104">
        <v>0</v>
      </c>
      <c r="I78" s="104">
        <f t="shared" si="26"/>
        <v>55.262545249999995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27"/>
        <v>167.2178913738019</v>
      </c>
      <c r="Q78" s="106">
        <v>0</v>
      </c>
      <c r="R78" s="106">
        <v>19.372067449358301</v>
      </c>
      <c r="S78" s="107">
        <f t="shared" si="28"/>
        <v>170.55103103554688</v>
      </c>
      <c r="T78" s="104">
        <f t="shared" si="29"/>
        <v>197.82911419924355</v>
      </c>
      <c r="U78" s="107">
        <f t="shared" si="30"/>
        <v>3.98004706603921</v>
      </c>
      <c r="V78" s="107">
        <f t="shared" si="31"/>
        <v>5.8455511564910774</v>
      </c>
      <c r="W78" s="107">
        <f t="shared" si="32"/>
        <v>7.3455511564910774</v>
      </c>
      <c r="X78" s="161" ph="1">
        <v>20</v>
      </c>
      <c r="Y78" s="107" t="str">
        <f t="shared" si="33"/>
        <v>OK</v>
      </c>
    </row>
    <row r="79" spans="1:25" ht="12" customHeight="1" x14ac:dyDescent="0.3">
      <c r="A79" s="103">
        <v>57</v>
      </c>
      <c r="B79" s="103" t="s">
        <v>140</v>
      </c>
      <c r="C79" s="103">
        <v>8.75</v>
      </c>
      <c r="D79" s="104">
        <v>0</v>
      </c>
      <c r="E79" s="104">
        <v>0</v>
      </c>
      <c r="F79" s="104">
        <f t="shared" si="24"/>
        <v>0</v>
      </c>
      <c r="G79" s="104">
        <f t="shared" si="25"/>
        <v>50.238677499999994</v>
      </c>
      <c r="H79" s="104">
        <v>0</v>
      </c>
      <c r="I79" s="104">
        <f t="shared" si="26"/>
        <v>55.262545249999995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27"/>
        <v>167.2178913738019</v>
      </c>
      <c r="Q79" s="106">
        <v>0</v>
      </c>
      <c r="R79" s="106">
        <v>25.896484648715798</v>
      </c>
      <c r="S79" s="107">
        <f t="shared" si="28"/>
        <v>173.12916261272719</v>
      </c>
      <c r="T79" s="104">
        <f t="shared" si="29"/>
        <v>194.47754314890918</v>
      </c>
      <c r="U79" s="107">
        <f t="shared" si="30"/>
        <v>3.98004706603921</v>
      </c>
      <c r="V79" s="107">
        <f t="shared" si="31"/>
        <v>5.8957062785656458</v>
      </c>
      <c r="W79" s="107">
        <f t="shared" si="32"/>
        <v>7.3957062785656458</v>
      </c>
      <c r="X79" s="161" ph="1">
        <v>20</v>
      </c>
      <c r="Y79" s="107" t="str">
        <f t="shared" si="33"/>
        <v>OK</v>
      </c>
    </row>
    <row r="80" spans="1:25" ht="12" customHeight="1" x14ac:dyDescent="0.3">
      <c r="A80" s="103">
        <v>58</v>
      </c>
      <c r="B80" s="103" t="s">
        <v>140</v>
      </c>
      <c r="C80" s="103">
        <v>8.75</v>
      </c>
      <c r="D80" s="104">
        <v>0</v>
      </c>
      <c r="E80" s="104">
        <v>0</v>
      </c>
      <c r="F80" s="104">
        <f t="shared" si="24"/>
        <v>0</v>
      </c>
      <c r="G80" s="104">
        <f t="shared" si="25"/>
        <v>50.238677499999994</v>
      </c>
      <c r="H80" s="104">
        <v>0</v>
      </c>
      <c r="I80" s="104">
        <f t="shared" si="26"/>
        <v>55.262545249999995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27"/>
        <v>167.2178913738019</v>
      </c>
      <c r="Q80" s="106">
        <v>0</v>
      </c>
      <c r="R80" s="106">
        <v>29.661034294297298</v>
      </c>
      <c r="S80" s="107">
        <f t="shared" si="28"/>
        <v>174.93185548013562</v>
      </c>
      <c r="T80" s="104">
        <f t="shared" si="29"/>
        <v>192.1340424212782</v>
      </c>
      <c r="U80" s="107">
        <f t="shared" si="30"/>
        <v>3.98004706603921</v>
      </c>
      <c r="V80" s="107">
        <f t="shared" si="31"/>
        <v>5.9315529088236802</v>
      </c>
      <c r="W80" s="107">
        <f t="shared" si="32"/>
        <v>7.4315529088236802</v>
      </c>
      <c r="X80" s="161" ph="1">
        <v>20</v>
      </c>
      <c r="Y80" s="107" t="str">
        <f t="shared" si="33"/>
        <v>OK</v>
      </c>
    </row>
    <row r="81" spans="1:28" ht="12" customHeight="1" x14ac:dyDescent="0.3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ref="G81:G104" si="34">1.025*9.81*(($F$10+0.76)-C81)+25</f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ref="P81:P84" si="35">$M$11/ABS(($M$12/(C81-$M$13)))/1000</f>
        <v>190.6095846645367</v>
      </c>
      <c r="Q81" s="85">
        <v>0</v>
      </c>
      <c r="R81" s="85">
        <v>94.531833774582793</v>
      </c>
      <c r="S81" s="86">
        <f t="shared" si="8"/>
        <v>251.27836468017543</v>
      </c>
      <c r="T81" s="83">
        <f t="shared" si="11"/>
        <v>92.883580461226444</v>
      </c>
      <c r="U81" s="86">
        <f t="shared" si="4"/>
        <v>3.98004706603921</v>
      </c>
      <c r="V81" s="86">
        <f t="shared" si="12"/>
        <v>15.161214279781225</v>
      </c>
      <c r="W81" s="86">
        <f t="shared" si="13"/>
        <v>16.661214279781227</v>
      </c>
      <c r="X81" s="164" ph="1">
        <v>16.5</v>
      </c>
      <c r="Y81" s="86" t="str">
        <f t="shared" si="6"/>
        <v>OK</v>
      </c>
    </row>
    <row r="82" spans="1:28" ht="12" customHeight="1" x14ac:dyDescent="0.3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34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5"/>
        <v>176.29648494316746</v>
      </c>
      <c r="Q82" s="85">
        <v>0</v>
      </c>
      <c r="R82" s="85">
        <v>98.142097136354096</v>
      </c>
      <c r="S82" s="86">
        <f t="shared" si="8"/>
        <v>244.90011084987518</v>
      </c>
      <c r="T82" s="83">
        <f t="shared" si="11"/>
        <v>101.17531044061677</v>
      </c>
      <c r="U82" s="86">
        <f t="shared" si="4"/>
        <v>3.98004706603921</v>
      </c>
      <c r="V82" s="86">
        <f t="shared" si="12"/>
        <v>14.340546273863835</v>
      </c>
      <c r="W82" s="86">
        <f t="shared" si="13"/>
        <v>15.840546273863835</v>
      </c>
      <c r="X82" s="164" ph="1">
        <v>16.5</v>
      </c>
      <c r="Y82" s="86" t="str">
        <f t="shared" si="6"/>
        <v>OK</v>
      </c>
    </row>
    <row r="83" spans="1:28" ht="12" customHeight="1" x14ac:dyDescent="0.3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34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5"/>
        <v>161.98338522179819</v>
      </c>
      <c r="Q83" s="85">
        <v>0</v>
      </c>
      <c r="R83" s="85">
        <v>106.18774116142799</v>
      </c>
      <c r="S83" s="86">
        <f t="shared" si="8"/>
        <v>245.08391666287031</v>
      </c>
      <c r="T83" s="83">
        <f t="shared" si="11"/>
        <v>100.93636288372311</v>
      </c>
      <c r="U83" s="86">
        <f t="shared" si="4"/>
        <v>3.98004706603921</v>
      </c>
      <c r="V83" s="86">
        <f t="shared" si="12"/>
        <v>14.168712049740362</v>
      </c>
      <c r="W83" s="86">
        <f t="shared" si="13"/>
        <v>15.668712049740362</v>
      </c>
      <c r="X83" s="164" ph="1">
        <v>16.5</v>
      </c>
      <c r="Y83" s="86" t="str">
        <f t="shared" si="6"/>
        <v>OK</v>
      </c>
    </row>
    <row r="84" spans="1:28" ht="12" customHeight="1" x14ac:dyDescent="0.3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34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5"/>
        <v>147.67028550042906</v>
      </c>
      <c r="Q84" s="85">
        <v>0</v>
      </c>
      <c r="R84" s="85">
        <v>109.19171986566499</v>
      </c>
      <c r="S84" s="86">
        <f t="shared" si="8"/>
        <v>239.94792827078922</v>
      </c>
      <c r="T84" s="83">
        <f t="shared" si="11"/>
        <v>107.61314779342851</v>
      </c>
      <c r="U84" s="86">
        <f t="shared" si="4"/>
        <v>3.98004706603921</v>
      </c>
      <c r="V84" s="86">
        <f t="shared" si="12"/>
        <v>13.536812787521869</v>
      </c>
      <c r="W84" s="86">
        <f t="shared" si="13"/>
        <v>15.036812787521869</v>
      </c>
      <c r="X84" s="164" ph="1">
        <v>16.5</v>
      </c>
      <c r="Y84" s="86" t="str">
        <f t="shared" si="6"/>
        <v>OK</v>
      </c>
    </row>
    <row r="85" spans="1:28" ht="12" customHeight="1" x14ac:dyDescent="0.3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34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36">$M$11/ABS(($M$12/(C85-$M$13)))/1000</f>
        <v>133.35718577905971</v>
      </c>
      <c r="Q85" s="85">
        <v>0</v>
      </c>
      <c r="R85" s="85">
        <v>115.488105800491</v>
      </c>
      <c r="S85" s="86">
        <f t="shared" si="8"/>
        <v>240.40933164722799</v>
      </c>
      <c r="T85" s="83">
        <f t="shared" si="11"/>
        <v>107.01332340405811</v>
      </c>
      <c r="U85" s="86">
        <f t="shared" si="4"/>
        <v>3.98004706603921</v>
      </c>
      <c r="V85" s="86">
        <f t="shared" si="12"/>
        <v>13.386282046325654</v>
      </c>
      <c r="W85" s="86">
        <f t="shared" si="13"/>
        <v>14.886282046325654</v>
      </c>
      <c r="X85" s="164" ph="1">
        <v>16.5</v>
      </c>
      <c r="Y85" s="86" t="str">
        <f t="shared" si="6"/>
        <v>OK</v>
      </c>
    </row>
    <row r="86" spans="1:28" ht="12" customHeight="1" x14ac:dyDescent="0.3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ref="F86:F104" si="37">D86*$F$18+E86*$F$17</f>
        <v>0</v>
      </c>
      <c r="G86" s="83">
        <f t="shared" si="34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6"/>
        <v>119.04408605769038</v>
      </c>
      <c r="Q86" s="85">
        <v>0</v>
      </c>
      <c r="R86" s="85">
        <v>117.885799847193</v>
      </c>
      <c r="S86" s="86">
        <f t="shared" si="8"/>
        <v>236.35287144891669</v>
      </c>
      <c r="T86" s="83">
        <f t="shared" si="11"/>
        <v>112.28672166186281</v>
      </c>
      <c r="U86" s="86">
        <f t="shared" ref="U86:U104" si="38">14.3*$F$8/SQRT(J86/$F$7)</f>
        <v>3.98004706603921</v>
      </c>
      <c r="V86" s="86">
        <f t="shared" si="12"/>
        <v>12.881603373227369</v>
      </c>
      <c r="W86" s="86">
        <f t="shared" si="13"/>
        <v>14.381603373227369</v>
      </c>
      <c r="X86" s="164" ph="1">
        <v>16.5</v>
      </c>
      <c r="Y86" s="86" t="str">
        <f t="shared" ref="Y86:Y104" si="39">IF(MROUND(W86,0.5)&lt;=X86,"OK","N.G")</f>
        <v>OK</v>
      </c>
    </row>
    <row r="87" spans="1:28" ht="12" customHeight="1" x14ac:dyDescent="0.3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37"/>
        <v>0</v>
      </c>
      <c r="G87" s="83">
        <f t="shared" si="34"/>
        <v>117.1060889970426</v>
      </c>
      <c r="H87" s="83">
        <v>0</v>
      </c>
      <c r="I87" s="83">
        <f t="shared" ref="I87:I104" si="40">G87*$F$18+H87*$F$17</f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6"/>
        <v>104.730986336321</v>
      </c>
      <c r="Q87" s="85">
        <v>0</v>
      </c>
      <c r="R87" s="85">
        <v>122.42586437585901</v>
      </c>
      <c r="S87" s="86">
        <f t="shared" si="8"/>
        <v>236.50128182212319</v>
      </c>
      <c r="T87" s="83">
        <f t="shared" si="11"/>
        <v>112.09378817669436</v>
      </c>
      <c r="U87" s="86">
        <f t="shared" si="38"/>
        <v>3.98004706603921</v>
      </c>
      <c r="V87" s="86">
        <f t="shared" si="12"/>
        <v>12.703215286499924</v>
      </c>
      <c r="W87" s="86">
        <f t="shared" si="13"/>
        <v>14.203215286499924</v>
      </c>
      <c r="X87" s="164" ph="1">
        <v>16.5</v>
      </c>
      <c r="Y87" s="86" t="str">
        <f t="shared" si="39"/>
        <v>OK</v>
      </c>
    </row>
    <row r="88" spans="1:28" ht="12" customHeight="1" x14ac:dyDescent="0.3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si="37"/>
        <v>0</v>
      </c>
      <c r="G88" s="83">
        <f t="shared" si="34"/>
        <v>113.586751329883</v>
      </c>
      <c r="H88" s="83">
        <v>0</v>
      </c>
      <c r="I88" s="83">
        <f t="shared" si="40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36"/>
        <v>90.417886614951655</v>
      </c>
      <c r="Q88" s="85">
        <v>0</v>
      </c>
      <c r="R88" s="85">
        <v>124.217273765027</v>
      </c>
      <c r="S88" s="86">
        <f t="shared" ref="S88:S104" si="41">SQRT(P88^2+Q88^2-P88*Q88+3*R88^2)</f>
        <v>233.37777855820218</v>
      </c>
      <c r="T88" s="83">
        <f t="shared" si="11"/>
        <v>116.15434241979166</v>
      </c>
      <c r="U88" s="86">
        <f t="shared" si="38"/>
        <v>3.98004706603921</v>
      </c>
      <c r="V88" s="86">
        <f t="shared" si="12"/>
        <v>12.290252542754313</v>
      </c>
      <c r="W88" s="86">
        <f t="shared" si="13"/>
        <v>13.790252542754313</v>
      </c>
      <c r="X88" s="164" ph="1">
        <v>14</v>
      </c>
      <c r="Y88" s="86" t="str">
        <f t="shared" si="39"/>
        <v>OK</v>
      </c>
    </row>
    <row r="89" spans="1:28" ht="12" customHeight="1" x14ac:dyDescent="0.3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37"/>
        <v>0</v>
      </c>
      <c r="G89" s="83">
        <f t="shared" si="34"/>
        <v>110.06741366272354</v>
      </c>
      <c r="H89" s="83">
        <v>0</v>
      </c>
      <c r="I89" s="83">
        <f t="shared" si="40"/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36"/>
        <v>76.104786893582698</v>
      </c>
      <c r="Q89" s="85">
        <v>0</v>
      </c>
      <c r="R89" s="85">
        <v>127.176491987094</v>
      </c>
      <c r="S89" s="86">
        <f t="shared" si="41"/>
        <v>233.05260979132541</v>
      </c>
      <c r="T89" s="83">
        <f t="shared" si="11"/>
        <v>116.57706181673147</v>
      </c>
      <c r="U89" s="86">
        <f t="shared" si="38"/>
        <v>3.98004706603921</v>
      </c>
      <c r="V89" s="86">
        <f t="shared" si="12"/>
        <v>12.076400879635218</v>
      </c>
      <c r="W89" s="86">
        <f t="shared" si="13"/>
        <v>13.576400879635218</v>
      </c>
      <c r="X89" s="164" ph="1">
        <v>14</v>
      </c>
      <c r="Y89" s="86" t="str">
        <f t="shared" si="39"/>
        <v>OK</v>
      </c>
      <c r="AB89" s="4">
        <f>8.393-2.63*3</f>
        <v>0.503000000000001</v>
      </c>
    </row>
    <row r="90" spans="1:28" ht="12" customHeight="1" x14ac:dyDescent="0.3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37"/>
        <v>0</v>
      </c>
      <c r="G90" s="83">
        <f t="shared" si="34"/>
        <v>106.54807599556395</v>
      </c>
      <c r="H90" s="83">
        <v>0</v>
      </c>
      <c r="I90" s="83">
        <f t="shared" si="40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36"/>
        <v>61.791687172213358</v>
      </c>
      <c r="Q90" s="85">
        <v>0</v>
      </c>
      <c r="R90" s="85">
        <v>128.361616718726</v>
      </c>
      <c r="S90" s="86">
        <f t="shared" si="41"/>
        <v>230.75598918234826</v>
      </c>
      <c r="T90" s="83">
        <f t="shared" si="11"/>
        <v>119.56266860840176</v>
      </c>
      <c r="U90" s="86">
        <f t="shared" si="38"/>
        <v>3.98004706603921</v>
      </c>
      <c r="V90" s="86">
        <f t="shared" si="12"/>
        <v>11.732476659814115</v>
      </c>
      <c r="W90" s="86">
        <f t="shared" si="13"/>
        <v>13.232476659814115</v>
      </c>
      <c r="X90" s="164" ph="1">
        <v>14</v>
      </c>
      <c r="Y90" s="86" t="str">
        <f t="shared" si="39"/>
        <v>OK</v>
      </c>
    </row>
    <row r="91" spans="1:28" ht="12" customHeight="1" x14ac:dyDescent="0.3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37"/>
        <v>0</v>
      </c>
      <c r="G91" s="83">
        <f t="shared" si="34"/>
        <v>103.02873832840437</v>
      </c>
      <c r="H91" s="83">
        <v>0</v>
      </c>
      <c r="I91" s="83">
        <f t="shared" si="40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36"/>
        <v>47.478587450843996</v>
      </c>
      <c r="Q91" s="85">
        <v>0</v>
      </c>
      <c r="R91" s="85">
        <v>130.170706928577</v>
      </c>
      <c r="S91" s="86">
        <f t="shared" si="41"/>
        <v>230.40715069889626</v>
      </c>
      <c r="T91" s="83">
        <f t="shared" si="11"/>
        <v>120.01615863688936</v>
      </c>
      <c r="U91" s="86">
        <f t="shared" si="38"/>
        <v>3.98004706603921</v>
      </c>
      <c r="V91" s="86">
        <f t="shared" si="12"/>
        <v>11.515267275503952</v>
      </c>
      <c r="W91" s="86">
        <f t="shared" si="13"/>
        <v>13.015267275503952</v>
      </c>
      <c r="X91" s="164" ph="1">
        <v>14</v>
      </c>
      <c r="Y91" s="86" t="str">
        <f t="shared" si="39"/>
        <v>OK</v>
      </c>
    </row>
    <row r="92" spans="1:28" ht="12" customHeight="1" x14ac:dyDescent="0.3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37"/>
        <v>0</v>
      </c>
      <c r="G92" s="83">
        <f t="shared" si="34"/>
        <v>99.509400661244783</v>
      </c>
      <c r="H92" s="83">
        <v>0</v>
      </c>
      <c r="I92" s="83">
        <f t="shared" si="40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36"/>
        <v>33.165487729474634</v>
      </c>
      <c r="Q92" s="85">
        <v>0</v>
      </c>
      <c r="R92" s="85">
        <v>130.74954700267401</v>
      </c>
      <c r="S92" s="86">
        <f t="shared" si="41"/>
        <v>228.88049654906663</v>
      </c>
      <c r="T92" s="83">
        <f t="shared" si="11"/>
        <v>122.00080903166787</v>
      </c>
      <c r="U92" s="86">
        <f t="shared" si="38"/>
        <v>3.98004706603921</v>
      </c>
      <c r="V92" s="86">
        <f t="shared" si="12"/>
        <v>11.224458352381678</v>
      </c>
      <c r="W92" s="86">
        <f t="shared" si="13"/>
        <v>12.724458352381678</v>
      </c>
      <c r="X92" s="164" ph="1">
        <v>14</v>
      </c>
      <c r="Y92" s="86" t="str">
        <f t="shared" si="39"/>
        <v>OK</v>
      </c>
    </row>
    <row r="93" spans="1:28" ht="12" customHeight="1" x14ac:dyDescent="0.3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37"/>
        <v>0</v>
      </c>
      <c r="G93" s="83">
        <f t="shared" si="34"/>
        <v>95.990062994085207</v>
      </c>
      <c r="H93" s="83">
        <v>0</v>
      </c>
      <c r="I93" s="83">
        <f t="shared" si="40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36"/>
        <v>18.85238800810529</v>
      </c>
      <c r="Q93" s="85">
        <v>0</v>
      </c>
      <c r="R93" s="85">
        <v>131.408509200309</v>
      </c>
      <c r="S93" s="86">
        <f t="shared" si="41"/>
        <v>228.38564185244053</v>
      </c>
      <c r="T93" s="83">
        <f t="shared" si="11"/>
        <v>122.64412013728182</v>
      </c>
      <c r="U93" s="86">
        <f t="shared" si="38"/>
        <v>3.98004706603921</v>
      </c>
      <c r="V93" s="86">
        <f t="shared" si="12"/>
        <v>10.995233718838834</v>
      </c>
      <c r="W93" s="86">
        <f t="shared" si="13"/>
        <v>12.495233718838834</v>
      </c>
      <c r="X93" s="164" ph="1">
        <v>14</v>
      </c>
      <c r="Y93" s="86" t="str">
        <f t="shared" si="39"/>
        <v>OK</v>
      </c>
    </row>
    <row r="94" spans="1:28" ht="12" customHeight="1" x14ac:dyDescent="0.3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37"/>
        <v>0</v>
      </c>
      <c r="G94" s="83">
        <f t="shared" si="34"/>
        <v>92.470725326925731</v>
      </c>
      <c r="H94" s="83">
        <v>0</v>
      </c>
      <c r="I94" s="83">
        <f t="shared" si="40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36"/>
        <v>4.5392882867363458</v>
      </c>
      <c r="Q94" s="85">
        <v>0</v>
      </c>
      <c r="R94" s="85">
        <v>131.408509200309</v>
      </c>
      <c r="S94" s="86">
        <f t="shared" si="41"/>
        <v>227.6514748665011</v>
      </c>
      <c r="T94" s="83">
        <f t="shared" si="11"/>
        <v>123.59853721900306</v>
      </c>
      <c r="U94" s="86">
        <f t="shared" si="38"/>
        <v>3.98004706603921</v>
      </c>
      <c r="V94" s="86">
        <f t="shared" si="12"/>
        <v>10.750041963450482</v>
      </c>
      <c r="W94" s="86">
        <f t="shared" si="13"/>
        <v>12.250041963450482</v>
      </c>
      <c r="X94" s="164" ph="1">
        <v>14</v>
      </c>
      <c r="Y94" s="86" t="str">
        <f t="shared" si="39"/>
        <v>OK</v>
      </c>
    </row>
    <row r="95" spans="1:28" ht="12" customHeight="1" x14ac:dyDescent="0.3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37"/>
        <v>0</v>
      </c>
      <c r="G95" s="83">
        <f t="shared" si="34"/>
        <v>88.951387659766141</v>
      </c>
      <c r="H95" s="83">
        <v>0</v>
      </c>
      <c r="I95" s="83">
        <f t="shared" si="40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36"/>
        <v>9.7738114346329965</v>
      </c>
      <c r="Q95" s="85">
        <v>0</v>
      </c>
      <c r="R95" s="85">
        <v>130.674517446409</v>
      </c>
      <c r="S95" s="86">
        <f t="shared" si="41"/>
        <v>226.54583624404864</v>
      </c>
      <c r="T95" s="83">
        <f t="shared" si="11"/>
        <v>125.03586742819127</v>
      </c>
      <c r="U95" s="86">
        <f t="shared" si="38"/>
        <v>3.98004706603921</v>
      </c>
      <c r="V95" s="86">
        <f t="shared" si="12"/>
        <v>10.482714336347088</v>
      </c>
      <c r="W95" s="86">
        <f t="shared" si="13"/>
        <v>11.982714336347088</v>
      </c>
      <c r="X95" s="164" ph="1">
        <v>14</v>
      </c>
      <c r="Y95" s="86" t="str">
        <f t="shared" si="39"/>
        <v>OK</v>
      </c>
    </row>
    <row r="96" spans="1:28" ht="12" customHeight="1" x14ac:dyDescent="0.3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37"/>
        <v>0</v>
      </c>
      <c r="G96" s="83">
        <f t="shared" si="34"/>
        <v>85.432049992606551</v>
      </c>
      <c r="H96" s="83">
        <v>0</v>
      </c>
      <c r="I96" s="83">
        <f t="shared" si="40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:P104" si="42">$M$11/ABS(($M$12/(C96-$M$13)))/1000</f>
        <v>24.086911156002376</v>
      </c>
      <c r="Q96" s="85">
        <v>0</v>
      </c>
      <c r="R96" s="85">
        <v>130.34393053420499</v>
      </c>
      <c r="S96" s="86">
        <f t="shared" si="41"/>
        <v>227.04360808081367</v>
      </c>
      <c r="T96" s="83">
        <f t="shared" si="11"/>
        <v>124.38876404039674</v>
      </c>
      <c r="U96" s="86">
        <f t="shared" si="38"/>
        <v>3.98004706603921</v>
      </c>
      <c r="V96" s="86">
        <f t="shared" si="12"/>
        <v>10.2999361017357</v>
      </c>
      <c r="W96" s="86">
        <f t="shared" si="13"/>
        <v>11.7999361017357</v>
      </c>
      <c r="X96" s="164" ph="1">
        <v>14</v>
      </c>
      <c r="Y96" s="86" t="str">
        <f t="shared" si="39"/>
        <v>OK</v>
      </c>
    </row>
    <row r="97" spans="1:25" ht="12" customHeight="1" x14ac:dyDescent="0.3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37"/>
        <v>0</v>
      </c>
      <c r="G97" s="83">
        <f t="shared" si="34"/>
        <v>81.912712325446989</v>
      </c>
      <c r="H97" s="83">
        <v>0</v>
      </c>
      <c r="I97" s="83">
        <f t="shared" si="40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42"/>
        <v>38.40001087737172</v>
      </c>
      <c r="Q97" s="85">
        <v>0</v>
      </c>
      <c r="R97" s="85">
        <v>129.005779036174</v>
      </c>
      <c r="S97" s="86">
        <f t="shared" si="41"/>
        <v>226.72016652599021</v>
      </c>
      <c r="T97" s="83">
        <f t="shared" si="11"/>
        <v>124.80923806166723</v>
      </c>
      <c r="U97" s="86">
        <f t="shared" si="38"/>
        <v>3.98004706603921</v>
      </c>
      <c r="V97" s="86">
        <f t="shared" si="12"/>
        <v>10.068551141218519</v>
      </c>
      <c r="W97" s="86">
        <f t="shared" si="13"/>
        <v>11.568551141218519</v>
      </c>
      <c r="X97" s="160" ph="1">
        <v>12</v>
      </c>
      <c r="Y97" s="86" t="str">
        <f t="shared" si="39"/>
        <v>OK</v>
      </c>
    </row>
    <row r="98" spans="1:25" ht="12" customHeight="1" x14ac:dyDescent="0.3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37"/>
        <v>0</v>
      </c>
      <c r="G98" s="83">
        <f t="shared" si="34"/>
        <v>76.633707914202176</v>
      </c>
      <c r="H98" s="83">
        <v>0</v>
      </c>
      <c r="I98" s="83">
        <f t="shared" si="40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42"/>
        <v>59.869651961478958</v>
      </c>
      <c r="Q98" s="85">
        <v>0</v>
      </c>
      <c r="R98" s="85">
        <v>127.486794044497</v>
      </c>
      <c r="S98" s="86">
        <f t="shared" si="41"/>
        <v>228.78597682817147</v>
      </c>
      <c r="T98" s="83">
        <f t="shared" si="11"/>
        <v>122.12368466883159</v>
      </c>
      <c r="U98" s="86">
        <f t="shared" si="38"/>
        <v>3.98004706603921</v>
      </c>
      <c r="V98" s="86">
        <f t="shared" si="12"/>
        <v>9.8452027199848668</v>
      </c>
      <c r="W98" s="86">
        <f t="shared" si="13"/>
        <v>11.345202719984867</v>
      </c>
      <c r="X98" s="160" ph="1">
        <v>12</v>
      </c>
      <c r="Y98" s="86" t="str">
        <f t="shared" si="39"/>
        <v>OK</v>
      </c>
    </row>
    <row r="99" spans="1:25" ht="12" customHeight="1" x14ac:dyDescent="0.3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37"/>
        <v>0</v>
      </c>
      <c r="G99" s="83">
        <f t="shared" si="34"/>
        <v>71.354703502957392</v>
      </c>
      <c r="H99" s="83">
        <v>0</v>
      </c>
      <c r="I99" s="83">
        <f t="shared" si="40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42"/>
        <v>81.339293045586189</v>
      </c>
      <c r="Q99" s="85">
        <v>0</v>
      </c>
      <c r="R99" s="85">
        <v>123.76555238684401</v>
      </c>
      <c r="S99" s="86">
        <f t="shared" si="41"/>
        <v>229.28108614976864</v>
      </c>
      <c r="T99" s="83">
        <f t="shared" si="11"/>
        <v>121.48004255075527</v>
      </c>
      <c r="U99" s="86">
        <f t="shared" si="38"/>
        <v>3.98004706603921</v>
      </c>
      <c r="V99" s="86">
        <f t="shared" si="12"/>
        <v>9.5251873862118224</v>
      </c>
      <c r="W99" s="86">
        <f t="shared" si="13"/>
        <v>11.025187386211822</v>
      </c>
      <c r="X99" s="160" ph="1">
        <v>12</v>
      </c>
      <c r="Y99" s="86" t="str">
        <f t="shared" si="39"/>
        <v>OK</v>
      </c>
    </row>
    <row r="100" spans="1:25" ht="12" customHeight="1" x14ac:dyDescent="0.3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37"/>
        <v>0</v>
      </c>
      <c r="G100" s="83">
        <f t="shared" si="34"/>
        <v>67.835365835797802</v>
      </c>
      <c r="H100" s="83">
        <v>0</v>
      </c>
      <c r="I100" s="83">
        <f t="shared" si="40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42"/>
        <v>95.652392766955572</v>
      </c>
      <c r="Q100" s="85">
        <v>0</v>
      </c>
      <c r="R100" s="85">
        <v>121.919254190765</v>
      </c>
      <c r="S100" s="86">
        <f t="shared" si="41"/>
        <v>231.82384232287464</v>
      </c>
      <c r="T100" s="83">
        <f t="shared" si="11"/>
        <v>118.17445952571747</v>
      </c>
      <c r="U100" s="86">
        <f t="shared" si="38"/>
        <v>3.98004706603921</v>
      </c>
      <c r="V100" s="86">
        <f t="shared" si="12"/>
        <v>9.4163147389985653</v>
      </c>
      <c r="W100" s="86">
        <f t="shared" si="13"/>
        <v>10.916314738998565</v>
      </c>
      <c r="X100" s="160" ph="1">
        <v>12</v>
      </c>
      <c r="Y100" s="86" t="str">
        <f t="shared" si="39"/>
        <v>OK</v>
      </c>
    </row>
    <row r="101" spans="1:25" ht="12" customHeight="1" x14ac:dyDescent="0.3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37"/>
        <v>0</v>
      </c>
      <c r="G101" s="83">
        <f t="shared" si="34"/>
        <v>64.316028168638226</v>
      </c>
      <c r="H101" s="83">
        <v>0</v>
      </c>
      <c r="I101" s="83">
        <f t="shared" si="40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42"/>
        <v>109.9654924883249</v>
      </c>
      <c r="Q101" s="85">
        <v>0</v>
      </c>
      <c r="R101" s="85">
        <v>117.70578334504501</v>
      </c>
      <c r="S101" s="86">
        <f t="shared" si="41"/>
        <v>231.63843341900727</v>
      </c>
      <c r="T101" s="83">
        <f t="shared" si="11"/>
        <v>118.41549110074504</v>
      </c>
      <c r="U101" s="86">
        <f t="shared" si="38"/>
        <v>3.98004706603921</v>
      </c>
      <c r="V101" s="86">
        <f t="shared" si="12"/>
        <v>9.1594635995020326</v>
      </c>
      <c r="W101" s="86">
        <f t="shared" si="13"/>
        <v>10.659463599502033</v>
      </c>
      <c r="X101" s="160" ph="1">
        <v>12</v>
      </c>
      <c r="Y101" s="86" t="str">
        <f t="shared" si="39"/>
        <v>OK</v>
      </c>
    </row>
    <row r="102" spans="1:25" ht="12" customHeight="1" x14ac:dyDescent="0.3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37"/>
        <v>0</v>
      </c>
      <c r="G102" s="83">
        <f t="shared" si="34"/>
        <v>60.796690501478643</v>
      </c>
      <c r="H102" s="83">
        <v>0</v>
      </c>
      <c r="I102" s="83">
        <f t="shared" si="40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42"/>
        <v>124.27859220969427</v>
      </c>
      <c r="Q102" s="85">
        <v>0</v>
      </c>
      <c r="R102" s="85">
        <v>115.253200491432</v>
      </c>
      <c r="S102" s="86">
        <f t="shared" si="41"/>
        <v>235.14903604348061</v>
      </c>
      <c r="T102" s="83">
        <f t="shared" ref="T102:T104" si="43">MIN(J102/$F$7,1.3*(J102/$F$7-S102))</f>
        <v>113.85170768892971</v>
      </c>
      <c r="U102" s="86">
        <f t="shared" si="38"/>
        <v>3.98004706603921</v>
      </c>
      <c r="V102" s="86">
        <f t="shared" ref="V102:V104" si="44">15.8*M102*K102*SQRT(I102)/SQRT(T102*O102)</f>
        <v>9.0820708975628026</v>
      </c>
      <c r="W102" s="86">
        <f t="shared" si="13"/>
        <v>10.582070897562803</v>
      </c>
      <c r="X102" s="160" ph="1">
        <v>12</v>
      </c>
      <c r="Y102" s="86" t="str">
        <f t="shared" si="39"/>
        <v>OK</v>
      </c>
    </row>
    <row r="103" spans="1:25" ht="12" customHeight="1" x14ac:dyDescent="0.3">
      <c r="A103" s="82">
        <v>81</v>
      </c>
      <c r="B103" s="82" t="s">
        <v>183</v>
      </c>
      <c r="C103" s="82">
        <v>8.0499999667517805</v>
      </c>
      <c r="D103" s="83">
        <v>0</v>
      </c>
      <c r="E103" s="83">
        <v>0</v>
      </c>
      <c r="F103" s="83">
        <f t="shared" si="37"/>
        <v>0</v>
      </c>
      <c r="G103" s="83">
        <f t="shared" si="34"/>
        <v>57.277352834319153</v>
      </c>
      <c r="H103" s="83">
        <v>0</v>
      </c>
      <c r="I103" s="83">
        <f t="shared" si="40"/>
        <v>63.005088117751072</v>
      </c>
      <c r="J103" s="83">
        <v>355</v>
      </c>
      <c r="K103" s="84">
        <v>0.75</v>
      </c>
      <c r="L103" s="84">
        <v>4</v>
      </c>
      <c r="M103" s="85">
        <v>1</v>
      </c>
      <c r="N103" s="85">
        <v>1.5</v>
      </c>
      <c r="O103" s="85">
        <v>1</v>
      </c>
      <c r="P103" s="85">
        <f t="shared" si="42"/>
        <v>138.59169193106325</v>
      </c>
      <c r="Q103" s="85">
        <v>0</v>
      </c>
      <c r="R103" s="85">
        <v>109.889601633496</v>
      </c>
      <c r="S103" s="86">
        <f t="shared" si="41"/>
        <v>235.44602505419388</v>
      </c>
      <c r="T103" s="83">
        <f t="shared" si="43"/>
        <v>113.46562197500245</v>
      </c>
      <c r="U103" s="86">
        <f t="shared" si="38"/>
        <v>3.98004706603921</v>
      </c>
      <c r="V103" s="86">
        <f t="shared" si="44"/>
        <v>8.8302706078045485</v>
      </c>
      <c r="W103" s="86">
        <f t="shared" ref="W103:W104" si="45">MAX(U103,V103)+N103</f>
        <v>10.330270607804549</v>
      </c>
      <c r="X103" s="160" ph="1">
        <v>12</v>
      </c>
      <c r="Y103" s="86" t="str">
        <f t="shared" si="39"/>
        <v>OK</v>
      </c>
    </row>
    <row r="104" spans="1:25" ht="12" customHeight="1" x14ac:dyDescent="0.3">
      <c r="A104" s="82">
        <v>82</v>
      </c>
      <c r="B104" s="82" t="s">
        <v>183</v>
      </c>
      <c r="C104" s="82">
        <v>8.3999999833758903</v>
      </c>
      <c r="D104" s="83">
        <v>0</v>
      </c>
      <c r="E104" s="83">
        <v>0</v>
      </c>
      <c r="F104" s="83">
        <f t="shared" si="37"/>
        <v>0</v>
      </c>
      <c r="G104" s="83">
        <f t="shared" si="34"/>
        <v>53.75801516715957</v>
      </c>
      <c r="H104" s="83">
        <v>0</v>
      </c>
      <c r="I104" s="83">
        <f t="shared" si="40"/>
        <v>59.13381668387553</v>
      </c>
      <c r="J104" s="83">
        <v>355</v>
      </c>
      <c r="K104" s="84">
        <v>0.75</v>
      </c>
      <c r="L104" s="84">
        <v>4</v>
      </c>
      <c r="M104" s="85">
        <v>1</v>
      </c>
      <c r="N104" s="85">
        <v>1.5</v>
      </c>
      <c r="O104" s="85">
        <v>1</v>
      </c>
      <c r="P104" s="85">
        <f t="shared" si="42"/>
        <v>152.90479165243258</v>
      </c>
      <c r="Q104" s="85">
        <v>0</v>
      </c>
      <c r="R104" s="85">
        <v>106.830734122347</v>
      </c>
      <c r="S104" s="86">
        <f t="shared" si="41"/>
        <v>240.03810649484927</v>
      </c>
      <c r="T104" s="83">
        <f t="shared" si="43"/>
        <v>107.49591610215045</v>
      </c>
      <c r="U104" s="86">
        <f t="shared" si="38"/>
        <v>3.98004706603921</v>
      </c>
      <c r="V104" s="86">
        <f t="shared" si="44"/>
        <v>8.7890173757934242</v>
      </c>
      <c r="W104" s="86">
        <f t="shared" si="45"/>
        <v>10.289017375793424</v>
      </c>
      <c r="X104" s="160" ph="1">
        <v>12</v>
      </c>
      <c r="Y104" s="86" t="str">
        <f t="shared" si="39"/>
        <v>OK</v>
      </c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8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C25B6-1F55-4CB3-B88F-EA6880FE3BC2}">
  <sheetPr codeName="Sheet8"/>
  <dimension ref="A1:AH215"/>
  <sheetViews>
    <sheetView showGridLines="0" zoomScale="130" zoomScaleNormal="130" workbookViewId="0">
      <selection activeCell="H18" sqref="H18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19" width="5.33203125" style="4"/>
    <col min="20" max="22" width="8.33203125" style="4" bestFit="1" customWidth="1"/>
    <col min="23" max="23" width="6.08203125" style="4" bestFit="1" customWidth="1"/>
    <col min="24" max="29" width="5.33203125" style="4"/>
    <col min="30" max="34" width="8.9140625" style="4" customWidth="1"/>
    <col min="35" max="16384" width="5.33203125" style="4"/>
  </cols>
  <sheetData>
    <row r="1" spans="1:33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33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33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33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33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33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33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33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33" ht="12" customHeight="1" thickBot="1" x14ac:dyDescent="0.5">
      <c r="A10" s="4" t="s">
        <v>72</v>
      </c>
      <c r="E10" s="12"/>
      <c r="F10" s="49">
        <v>10.5</v>
      </c>
      <c r="G10" s="5" t="s">
        <v>73</v>
      </c>
      <c r="I10" s="108" t="s">
        <v>74</v>
      </c>
      <c r="AD10" s="97">
        <v>17600</v>
      </c>
      <c r="AE10" s="102">
        <v>25200</v>
      </c>
      <c r="AF10" s="98">
        <v>28900</v>
      </c>
      <c r="AG10" s="99">
        <v>30300</v>
      </c>
    </row>
    <row r="11" spans="1:33" ht="12" customHeight="1" thickBot="1" x14ac:dyDescent="0.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513000</v>
      </c>
      <c r="N11" s="5" t="s">
        <v>79</v>
      </c>
      <c r="AD11" s="97">
        <v>18400</v>
      </c>
      <c r="AE11" s="102">
        <v>26200</v>
      </c>
      <c r="AF11" s="98">
        <v>29400</v>
      </c>
      <c r="AG11" s="99">
        <v>30900</v>
      </c>
    </row>
    <row r="12" spans="1:33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10.9899</v>
      </c>
      <c r="N12" s="5" t="s">
        <v>83</v>
      </c>
      <c r="AD12" s="4">
        <v>18000</v>
      </c>
      <c r="AG12" s="100">
        <f>AG10+(AD12-AD10)*(AG11-AG10)/(AD11-AD10)</f>
        <v>30600</v>
      </c>
    </row>
    <row r="13" spans="1:33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4">
        <v>4.5270000000000001</v>
      </c>
      <c r="N13" s="5" t="s">
        <v>87</v>
      </c>
    </row>
    <row r="14" spans="1:33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33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32000</v>
      </c>
      <c r="N15" s="5" t="s">
        <v>93</v>
      </c>
    </row>
    <row r="16" spans="1:33" ht="12" customHeight="1" x14ac:dyDescent="0.45">
      <c r="F16" s="5"/>
      <c r="G16" s="5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211.31684546720169</v>
      </c>
      <c r="Q23" s="65">
        <v>0</v>
      </c>
      <c r="R23" s="65">
        <v>43.295471195715699</v>
      </c>
      <c r="S23" s="60">
        <f t="shared" ref="S23:S24" si="0">SQRT(P23^2+Q23^2-P23*Q23+3*R23^2)</f>
        <v>224.22823786576558</v>
      </c>
      <c r="T23" s="59">
        <f>MIN(J23/$F$7,1.3*(J23/$F$7-S23))</f>
        <v>128.04874531995924</v>
      </c>
      <c r="U23" s="60">
        <f>14.3*$F$8/SQRT(J23/$F$7)</f>
        <v>3.98004706603921</v>
      </c>
      <c r="V23" s="60">
        <f>15.8*M23*K23*SQRT(I23)/SQRT(T23*O23)</f>
        <v>12.912662389118413</v>
      </c>
      <c r="W23" s="60">
        <f t="shared" ref="W23:W86" si="1">MAX(U23,V23)+N23</f>
        <v>14.412662389118413</v>
      </c>
      <c r="X23" s="163">
        <v>13.5</v>
      </c>
      <c r="Y23" s="60" t="str">
        <f>IF(MROUND(W23,0.5)&lt;=X23,"OK","N.G")</f>
        <v>N.G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7" si="2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87" si="3">$M$11/ABS(($M$12/(C24-$M$13)))/1000</f>
        <v>211.31684546720169</v>
      </c>
      <c r="Q24" s="65">
        <v>0</v>
      </c>
      <c r="R24" s="65">
        <v>38.940138851156398</v>
      </c>
      <c r="S24" s="60">
        <f t="shared" si="0"/>
        <v>221.8193238188486</v>
      </c>
      <c r="T24" s="59">
        <f>MIN(J24/$F$7,1.3*(J24/$F$7-S24))</f>
        <v>131.18033358095133</v>
      </c>
      <c r="U24" s="60">
        <f t="shared" ref="U24:U87" si="4">14.3*$F$8/SQRT(J24/$F$7)</f>
        <v>3.98004706603921</v>
      </c>
      <c r="V24" s="60">
        <f t="shared" ref="V24:V37" si="5">15.8*M24*K24*SQRT(I24)/SQRT(T24*O24)</f>
        <v>12.757603326638725</v>
      </c>
      <c r="W24" s="60">
        <f t="shared" si="1"/>
        <v>14.257603326638725</v>
      </c>
      <c r="X24" s="163">
        <v>13.5</v>
      </c>
      <c r="Y24" s="60" t="str">
        <f t="shared" ref="Y24:Y87" si="6">IF(MROUND(W24,0.5)&lt;=X24,"OK","N.G")</f>
        <v>N.G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2"/>
        <v>0</v>
      </c>
      <c r="G25" s="59">
        <f>1.025*9.81*(($F$10+0.76)-C25)+25</f>
        <v>138.22211499999997</v>
      </c>
      <c r="H25" s="59">
        <v>0</v>
      </c>
      <c r="I25" s="59">
        <f t="shared" ref="I25:I88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3"/>
        <v>211.31684546720169</v>
      </c>
      <c r="Q25" s="65">
        <v>0</v>
      </c>
      <c r="R25" s="65">
        <v>28.221763038587099</v>
      </c>
      <c r="S25" s="60">
        <f>SQRT(P25^2+Q25^2-P25*Q25+3*R25^2)</f>
        <v>216.89677937956498</v>
      </c>
      <c r="T25" s="59">
        <f>MIN(J25/$F$7,1.3*(J25/$F$7-S25))</f>
        <v>137.57964135202005</v>
      </c>
      <c r="U25" s="60">
        <f t="shared" si="4"/>
        <v>3.98004706603921</v>
      </c>
      <c r="V25" s="60">
        <f t="shared" si="5"/>
        <v>12.457370278215636</v>
      </c>
      <c r="W25" s="60">
        <f t="shared" si="1"/>
        <v>13.957370278215636</v>
      </c>
      <c r="X25" s="163">
        <v>13.5</v>
      </c>
      <c r="Y25" s="60" t="str">
        <f t="shared" si="6"/>
        <v>N.G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2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3"/>
        <v>211.31684546720169</v>
      </c>
      <c r="Q26" s="65">
        <v>0</v>
      </c>
      <c r="R26" s="65">
        <v>23.866430694027599</v>
      </c>
      <c r="S26" s="60">
        <f t="shared" ref="S26:S89" si="8">SQRT(P26^2+Q26^2-P26*Q26+3*R26^2)</f>
        <v>215.32215102127248</v>
      </c>
      <c r="T26" s="59">
        <f>MIN(J26/$F$7,1.3*(J26/$F$7-S26))</f>
        <v>139.6266582178003</v>
      </c>
      <c r="U26" s="60">
        <f t="shared" si="4"/>
        <v>3.98004706603921</v>
      </c>
      <c r="V26" s="60">
        <f t="shared" si="5"/>
        <v>12.365716570756316</v>
      </c>
      <c r="W26" s="60">
        <f t="shared" si="1"/>
        <v>13.865716570756316</v>
      </c>
      <c r="X26" s="163">
        <v>13.5</v>
      </c>
      <c r="Y26" s="60" t="str">
        <f t="shared" si="6"/>
        <v>N.G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2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3"/>
        <v>211.31684546720169</v>
      </c>
      <c r="Q27" s="65">
        <v>0</v>
      </c>
      <c r="R27" s="65">
        <v>13.1480548814583</v>
      </c>
      <c r="S27" s="60">
        <f t="shared" si="8"/>
        <v>212.54040373469397</v>
      </c>
      <c r="T27" s="59">
        <f>MIN(J27/$F$7,1.3*(J27/$F$7-S27))</f>
        <v>143.24292969035236</v>
      </c>
      <c r="U27" s="60">
        <f t="shared" si="4"/>
        <v>3.98004706603921</v>
      </c>
      <c r="V27" s="60">
        <f t="shared" si="5"/>
        <v>12.208628045617932</v>
      </c>
      <c r="W27" s="60">
        <f t="shared" si="1"/>
        <v>13.708628045617932</v>
      </c>
      <c r="X27" s="163">
        <v>13.5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2"/>
        <v>0</v>
      </c>
      <c r="G28" s="59">
        <f t="shared" ref="G28:G91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3"/>
        <v>211.31684546720169</v>
      </c>
      <c r="Q28" s="65">
        <v>0</v>
      </c>
      <c r="R28" s="65">
        <v>8.7927225368989905</v>
      </c>
      <c r="S28" s="60">
        <f t="shared" si="8"/>
        <v>211.86492179462337</v>
      </c>
      <c r="T28" s="59">
        <f t="shared" ref="T28:T38" si="10">MIN(J28/$F$7,1.3*(J28/$F$7-S28))</f>
        <v>144.12105621244413</v>
      </c>
      <c r="U28" s="60">
        <f t="shared" si="4"/>
        <v>3.98004706603921</v>
      </c>
      <c r="V28" s="60">
        <f t="shared" si="5"/>
        <v>12.171377762462269</v>
      </c>
      <c r="W28" s="60">
        <f t="shared" si="1"/>
        <v>13.671377762462269</v>
      </c>
      <c r="X28" s="163">
        <v>13.5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2"/>
        <v>0</v>
      </c>
      <c r="G29" s="59">
        <f>1.025*9.81*(($F$10+0.76)-C29)+25</f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3"/>
        <v>211.31684546720169</v>
      </c>
      <c r="Q29" s="65">
        <v>0</v>
      </c>
      <c r="R29" s="65">
        <v>6.2809856202297301</v>
      </c>
      <c r="S29" s="60">
        <f t="shared" si="8"/>
        <v>211.59669543566554</v>
      </c>
      <c r="T29" s="59">
        <f t="shared" si="10"/>
        <v>144.4697504790893</v>
      </c>
      <c r="U29" s="60">
        <f t="shared" si="4"/>
        <v>3.98004706603921</v>
      </c>
      <c r="V29" s="60">
        <f t="shared" si="5"/>
        <v>12.15668038248139</v>
      </c>
      <c r="W29" s="60">
        <f t="shared" si="1"/>
        <v>13.65668038248139</v>
      </c>
      <c r="X29" s="163">
        <v>13.5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2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3"/>
        <v>211.31684546720169</v>
      </c>
      <c r="Q30" s="65">
        <v>0</v>
      </c>
      <c r="R30" s="65">
        <v>10.6363179647894</v>
      </c>
      <c r="S30" s="60">
        <f t="shared" si="8"/>
        <v>212.11837015627268</v>
      </c>
      <c r="T30" s="59">
        <f t="shared" si="10"/>
        <v>143.79157334230001</v>
      </c>
      <c r="U30" s="60">
        <f t="shared" si="4"/>
        <v>3.98004706603921</v>
      </c>
      <c r="V30" s="60">
        <f t="shared" si="5"/>
        <v>12.185314482619344</v>
      </c>
      <c r="W30" s="60">
        <f t="shared" si="1"/>
        <v>13.685314482619344</v>
      </c>
      <c r="X30" s="163">
        <v>13.5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2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3"/>
        <v>211.31684546720169</v>
      </c>
      <c r="Q31" s="65">
        <v>0</v>
      </c>
      <c r="R31" s="65">
        <v>21.354693777358499</v>
      </c>
      <c r="S31" s="60">
        <f t="shared" si="8"/>
        <v>214.52943391801384</v>
      </c>
      <c r="T31" s="59">
        <f t="shared" si="10"/>
        <v>140.6571904520365</v>
      </c>
      <c r="U31" s="60">
        <f t="shared" si="4"/>
        <v>3.98004706603921</v>
      </c>
      <c r="V31" s="60">
        <f t="shared" si="5"/>
        <v>12.320334260616741</v>
      </c>
      <c r="W31" s="60">
        <f t="shared" si="1"/>
        <v>13.820334260616741</v>
      </c>
      <c r="X31" s="163">
        <v>13.5</v>
      </c>
      <c r="Y31" s="60" t="str">
        <f t="shared" si="6"/>
        <v>N.G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2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3"/>
        <v>211.31684546720169</v>
      </c>
      <c r="Q32" s="65">
        <v>0</v>
      </c>
      <c r="R32" s="65">
        <v>25.710026121918101</v>
      </c>
      <c r="S32" s="60">
        <f t="shared" si="8"/>
        <v>215.95792531828585</v>
      </c>
      <c r="T32" s="59">
        <f t="shared" si="10"/>
        <v>138.80015163168289</v>
      </c>
      <c r="U32" s="60">
        <f t="shared" si="4"/>
        <v>3.98004706603921</v>
      </c>
      <c r="V32" s="60">
        <f t="shared" si="5"/>
        <v>12.402478694384996</v>
      </c>
      <c r="W32" s="60">
        <f t="shared" si="1"/>
        <v>13.902478694384996</v>
      </c>
      <c r="X32" s="163">
        <v>13.5</v>
      </c>
      <c r="Y32" s="60" t="str">
        <f t="shared" si="6"/>
        <v>N.G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2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3"/>
        <v>211.31684546720169</v>
      </c>
      <c r="Q33" s="65">
        <v>0</v>
      </c>
      <c r="R33" s="65">
        <v>36.428401934487297</v>
      </c>
      <c r="S33" s="60">
        <f t="shared" si="8"/>
        <v>220.53547238644146</v>
      </c>
      <c r="T33" s="59">
        <f t="shared" si="10"/>
        <v>132.84934044308062</v>
      </c>
      <c r="U33" s="60">
        <f t="shared" si="4"/>
        <v>3.98004706603921</v>
      </c>
      <c r="V33" s="60">
        <f t="shared" si="5"/>
        <v>12.677212162607871</v>
      </c>
      <c r="W33" s="60">
        <f t="shared" si="1"/>
        <v>14.177212162607871</v>
      </c>
      <c r="X33" s="163">
        <v>13.5</v>
      </c>
      <c r="Y33" s="60" t="str">
        <f t="shared" si="6"/>
        <v>N.G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2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3"/>
        <v>211.31684546720169</v>
      </c>
      <c r="Q34" s="65">
        <v>0</v>
      </c>
      <c r="R34" s="65">
        <v>40.783734279046797</v>
      </c>
      <c r="S34" s="60">
        <f t="shared" si="8"/>
        <v>222.81101436742506</v>
      </c>
      <c r="T34" s="59">
        <f t="shared" si="10"/>
        <v>129.89113586780192</v>
      </c>
      <c r="U34" s="60">
        <f t="shared" si="4"/>
        <v>3.98004706603921</v>
      </c>
      <c r="V34" s="60">
        <f t="shared" si="5"/>
        <v>12.820757998469837</v>
      </c>
      <c r="W34" s="60">
        <f t="shared" si="1"/>
        <v>14.320757998469837</v>
      </c>
      <c r="X34" s="163">
        <v>13.5</v>
      </c>
      <c r="Y34" s="60" t="str">
        <f t="shared" si="6"/>
        <v>N.G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2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3"/>
        <v>211.31684546720169</v>
      </c>
      <c r="Q35" s="65">
        <v>0</v>
      </c>
      <c r="R35" s="65">
        <v>51.502110091615997</v>
      </c>
      <c r="S35" s="60">
        <f t="shared" si="8"/>
        <v>229.37351898132445</v>
      </c>
      <c r="T35" s="59">
        <f t="shared" si="10"/>
        <v>121.35987986973271</v>
      </c>
      <c r="U35" s="60">
        <f t="shared" si="4"/>
        <v>3.98004706603921</v>
      </c>
      <c r="V35" s="60">
        <f t="shared" si="5"/>
        <v>13.263736667429058</v>
      </c>
      <c r="W35" s="60">
        <f t="shared" si="1"/>
        <v>14.763736667429058</v>
      </c>
      <c r="X35" s="163">
        <v>13.5</v>
      </c>
      <c r="Y35" s="60" t="str">
        <f t="shared" si="6"/>
        <v>N.G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2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3"/>
        <v>211.31684546720169</v>
      </c>
      <c r="Q36" s="65">
        <v>0</v>
      </c>
      <c r="R36" s="65">
        <v>55.857442436175603</v>
      </c>
      <c r="S36" s="60">
        <f t="shared" si="8"/>
        <v>232.41121058318424</v>
      </c>
      <c r="T36" s="59">
        <f t="shared" si="10"/>
        <v>117.41088078731498</v>
      </c>
      <c r="U36" s="60">
        <f t="shared" si="4"/>
        <v>3.98004706603921</v>
      </c>
      <c r="V36" s="60">
        <f t="shared" si="5"/>
        <v>13.484948336367289</v>
      </c>
      <c r="W36" s="60">
        <f t="shared" si="1"/>
        <v>14.984948336367289</v>
      </c>
      <c r="X36" s="163">
        <v>14</v>
      </c>
      <c r="Y36" s="60" t="str">
        <f t="shared" si="6"/>
        <v>N.G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2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3"/>
        <v>211.31684546720169</v>
      </c>
      <c r="Q37" s="65">
        <v>0</v>
      </c>
      <c r="R37" s="65">
        <v>66.575816593807303</v>
      </c>
      <c r="S37" s="60">
        <f t="shared" si="8"/>
        <v>240.73185755858324</v>
      </c>
      <c r="T37" s="59">
        <f t="shared" si="10"/>
        <v>106.59403971929629</v>
      </c>
      <c r="U37" s="60">
        <f t="shared" si="4"/>
        <v>3.98004706603921</v>
      </c>
      <c r="V37" s="60">
        <f t="shared" si="5"/>
        <v>14.152624993710747</v>
      </c>
      <c r="W37" s="60">
        <f t="shared" si="1"/>
        <v>15.652624993710747</v>
      </c>
      <c r="X37" s="163">
        <v>14.5</v>
      </c>
      <c r="Y37" s="60" t="str">
        <f t="shared" si="6"/>
        <v>N.G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2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3"/>
        <v>211.31684546720169</v>
      </c>
      <c r="Q38" s="65">
        <v>0</v>
      </c>
      <c r="R38" s="65">
        <v>70.931147283429297</v>
      </c>
      <c r="S38" s="60">
        <f t="shared" si="8"/>
        <v>244.43504687961547</v>
      </c>
      <c r="T38" s="59">
        <f t="shared" si="10"/>
        <v>101.77989360195438</v>
      </c>
      <c r="U38" s="60">
        <f t="shared" si="4"/>
        <v>3.98004706603921</v>
      </c>
      <c r="V38" s="60">
        <f>15.8*M38*K38*SQRT(I38)/SQRT(T38*O38)</f>
        <v>14.483464649473333</v>
      </c>
      <c r="W38" s="60">
        <f t="shared" si="1"/>
        <v>15.983464649473333</v>
      </c>
      <c r="X38" s="163">
        <v>14.5</v>
      </c>
      <c r="Y38" s="60" t="str">
        <f t="shared" si="6"/>
        <v>N.G</v>
      </c>
    </row>
    <row r="39" spans="1:30" ht="12" customHeight="1" x14ac:dyDescent="0.45">
      <c r="A39" s="92">
        <v>17</v>
      </c>
      <c r="B39" s="92" t="s">
        <v>182</v>
      </c>
      <c r="C39" s="92">
        <v>0</v>
      </c>
      <c r="D39" s="93">
        <v>0</v>
      </c>
      <c r="E39" s="93">
        <v>0</v>
      </c>
      <c r="F39" s="93">
        <f t="shared" si="2"/>
        <v>0</v>
      </c>
      <c r="G39" s="93">
        <f t="shared" si="9"/>
        <v>138.22211499999997</v>
      </c>
      <c r="H39" s="93">
        <v>0</v>
      </c>
      <c r="I39" s="93">
        <f t="shared" si="7"/>
        <v>152.04432649999998</v>
      </c>
      <c r="J39" s="93">
        <v>355</v>
      </c>
      <c r="K39" s="94">
        <v>0.7</v>
      </c>
      <c r="L39" s="94">
        <v>4</v>
      </c>
      <c r="M39" s="95">
        <v>1</v>
      </c>
      <c r="N39" s="95">
        <v>1.5</v>
      </c>
      <c r="O39" s="95">
        <v>1</v>
      </c>
      <c r="P39" s="95">
        <f t="shared" si="3"/>
        <v>211.31684546720169</v>
      </c>
      <c r="Q39" s="95">
        <v>0</v>
      </c>
      <c r="R39" s="95">
        <v>78.143676103429897</v>
      </c>
      <c r="S39" s="96">
        <f>SQRT(P39^2+Q39^2-P39*Q39+3*R39^2)</f>
        <v>250.9464315806911</v>
      </c>
      <c r="T39" s="93">
        <f>MIN(J39/$F$7,1.3*(J39/$F$7-S39))</f>
        <v>93.31509349055608</v>
      </c>
      <c r="U39" s="96">
        <f>14.3*$F$8/SQRT(J39/$F$7)</f>
        <v>3.98004706603921</v>
      </c>
      <c r="V39" s="96">
        <f>15.8*M39*K39*SQRT(I39)/SQRT(T39*O39)</f>
        <v>14.11771104822289</v>
      </c>
      <c r="W39" s="96">
        <f t="shared" si="1"/>
        <v>15.61771104822289</v>
      </c>
      <c r="X39" s="168">
        <v>15.5</v>
      </c>
      <c r="Y39" s="96" t="str">
        <f t="shared" si="6"/>
        <v>OK</v>
      </c>
      <c r="Z39" s="74"/>
      <c r="AA39" s="81"/>
      <c r="AB39" s="81"/>
    </row>
    <row r="40" spans="1:30" ht="12" customHeight="1" x14ac:dyDescent="0.45">
      <c r="A40" s="92">
        <v>18</v>
      </c>
      <c r="B40" s="92" t="s">
        <v>182</v>
      </c>
      <c r="C40" s="92">
        <v>0.35000001662410801</v>
      </c>
      <c r="D40" s="93">
        <v>0</v>
      </c>
      <c r="E40" s="93">
        <v>0</v>
      </c>
      <c r="F40" s="93">
        <f t="shared" si="2"/>
        <v>0</v>
      </c>
      <c r="G40" s="93">
        <f t="shared" si="9"/>
        <v>134.70277733284041</v>
      </c>
      <c r="H40" s="93">
        <v>0</v>
      </c>
      <c r="I40" s="93">
        <f t="shared" si="7"/>
        <v>148.17305506612448</v>
      </c>
      <c r="J40" s="93">
        <v>355</v>
      </c>
      <c r="K40" s="94">
        <v>0.7</v>
      </c>
      <c r="L40" s="94">
        <v>4</v>
      </c>
      <c r="M40" s="95">
        <v>1</v>
      </c>
      <c r="N40" s="95">
        <v>1.5</v>
      </c>
      <c r="O40" s="95">
        <v>1</v>
      </c>
      <c r="P40" s="95">
        <f t="shared" si="3"/>
        <v>194.97911641341889</v>
      </c>
      <c r="Q40" s="95">
        <v>0</v>
      </c>
      <c r="R40" s="95">
        <v>81.753939465200702</v>
      </c>
      <c r="S40" s="96">
        <f t="shared" si="8"/>
        <v>240.97297709825611</v>
      </c>
      <c r="T40" s="93">
        <f t="shared" ref="T40:T102" si="11">MIN(J40/$F$7,1.3*(J40/$F$7-S40))</f>
        <v>106.28058431772156</v>
      </c>
      <c r="U40" s="96">
        <f t="shared" si="4"/>
        <v>3.98004706603921</v>
      </c>
      <c r="V40" s="96">
        <f t="shared" ref="V40:V102" si="12">15.8*M40*K40*SQRT(I40)/SQRT(T40*O40)</f>
        <v>13.059085880118465</v>
      </c>
      <c r="W40" s="96">
        <f t="shared" si="1"/>
        <v>14.559085880118465</v>
      </c>
      <c r="X40" s="168">
        <v>15.5</v>
      </c>
      <c r="Y40" s="96" t="str">
        <f t="shared" si="6"/>
        <v>OK</v>
      </c>
    </row>
    <row r="41" spans="1:30" ht="12" customHeight="1" x14ac:dyDescent="0.45">
      <c r="A41" s="92">
        <v>19</v>
      </c>
      <c r="B41" s="92" t="s">
        <v>182</v>
      </c>
      <c r="C41" s="92">
        <v>0.70000003324821602</v>
      </c>
      <c r="D41" s="93">
        <v>0</v>
      </c>
      <c r="E41" s="93">
        <v>0</v>
      </c>
      <c r="F41" s="93">
        <f t="shared" si="2"/>
        <v>0</v>
      </c>
      <c r="G41" s="93">
        <f t="shared" si="9"/>
        <v>131.18343966568085</v>
      </c>
      <c r="H41" s="93">
        <v>0</v>
      </c>
      <c r="I41" s="93">
        <f t="shared" si="7"/>
        <v>144.30178363224894</v>
      </c>
      <c r="J41" s="93">
        <v>355</v>
      </c>
      <c r="K41" s="94">
        <v>0.7</v>
      </c>
      <c r="L41" s="94">
        <v>4</v>
      </c>
      <c r="M41" s="95">
        <v>1</v>
      </c>
      <c r="N41" s="95">
        <v>1.5</v>
      </c>
      <c r="O41" s="95">
        <v>1</v>
      </c>
      <c r="P41" s="95">
        <f t="shared" si="3"/>
        <v>178.64138735963613</v>
      </c>
      <c r="Q41" s="95">
        <v>0</v>
      </c>
      <c r="R41" s="95">
        <v>89.799583490275296</v>
      </c>
      <c r="S41" s="96">
        <f t="shared" si="8"/>
        <v>236.86418231310603</v>
      </c>
      <c r="T41" s="93">
        <f t="shared" si="11"/>
        <v>111.62201753841667</v>
      </c>
      <c r="U41" s="96">
        <f t="shared" si="4"/>
        <v>3.98004706603921</v>
      </c>
      <c r="V41" s="96">
        <f t="shared" si="12"/>
        <v>12.575233056176</v>
      </c>
      <c r="W41" s="96">
        <f t="shared" si="1"/>
        <v>14.075233056176</v>
      </c>
      <c r="X41" s="168">
        <v>15.5</v>
      </c>
      <c r="Y41" s="96" t="str">
        <f t="shared" si="6"/>
        <v>OK</v>
      </c>
    </row>
    <row r="42" spans="1:30" ht="12" customHeight="1" x14ac:dyDescent="0.45">
      <c r="A42" s="92">
        <v>20</v>
      </c>
      <c r="B42" s="92" t="s">
        <v>182</v>
      </c>
      <c r="C42" s="92">
        <v>1.0500000498723201</v>
      </c>
      <c r="D42" s="93">
        <v>0</v>
      </c>
      <c r="E42" s="93">
        <v>0</v>
      </c>
      <c r="F42" s="93">
        <f t="shared" si="2"/>
        <v>0</v>
      </c>
      <c r="G42" s="93">
        <f t="shared" si="9"/>
        <v>127.66410199852135</v>
      </c>
      <c r="H42" s="93">
        <v>0</v>
      </c>
      <c r="I42" s="93">
        <f t="shared" si="7"/>
        <v>140.43051219837349</v>
      </c>
      <c r="J42" s="93">
        <v>355</v>
      </c>
      <c r="K42" s="94">
        <v>0.7</v>
      </c>
      <c r="L42" s="94">
        <v>4</v>
      </c>
      <c r="M42" s="95">
        <v>1</v>
      </c>
      <c r="N42" s="95">
        <v>1.5</v>
      </c>
      <c r="O42" s="95">
        <v>1</v>
      </c>
      <c r="P42" s="95">
        <f>$M$11/ABS(($M$12/(C42-$M$13)))/1000</f>
        <v>162.30365830585356</v>
      </c>
      <c r="Q42" s="95">
        <v>0</v>
      </c>
      <c r="R42" s="95">
        <v>92.803562194511699</v>
      </c>
      <c r="S42" s="96">
        <f t="shared" si="8"/>
        <v>228.42937851212366</v>
      </c>
      <c r="T42" s="93">
        <f t="shared" si="11"/>
        <v>122.58726247969373</v>
      </c>
      <c r="U42" s="96">
        <f t="shared" si="4"/>
        <v>3.98004706603921</v>
      </c>
      <c r="V42" s="96">
        <f t="shared" si="12"/>
        <v>11.837587262437914</v>
      </c>
      <c r="W42" s="96">
        <f t="shared" si="1"/>
        <v>13.337587262437914</v>
      </c>
      <c r="X42" s="168">
        <v>15.5</v>
      </c>
      <c r="Y42" s="96" t="str">
        <f t="shared" si="6"/>
        <v>OK</v>
      </c>
    </row>
    <row r="43" spans="1:30" ht="12" customHeight="1" x14ac:dyDescent="0.45">
      <c r="A43" s="92">
        <v>21</v>
      </c>
      <c r="B43" s="92" t="s">
        <v>182</v>
      </c>
      <c r="C43" s="92">
        <v>1.4000000664964301</v>
      </c>
      <c r="D43" s="93">
        <v>0</v>
      </c>
      <c r="E43" s="93">
        <v>0</v>
      </c>
      <c r="F43" s="93">
        <f t="shared" si="2"/>
        <v>0</v>
      </c>
      <c r="G43" s="93">
        <f t="shared" si="9"/>
        <v>124.14476433136176</v>
      </c>
      <c r="H43" s="93">
        <v>0</v>
      </c>
      <c r="I43" s="93">
        <f t="shared" si="7"/>
        <v>136.55924076449793</v>
      </c>
      <c r="J43" s="93">
        <v>355</v>
      </c>
      <c r="K43" s="94">
        <v>0.7</v>
      </c>
      <c r="L43" s="94">
        <v>4</v>
      </c>
      <c r="M43" s="95">
        <v>1</v>
      </c>
      <c r="N43" s="95">
        <v>1.5</v>
      </c>
      <c r="O43" s="95">
        <v>1</v>
      </c>
      <c r="P43" s="95">
        <f t="shared" si="3"/>
        <v>145.96592925207068</v>
      </c>
      <c r="Q43" s="95">
        <v>0</v>
      </c>
      <c r="R43" s="95">
        <v>99.099948129337605</v>
      </c>
      <c r="S43" s="96">
        <f t="shared" si="8"/>
        <v>225.31855596051719</v>
      </c>
      <c r="T43" s="93">
        <f t="shared" si="11"/>
        <v>126.63133179678216</v>
      </c>
      <c r="U43" s="96">
        <f t="shared" si="4"/>
        <v>3.98004706603921</v>
      </c>
      <c r="V43" s="96">
        <f t="shared" si="12"/>
        <v>11.485372539354504</v>
      </c>
      <c r="W43" s="96">
        <f t="shared" si="1"/>
        <v>12.985372539354504</v>
      </c>
      <c r="X43" s="168">
        <v>15.5</v>
      </c>
      <c r="Y43" s="96" t="str">
        <f t="shared" si="6"/>
        <v>OK</v>
      </c>
    </row>
    <row r="44" spans="1:30" ht="12" customHeight="1" x14ac:dyDescent="0.45">
      <c r="A44" s="92">
        <v>22</v>
      </c>
      <c r="B44" s="92" t="s">
        <v>182</v>
      </c>
      <c r="C44" s="92">
        <v>1.75000008312054</v>
      </c>
      <c r="D44" s="93">
        <v>0</v>
      </c>
      <c r="E44" s="93">
        <v>0</v>
      </c>
      <c r="F44" s="93">
        <f t="shared" si="2"/>
        <v>0</v>
      </c>
      <c r="G44" s="93">
        <f t="shared" si="9"/>
        <v>120.62542666420218</v>
      </c>
      <c r="H44" s="93">
        <v>0</v>
      </c>
      <c r="I44" s="93">
        <f t="shared" si="7"/>
        <v>132.68796933062242</v>
      </c>
      <c r="J44" s="93">
        <v>355</v>
      </c>
      <c r="K44" s="94">
        <v>0.7</v>
      </c>
      <c r="L44" s="94">
        <v>4</v>
      </c>
      <c r="M44" s="95">
        <v>1</v>
      </c>
      <c r="N44" s="95">
        <v>1.5</v>
      </c>
      <c r="O44" s="95">
        <v>1</v>
      </c>
      <c r="P44" s="95">
        <f t="shared" si="3"/>
        <v>129.6282001982878</v>
      </c>
      <c r="Q44" s="95">
        <v>0</v>
      </c>
      <c r="R44" s="95">
        <v>101.49764217603899</v>
      </c>
      <c r="S44" s="96">
        <f t="shared" si="8"/>
        <v>218.42340622866664</v>
      </c>
      <c r="T44" s="93">
        <f t="shared" si="11"/>
        <v>135.59502644818787</v>
      </c>
      <c r="U44" s="96">
        <f t="shared" si="4"/>
        <v>3.98004706603921</v>
      </c>
      <c r="V44" s="96">
        <f t="shared" si="12"/>
        <v>10.940798529061704</v>
      </c>
      <c r="W44" s="96">
        <f t="shared" si="1"/>
        <v>12.440798529061704</v>
      </c>
      <c r="X44" s="168">
        <v>15.5</v>
      </c>
      <c r="Y44" s="96" t="str">
        <f t="shared" si="6"/>
        <v>OK</v>
      </c>
    </row>
    <row r="45" spans="1:30" ht="12" customHeight="1" x14ac:dyDescent="0.45">
      <c r="A45" s="92">
        <v>23</v>
      </c>
      <c r="B45" s="92" t="s">
        <v>182</v>
      </c>
      <c r="C45" s="92">
        <v>2.10000009974465</v>
      </c>
      <c r="D45" s="93">
        <v>0</v>
      </c>
      <c r="E45" s="93">
        <v>0</v>
      </c>
      <c r="F45" s="93">
        <f t="shared" si="2"/>
        <v>0</v>
      </c>
      <c r="G45" s="93">
        <f t="shared" si="9"/>
        <v>117.1060889970426</v>
      </c>
      <c r="H45" s="93">
        <v>0</v>
      </c>
      <c r="I45" s="93">
        <f t="shared" si="7"/>
        <v>128.81669789674689</v>
      </c>
      <c r="J45" s="93">
        <v>355</v>
      </c>
      <c r="K45" s="94">
        <v>0.7</v>
      </c>
      <c r="L45" s="94">
        <v>4</v>
      </c>
      <c r="M45" s="95">
        <v>1</v>
      </c>
      <c r="N45" s="95">
        <v>1.5</v>
      </c>
      <c r="O45" s="95">
        <v>1</v>
      </c>
      <c r="P45" s="95">
        <f t="shared" si="3"/>
        <v>113.29047114450492</v>
      </c>
      <c r="Q45" s="95">
        <v>0</v>
      </c>
      <c r="R45" s="95">
        <v>106.037706704706</v>
      </c>
      <c r="S45" s="96">
        <f t="shared" si="8"/>
        <v>215.79322645005254</v>
      </c>
      <c r="T45" s="93">
        <f t="shared" si="11"/>
        <v>139.01426016038619</v>
      </c>
      <c r="U45" s="96">
        <f t="shared" si="4"/>
        <v>3.98004706603921</v>
      </c>
      <c r="V45" s="96">
        <f t="shared" si="12"/>
        <v>10.646614563728519</v>
      </c>
      <c r="W45" s="96">
        <f t="shared" si="1"/>
        <v>12.146614563728519</v>
      </c>
      <c r="X45" s="168">
        <v>15.5</v>
      </c>
      <c r="Y45" s="96" t="str">
        <f t="shared" si="6"/>
        <v>OK</v>
      </c>
    </row>
    <row r="46" spans="1:30" ht="12" customHeight="1" x14ac:dyDescent="0.45">
      <c r="A46" s="92">
        <v>24</v>
      </c>
      <c r="B46" s="92" t="s">
        <v>182</v>
      </c>
      <c r="C46" s="92">
        <v>2.4500001163687601</v>
      </c>
      <c r="D46" s="93">
        <v>0</v>
      </c>
      <c r="E46" s="93">
        <v>0</v>
      </c>
      <c r="F46" s="93">
        <f t="shared" si="2"/>
        <v>0</v>
      </c>
      <c r="G46" s="93">
        <f t="shared" si="9"/>
        <v>113.586751329883</v>
      </c>
      <c r="H46" s="93">
        <v>0</v>
      </c>
      <c r="I46" s="93">
        <f t="shared" si="7"/>
        <v>124.94542646287131</v>
      </c>
      <c r="J46" s="93">
        <v>355</v>
      </c>
      <c r="K46" s="94">
        <v>0.7</v>
      </c>
      <c r="L46" s="94">
        <v>4</v>
      </c>
      <c r="M46" s="95">
        <v>1</v>
      </c>
      <c r="N46" s="95">
        <v>1.5</v>
      </c>
      <c r="O46" s="95">
        <v>1</v>
      </c>
      <c r="P46" s="95">
        <f t="shared" si="3"/>
        <v>96.95274209072204</v>
      </c>
      <c r="Q46" s="95">
        <v>0</v>
      </c>
      <c r="R46" s="95">
        <v>107.82911609387401</v>
      </c>
      <c r="S46" s="96">
        <f t="shared" si="8"/>
        <v>210.43096024983714</v>
      </c>
      <c r="T46" s="93">
        <f t="shared" si="11"/>
        <v>145.98520622066621</v>
      </c>
      <c r="U46" s="96">
        <f t="shared" si="4"/>
        <v>3.98004706603921</v>
      </c>
      <c r="V46" s="96">
        <f t="shared" si="12"/>
        <v>10.232008328797541</v>
      </c>
      <c r="W46" s="96">
        <f t="shared" si="1"/>
        <v>11.732008328797541</v>
      </c>
      <c r="X46" s="168">
        <v>15.5</v>
      </c>
      <c r="Y46" s="96" t="str">
        <f t="shared" si="6"/>
        <v>OK</v>
      </c>
    </row>
    <row r="47" spans="1:30" ht="12" customHeight="1" x14ac:dyDescent="0.45">
      <c r="A47" s="92">
        <v>25</v>
      </c>
      <c r="B47" s="92" t="s">
        <v>182</v>
      </c>
      <c r="C47" s="92">
        <v>2.8000001329928601</v>
      </c>
      <c r="D47" s="93">
        <v>0</v>
      </c>
      <c r="E47" s="93">
        <v>0</v>
      </c>
      <c r="F47" s="93">
        <f t="shared" si="2"/>
        <v>0</v>
      </c>
      <c r="G47" s="93">
        <f t="shared" si="9"/>
        <v>110.06741366272354</v>
      </c>
      <c r="H47" s="93">
        <v>0</v>
      </c>
      <c r="I47" s="93">
        <f t="shared" si="7"/>
        <v>121.0741550289959</v>
      </c>
      <c r="J47" s="93">
        <v>355</v>
      </c>
      <c r="K47" s="94">
        <v>0.7</v>
      </c>
      <c r="L47" s="94">
        <v>4</v>
      </c>
      <c r="M47" s="95">
        <v>1</v>
      </c>
      <c r="N47" s="95">
        <v>1.5</v>
      </c>
      <c r="O47" s="95">
        <v>1</v>
      </c>
      <c r="P47" s="95">
        <f t="shared" si="3"/>
        <v>80.615013036939615</v>
      </c>
      <c r="Q47" s="95">
        <v>0</v>
      </c>
      <c r="R47" s="95">
        <v>109.75621869507199</v>
      </c>
      <c r="S47" s="96">
        <f t="shared" si="8"/>
        <v>206.48986162440846</v>
      </c>
      <c r="T47" s="93">
        <f t="shared" si="11"/>
        <v>151.10863443372349</v>
      </c>
      <c r="U47" s="96">
        <f t="shared" si="4"/>
        <v>3.98004706603921</v>
      </c>
      <c r="V47" s="96">
        <f t="shared" si="12"/>
        <v>9.9000231451569842</v>
      </c>
      <c r="W47" s="96">
        <f t="shared" si="1"/>
        <v>11.400023145156984</v>
      </c>
      <c r="X47" s="162">
        <v>12</v>
      </c>
      <c r="Y47" s="96" t="str">
        <f t="shared" si="6"/>
        <v>OK</v>
      </c>
    </row>
    <row r="48" spans="1:30" ht="12" customHeight="1" x14ac:dyDescent="0.45">
      <c r="A48" s="92">
        <v>26</v>
      </c>
      <c r="B48" s="92" t="s">
        <v>182</v>
      </c>
      <c r="C48" s="92">
        <v>2.9</v>
      </c>
      <c r="D48" s="93">
        <v>0</v>
      </c>
      <c r="E48" s="93">
        <v>0</v>
      </c>
      <c r="F48" s="93">
        <f t="shared" si="2"/>
        <v>0</v>
      </c>
      <c r="G48" s="93">
        <f t="shared" si="9"/>
        <v>109.06188999999999</v>
      </c>
      <c r="H48" s="93">
        <v>0</v>
      </c>
      <c r="I48" s="93">
        <f t="shared" si="7"/>
        <v>119.968079</v>
      </c>
      <c r="J48" s="93">
        <v>355</v>
      </c>
      <c r="K48" s="94">
        <v>0.7</v>
      </c>
      <c r="L48" s="94">
        <v>4</v>
      </c>
      <c r="M48" s="95">
        <v>1</v>
      </c>
      <c r="N48" s="95">
        <v>1.5</v>
      </c>
      <c r="O48" s="95">
        <v>1</v>
      </c>
      <c r="P48" s="95">
        <f t="shared" si="3"/>
        <v>75.947096879862428</v>
      </c>
      <c r="Q48" s="95">
        <v>0</v>
      </c>
      <c r="R48" s="95">
        <v>110.78833431594001</v>
      </c>
      <c r="S48" s="96">
        <f t="shared" si="8"/>
        <v>206.37375459583197</v>
      </c>
      <c r="T48" s="93">
        <f t="shared" si="11"/>
        <v>151.25957357087293</v>
      </c>
      <c r="U48" s="96">
        <f t="shared" si="4"/>
        <v>3.98004706603921</v>
      </c>
      <c r="V48" s="96">
        <f t="shared" si="12"/>
        <v>9.849780296419544</v>
      </c>
      <c r="W48" s="96">
        <f t="shared" si="1"/>
        <v>11.349780296419544</v>
      </c>
      <c r="X48" s="162">
        <v>12</v>
      </c>
      <c r="Y48" s="96" t="str">
        <f t="shared" si="6"/>
        <v>OK</v>
      </c>
    </row>
    <row r="49" spans="1:27" ht="12" customHeight="1" x14ac:dyDescent="0.45">
      <c r="A49" s="92">
        <v>27</v>
      </c>
      <c r="B49" s="92" t="s">
        <v>182</v>
      </c>
      <c r="C49" s="92">
        <v>3.1500001496169698</v>
      </c>
      <c r="D49" s="93">
        <v>0</v>
      </c>
      <c r="E49" s="93">
        <v>0</v>
      </c>
      <c r="F49" s="93">
        <f t="shared" si="2"/>
        <v>0</v>
      </c>
      <c r="G49" s="93">
        <f t="shared" si="9"/>
        <v>106.54807599556395</v>
      </c>
      <c r="H49" s="93">
        <v>0</v>
      </c>
      <c r="I49" s="93">
        <f t="shared" si="7"/>
        <v>117.20288359512035</v>
      </c>
      <c r="J49" s="93">
        <v>355</v>
      </c>
      <c r="K49" s="94">
        <v>0.7</v>
      </c>
      <c r="L49" s="94">
        <v>4</v>
      </c>
      <c r="M49" s="95">
        <v>1</v>
      </c>
      <c r="N49" s="95">
        <v>1.5</v>
      </c>
      <c r="O49" s="95">
        <v>1</v>
      </c>
      <c r="P49" s="95">
        <f t="shared" si="3"/>
        <v>64.277283983156764</v>
      </c>
      <c r="Q49" s="95">
        <v>0</v>
      </c>
      <c r="R49" s="95">
        <v>111.973459047573</v>
      </c>
      <c r="S49" s="96">
        <f t="shared" si="8"/>
        <v>204.31773253804209</v>
      </c>
      <c r="T49" s="93">
        <f t="shared" si="11"/>
        <v>153.93240224599978</v>
      </c>
      <c r="U49" s="96">
        <f t="shared" si="4"/>
        <v>3.98004706603921</v>
      </c>
      <c r="V49" s="96">
        <f t="shared" si="12"/>
        <v>9.650709700542496</v>
      </c>
      <c r="W49" s="96">
        <f t="shared" si="1"/>
        <v>11.150709700542496</v>
      </c>
      <c r="X49" s="162">
        <v>12</v>
      </c>
      <c r="Y49" s="96" t="str">
        <f t="shared" si="6"/>
        <v>OK</v>
      </c>
    </row>
    <row r="50" spans="1:27" ht="12" customHeight="1" x14ac:dyDescent="0.45">
      <c r="A50" s="92">
        <v>28</v>
      </c>
      <c r="B50" s="92" t="s">
        <v>182</v>
      </c>
      <c r="C50" s="92">
        <v>3.50000016624108</v>
      </c>
      <c r="D50" s="93">
        <v>0</v>
      </c>
      <c r="E50" s="93">
        <v>0</v>
      </c>
      <c r="F50" s="93">
        <f t="shared" si="2"/>
        <v>0</v>
      </c>
      <c r="G50" s="93">
        <f t="shared" si="9"/>
        <v>103.02873832840437</v>
      </c>
      <c r="H50" s="93">
        <v>0</v>
      </c>
      <c r="I50" s="93">
        <f t="shared" si="7"/>
        <v>113.33161216124482</v>
      </c>
      <c r="J50" s="93">
        <v>355</v>
      </c>
      <c r="K50" s="94">
        <v>0.7</v>
      </c>
      <c r="L50" s="94">
        <v>4</v>
      </c>
      <c r="M50" s="95">
        <v>1</v>
      </c>
      <c r="N50" s="95">
        <v>1.5</v>
      </c>
      <c r="O50" s="95">
        <v>1</v>
      </c>
      <c r="P50" s="95">
        <f t="shared" si="3"/>
        <v>47.939554929373884</v>
      </c>
      <c r="Q50" s="95">
        <v>0</v>
      </c>
      <c r="R50" s="95">
        <v>113.782549257423</v>
      </c>
      <c r="S50" s="96">
        <f t="shared" si="8"/>
        <v>202.8240776470588</v>
      </c>
      <c r="T50" s="93">
        <f t="shared" si="11"/>
        <v>155.87415360427806</v>
      </c>
      <c r="U50" s="96">
        <f t="shared" si="4"/>
        <v>3.98004706603921</v>
      </c>
      <c r="V50" s="96">
        <f t="shared" si="12"/>
        <v>9.4306929743516026</v>
      </c>
      <c r="W50" s="96">
        <f t="shared" si="1"/>
        <v>10.930692974351603</v>
      </c>
      <c r="X50" s="162">
        <v>12</v>
      </c>
      <c r="Y50" s="96" t="str">
        <f t="shared" si="6"/>
        <v>OK</v>
      </c>
    </row>
    <row r="51" spans="1:27" ht="12" customHeight="1" x14ac:dyDescent="0.45">
      <c r="A51" s="92">
        <v>29</v>
      </c>
      <c r="B51" s="92" t="s">
        <v>182</v>
      </c>
      <c r="C51" s="92">
        <v>3.8500001828651902</v>
      </c>
      <c r="D51" s="93">
        <v>0</v>
      </c>
      <c r="E51" s="93">
        <v>0</v>
      </c>
      <c r="F51" s="93">
        <f t="shared" si="2"/>
        <v>0</v>
      </c>
      <c r="G51" s="93">
        <f t="shared" si="9"/>
        <v>99.509400661244783</v>
      </c>
      <c r="H51" s="93">
        <v>0</v>
      </c>
      <c r="I51" s="93">
        <f t="shared" si="7"/>
        <v>109.46034072736927</v>
      </c>
      <c r="J51" s="93">
        <v>355</v>
      </c>
      <c r="K51" s="94">
        <v>0.7</v>
      </c>
      <c r="L51" s="94">
        <v>4</v>
      </c>
      <c r="M51" s="95">
        <v>1</v>
      </c>
      <c r="N51" s="95">
        <v>1.5</v>
      </c>
      <c r="O51" s="95">
        <v>1</v>
      </c>
      <c r="P51" s="95">
        <f t="shared" si="3"/>
        <v>31.601825875590997</v>
      </c>
      <c r="Q51" s="95">
        <v>0</v>
      </c>
      <c r="R51" s="95">
        <v>114.36138933152</v>
      </c>
      <c r="S51" s="96">
        <f t="shared" si="8"/>
        <v>200.58478882551802</v>
      </c>
      <c r="T51" s="93">
        <f t="shared" si="11"/>
        <v>158.78522907228108</v>
      </c>
      <c r="U51" s="96">
        <f t="shared" si="4"/>
        <v>3.98004706603921</v>
      </c>
      <c r="V51" s="96">
        <f t="shared" si="12"/>
        <v>9.18287081845898</v>
      </c>
      <c r="W51" s="96">
        <f t="shared" si="1"/>
        <v>10.68287081845898</v>
      </c>
      <c r="X51" s="162">
        <v>12</v>
      </c>
      <c r="Y51" s="96" t="str">
        <f t="shared" si="6"/>
        <v>OK</v>
      </c>
    </row>
    <row r="52" spans="1:27" ht="12" customHeight="1" x14ac:dyDescent="0.45">
      <c r="A52" s="92">
        <v>30</v>
      </c>
      <c r="B52" s="92" t="s">
        <v>182</v>
      </c>
      <c r="C52" s="92">
        <v>4.2000001994892999</v>
      </c>
      <c r="D52" s="93">
        <v>0</v>
      </c>
      <c r="E52" s="93">
        <v>0</v>
      </c>
      <c r="F52" s="93">
        <f t="shared" si="2"/>
        <v>0</v>
      </c>
      <c r="G52" s="93">
        <f t="shared" si="9"/>
        <v>95.990062994085207</v>
      </c>
      <c r="H52" s="93">
        <v>0</v>
      </c>
      <c r="I52" s="93">
        <f t="shared" si="7"/>
        <v>105.58906929349374</v>
      </c>
      <c r="J52" s="93">
        <v>355</v>
      </c>
      <c r="K52" s="94">
        <v>0.7</v>
      </c>
      <c r="L52" s="94">
        <v>4</v>
      </c>
      <c r="M52" s="95">
        <v>1</v>
      </c>
      <c r="N52" s="95">
        <v>1.5</v>
      </c>
      <c r="O52" s="95">
        <v>1</v>
      </c>
      <c r="P52" s="95">
        <f t="shared" si="3"/>
        <v>15.264096821808135</v>
      </c>
      <c r="Q52" s="95">
        <v>0</v>
      </c>
      <c r="R52" s="95">
        <v>115.073497491938</v>
      </c>
      <c r="S52" s="96">
        <f t="shared" si="8"/>
        <v>199.89677868056484</v>
      </c>
      <c r="T52" s="93">
        <f t="shared" si="11"/>
        <v>159.67964226072021</v>
      </c>
      <c r="U52" s="96">
        <f t="shared" si="4"/>
        <v>3.98004706603921</v>
      </c>
      <c r="V52" s="96">
        <f t="shared" si="12"/>
        <v>8.9937297285967066</v>
      </c>
      <c r="W52" s="96">
        <f t="shared" si="1"/>
        <v>10.493729728596707</v>
      </c>
      <c r="X52" s="162">
        <v>12</v>
      </c>
      <c r="Y52" s="96" t="str">
        <f t="shared" si="6"/>
        <v>OK</v>
      </c>
    </row>
    <row r="53" spans="1:27" ht="12" customHeight="1" x14ac:dyDescent="0.45">
      <c r="A53" s="92">
        <v>31</v>
      </c>
      <c r="B53" s="92" t="s">
        <v>182</v>
      </c>
      <c r="C53" s="92">
        <v>4.5500000997446497</v>
      </c>
      <c r="D53" s="93">
        <v>0</v>
      </c>
      <c r="E53" s="93">
        <v>0</v>
      </c>
      <c r="F53" s="93">
        <f t="shared" si="2"/>
        <v>0</v>
      </c>
      <c r="G53" s="93">
        <f t="shared" si="9"/>
        <v>92.470726497042605</v>
      </c>
      <c r="H53" s="93">
        <v>0</v>
      </c>
      <c r="I53" s="93">
        <f t="shared" si="7"/>
        <v>101.71779914674687</v>
      </c>
      <c r="J53" s="93">
        <v>355</v>
      </c>
      <c r="K53" s="94">
        <v>0.7</v>
      </c>
      <c r="L53" s="94">
        <v>4</v>
      </c>
      <c r="M53" s="95">
        <v>1</v>
      </c>
      <c r="N53" s="95">
        <v>1.5</v>
      </c>
      <c r="O53" s="95">
        <v>1</v>
      </c>
      <c r="P53" s="95">
        <f t="shared" si="3"/>
        <v>1.0736267999713578</v>
      </c>
      <c r="Q53" s="95">
        <v>0</v>
      </c>
      <c r="R53" s="95">
        <v>115.073497491938</v>
      </c>
      <c r="S53" s="96">
        <f t="shared" si="8"/>
        <v>199.31603585659334</v>
      </c>
      <c r="T53" s="93">
        <f t="shared" si="11"/>
        <v>160.43460793188316</v>
      </c>
      <c r="U53" s="96">
        <f t="shared" si="4"/>
        <v>3.98004706603921</v>
      </c>
      <c r="V53" s="96">
        <f t="shared" si="12"/>
        <v>8.8065250695333539</v>
      </c>
      <c r="W53" s="96">
        <f t="shared" si="1"/>
        <v>10.306525069533354</v>
      </c>
      <c r="X53" s="162">
        <v>12</v>
      </c>
      <c r="Y53" s="96" t="str">
        <f t="shared" si="6"/>
        <v>OK</v>
      </c>
    </row>
    <row r="54" spans="1:27" ht="12" customHeight="1" x14ac:dyDescent="0.45">
      <c r="A54" s="92">
        <v>32</v>
      </c>
      <c r="B54" s="92" t="s">
        <v>182</v>
      </c>
      <c r="C54" s="92">
        <v>4.9000000000000004</v>
      </c>
      <c r="D54" s="93">
        <v>0</v>
      </c>
      <c r="E54" s="93">
        <v>0</v>
      </c>
      <c r="F54" s="93">
        <f t="shared" si="2"/>
        <v>0</v>
      </c>
      <c r="G54" s="93">
        <f t="shared" si="9"/>
        <v>88.951389999999989</v>
      </c>
      <c r="H54" s="93">
        <v>0</v>
      </c>
      <c r="I54" s="93">
        <f t="shared" si="7"/>
        <v>97.84652899999999</v>
      </c>
      <c r="J54" s="93">
        <v>355</v>
      </c>
      <c r="K54" s="94">
        <v>0.7</v>
      </c>
      <c r="L54" s="94">
        <v>4</v>
      </c>
      <c r="M54" s="95">
        <v>1</v>
      </c>
      <c r="N54" s="95">
        <v>1.5</v>
      </c>
      <c r="O54" s="95">
        <v>1</v>
      </c>
      <c r="P54" s="95">
        <f t="shared" si="3"/>
        <v>17.411350421750889</v>
      </c>
      <c r="Q54" s="95">
        <v>0</v>
      </c>
      <c r="R54" s="95">
        <v>114.224722644831</v>
      </c>
      <c r="S54" s="96">
        <f t="shared" si="8"/>
        <v>198.60769600741739</v>
      </c>
      <c r="T54" s="93">
        <f t="shared" si="11"/>
        <v>161.3554497358119</v>
      </c>
      <c r="U54" s="96">
        <f t="shared" si="4"/>
        <v>3.98004706603921</v>
      </c>
      <c r="V54" s="96">
        <f t="shared" si="12"/>
        <v>8.6126345552881727</v>
      </c>
      <c r="W54" s="96">
        <f t="shared" si="1"/>
        <v>10.112634555288173</v>
      </c>
      <c r="X54" s="162">
        <v>12</v>
      </c>
      <c r="Y54" s="96" t="str">
        <f t="shared" si="6"/>
        <v>OK</v>
      </c>
    </row>
    <row r="55" spans="1:27" ht="12" customHeight="1" x14ac:dyDescent="0.45">
      <c r="A55" s="92">
        <v>33</v>
      </c>
      <c r="B55" s="92" t="s">
        <v>182</v>
      </c>
      <c r="C55" s="92">
        <v>5.2500000166241101</v>
      </c>
      <c r="D55" s="93">
        <v>0</v>
      </c>
      <c r="E55" s="93">
        <v>0</v>
      </c>
      <c r="F55" s="93">
        <f t="shared" si="2"/>
        <v>0</v>
      </c>
      <c r="G55" s="93">
        <f t="shared" si="9"/>
        <v>85.432052332840414</v>
      </c>
      <c r="H55" s="93">
        <v>0</v>
      </c>
      <c r="I55" s="93">
        <f t="shared" si="7"/>
        <v>93.975257566124469</v>
      </c>
      <c r="J55" s="93">
        <v>355</v>
      </c>
      <c r="K55" s="94">
        <v>0.7</v>
      </c>
      <c r="L55" s="94">
        <v>4</v>
      </c>
      <c r="M55" s="95">
        <v>1</v>
      </c>
      <c r="N55" s="95">
        <v>1.5</v>
      </c>
      <c r="O55" s="95">
        <v>1</v>
      </c>
      <c r="P55" s="95">
        <f t="shared" si="3"/>
        <v>33.749079475533755</v>
      </c>
      <c r="Q55" s="95">
        <v>0</v>
      </c>
      <c r="R55" s="95">
        <v>113.89413593420601</v>
      </c>
      <c r="S55" s="96">
        <f t="shared" si="8"/>
        <v>200.13651082709541</v>
      </c>
      <c r="T55" s="93">
        <f t="shared" si="11"/>
        <v>159.36799047023047</v>
      </c>
      <c r="U55" s="96">
        <f t="shared" si="4"/>
        <v>3.98004706603921</v>
      </c>
      <c r="V55" s="96">
        <f t="shared" si="12"/>
        <v>8.4930042433203692</v>
      </c>
      <c r="W55" s="96">
        <f t="shared" si="1"/>
        <v>9.9930042433203692</v>
      </c>
      <c r="X55" s="162">
        <v>12</v>
      </c>
      <c r="Y55" s="96" t="str">
        <f t="shared" si="6"/>
        <v>OK</v>
      </c>
    </row>
    <row r="56" spans="1:27" ht="12" customHeight="1" x14ac:dyDescent="0.45">
      <c r="A56" s="92">
        <v>34</v>
      </c>
      <c r="B56" s="92" t="s">
        <v>182</v>
      </c>
      <c r="C56" s="92">
        <v>5.6000000332482198</v>
      </c>
      <c r="D56" s="93">
        <v>0</v>
      </c>
      <c r="E56" s="93">
        <v>0</v>
      </c>
      <c r="F56" s="93">
        <f t="shared" si="2"/>
        <v>0</v>
      </c>
      <c r="G56" s="93">
        <f t="shared" si="9"/>
        <v>81.912714665680824</v>
      </c>
      <c r="H56" s="93">
        <v>0</v>
      </c>
      <c r="I56" s="93">
        <f t="shared" si="7"/>
        <v>90.10398613224892</v>
      </c>
      <c r="J56" s="93">
        <v>355</v>
      </c>
      <c r="K56" s="94">
        <v>0.7</v>
      </c>
      <c r="L56" s="94">
        <v>4</v>
      </c>
      <c r="M56" s="95">
        <v>1</v>
      </c>
      <c r="N56" s="95">
        <v>1.5</v>
      </c>
      <c r="O56" s="95">
        <v>1</v>
      </c>
      <c r="P56" s="95">
        <f t="shared" si="3"/>
        <v>50.086808529316613</v>
      </c>
      <c r="Q56" s="95">
        <v>0</v>
      </c>
      <c r="R56" s="95">
        <v>112.555984818572</v>
      </c>
      <c r="S56" s="96">
        <f t="shared" si="8"/>
        <v>201.28397239742725</v>
      </c>
      <c r="T56" s="93">
        <f t="shared" si="11"/>
        <v>157.87629042879908</v>
      </c>
      <c r="U56" s="96">
        <f t="shared" si="4"/>
        <v>3.98004706603921</v>
      </c>
      <c r="V56" s="96">
        <f t="shared" si="12"/>
        <v>8.3554274467018566</v>
      </c>
      <c r="W56" s="96">
        <f t="shared" si="1"/>
        <v>9.8554274467018566</v>
      </c>
      <c r="X56" s="162">
        <v>12</v>
      </c>
      <c r="Y56" s="96" t="str">
        <f t="shared" si="6"/>
        <v>OK</v>
      </c>
    </row>
    <row r="57" spans="1:27" ht="12" customHeight="1" x14ac:dyDescent="0.45">
      <c r="A57" s="92">
        <v>35</v>
      </c>
      <c r="B57" s="92" t="s">
        <v>182</v>
      </c>
      <c r="C57" s="92">
        <v>5.8</v>
      </c>
      <c r="D57" s="93">
        <v>0</v>
      </c>
      <c r="E57" s="93">
        <v>0</v>
      </c>
      <c r="F57" s="93">
        <f t="shared" si="2"/>
        <v>0</v>
      </c>
      <c r="G57" s="93">
        <f t="shared" si="9"/>
        <v>79.901664999999994</v>
      </c>
      <c r="H57" s="93">
        <v>0</v>
      </c>
      <c r="I57" s="93">
        <f t="shared" si="7"/>
        <v>87.891831499999995</v>
      </c>
      <c r="J57" s="93">
        <v>355</v>
      </c>
      <c r="K57" s="94">
        <v>0.7</v>
      </c>
      <c r="L57" s="94">
        <v>4</v>
      </c>
      <c r="M57" s="95">
        <v>1</v>
      </c>
      <c r="N57" s="95">
        <v>1.5</v>
      </c>
      <c r="O57" s="95">
        <v>1</v>
      </c>
      <c r="P57" s="95">
        <f t="shared" si="3"/>
        <v>59.422651707476852</v>
      </c>
      <c r="Q57" s="95">
        <v>0</v>
      </c>
      <c r="R57" s="95">
        <v>112.05774933695101</v>
      </c>
      <c r="S57" s="96">
        <f t="shared" si="8"/>
        <v>202.98243543552465</v>
      </c>
      <c r="T57" s="93">
        <f t="shared" si="11"/>
        <v>155.66828847927246</v>
      </c>
      <c r="U57" s="96">
        <f t="shared" si="4"/>
        <v>3.98004706603921</v>
      </c>
      <c r="V57" s="96">
        <f t="shared" si="12"/>
        <v>8.310541239275814</v>
      </c>
      <c r="W57" s="96">
        <f t="shared" si="1"/>
        <v>9.810541239275814</v>
      </c>
      <c r="X57" s="162">
        <v>12</v>
      </c>
      <c r="Y57" s="96" t="str">
        <f t="shared" si="6"/>
        <v>OK</v>
      </c>
    </row>
    <row r="58" spans="1:27" ht="12" customHeight="1" x14ac:dyDescent="0.45">
      <c r="A58" s="92">
        <v>36</v>
      </c>
      <c r="B58" s="92" t="s">
        <v>182</v>
      </c>
      <c r="C58" s="92">
        <v>6.1249999667517798</v>
      </c>
      <c r="D58" s="93">
        <v>0</v>
      </c>
      <c r="E58" s="93">
        <v>0</v>
      </c>
      <c r="F58" s="93">
        <f t="shared" si="2"/>
        <v>0</v>
      </c>
      <c r="G58" s="93">
        <f t="shared" si="9"/>
        <v>76.63370908431915</v>
      </c>
      <c r="H58" s="93">
        <v>0</v>
      </c>
      <c r="I58" s="93">
        <f t="shared" si="7"/>
        <v>84.297079992751065</v>
      </c>
      <c r="J58" s="93">
        <v>355</v>
      </c>
      <c r="K58" s="94">
        <v>0.7</v>
      </c>
      <c r="L58" s="94">
        <v>4</v>
      </c>
      <c r="M58" s="95">
        <v>1</v>
      </c>
      <c r="N58" s="95">
        <v>1.5</v>
      </c>
      <c r="O58" s="95">
        <v>1</v>
      </c>
      <c r="P58" s="95">
        <f t="shared" si="3"/>
        <v>74.593397841987908</v>
      </c>
      <c r="Q58" s="95">
        <v>0</v>
      </c>
      <c r="R58" s="95">
        <v>111.036999716981</v>
      </c>
      <c r="S58" s="96">
        <f t="shared" si="8"/>
        <v>206.28092718440936</v>
      </c>
      <c r="T58" s="93">
        <f t="shared" si="11"/>
        <v>151.38024920572232</v>
      </c>
      <c r="U58" s="96">
        <f t="shared" si="4"/>
        <v>3.98004706603921</v>
      </c>
      <c r="V58" s="96">
        <f t="shared" si="12"/>
        <v>8.2532839039004298</v>
      </c>
      <c r="W58" s="96">
        <f t="shared" si="1"/>
        <v>9.7532839039004298</v>
      </c>
      <c r="X58" s="162">
        <v>12</v>
      </c>
      <c r="Y58" s="96" t="str">
        <f t="shared" si="6"/>
        <v>OK</v>
      </c>
      <c r="AA58" s="4">
        <f>2.63*3</f>
        <v>7.89</v>
      </c>
    </row>
    <row r="59" spans="1:27" ht="12" customHeight="1" x14ac:dyDescent="0.45">
      <c r="A59" s="92">
        <v>37</v>
      </c>
      <c r="B59" s="92" t="s">
        <v>182</v>
      </c>
      <c r="C59" s="92">
        <v>6.6499999002553496</v>
      </c>
      <c r="D59" s="93">
        <v>0</v>
      </c>
      <c r="E59" s="93">
        <v>0</v>
      </c>
      <c r="F59" s="93">
        <f t="shared" si="2"/>
        <v>0</v>
      </c>
      <c r="G59" s="93">
        <f t="shared" si="9"/>
        <v>71.354703502957392</v>
      </c>
      <c r="H59" s="93">
        <v>0</v>
      </c>
      <c r="I59" s="93">
        <f t="shared" si="7"/>
        <v>78.49017385325314</v>
      </c>
      <c r="J59" s="93">
        <v>355</v>
      </c>
      <c r="K59" s="94">
        <v>0.7</v>
      </c>
      <c r="L59" s="94">
        <v>4</v>
      </c>
      <c r="M59" s="95">
        <v>1</v>
      </c>
      <c r="N59" s="95">
        <v>1.5</v>
      </c>
      <c r="O59" s="95">
        <v>1</v>
      </c>
      <c r="P59" s="95">
        <f t="shared" si="3"/>
        <v>99.099987154659658</v>
      </c>
      <c r="Q59" s="95">
        <v>0</v>
      </c>
      <c r="R59" s="95">
        <v>107.315757647045</v>
      </c>
      <c r="S59" s="96">
        <f t="shared" si="8"/>
        <v>210.64382965596596</v>
      </c>
      <c r="T59" s="93">
        <f t="shared" si="11"/>
        <v>145.70847599269877</v>
      </c>
      <c r="U59" s="96">
        <f t="shared" si="4"/>
        <v>3.98004706603921</v>
      </c>
      <c r="V59" s="96">
        <f t="shared" si="12"/>
        <v>8.117463875250678</v>
      </c>
      <c r="W59" s="96">
        <f t="shared" si="1"/>
        <v>9.617463875250678</v>
      </c>
      <c r="X59" s="162">
        <v>12</v>
      </c>
      <c r="Y59" s="96" t="str">
        <f t="shared" si="6"/>
        <v>OK</v>
      </c>
    </row>
    <row r="60" spans="1:27" ht="12" customHeight="1" x14ac:dyDescent="0.45">
      <c r="A60" s="92">
        <v>38</v>
      </c>
      <c r="B60" s="92" t="s">
        <v>182</v>
      </c>
      <c r="C60" s="92">
        <v>6.9999999168794602</v>
      </c>
      <c r="D60" s="93">
        <v>0</v>
      </c>
      <c r="E60" s="93">
        <v>0</v>
      </c>
      <c r="F60" s="93">
        <f t="shared" si="2"/>
        <v>0</v>
      </c>
      <c r="G60" s="93">
        <f t="shared" si="9"/>
        <v>67.835365835797802</v>
      </c>
      <c r="H60" s="93">
        <v>0</v>
      </c>
      <c r="I60" s="93">
        <f t="shared" si="7"/>
        <v>74.618902419377591</v>
      </c>
      <c r="J60" s="93">
        <v>355</v>
      </c>
      <c r="K60" s="94">
        <v>0.7</v>
      </c>
      <c r="L60" s="94">
        <v>4</v>
      </c>
      <c r="M60" s="95">
        <v>1</v>
      </c>
      <c r="N60" s="95">
        <v>1.5</v>
      </c>
      <c r="O60" s="95">
        <v>1</v>
      </c>
      <c r="P60" s="95">
        <f t="shared" si="3"/>
        <v>115.43771620844255</v>
      </c>
      <c r="Q60" s="95">
        <v>0</v>
      </c>
      <c r="R60" s="95">
        <v>105.469459450966</v>
      </c>
      <c r="S60" s="96">
        <f t="shared" si="8"/>
        <v>216.09555051887997</v>
      </c>
      <c r="T60" s="93">
        <f t="shared" si="11"/>
        <v>138.62123887091053</v>
      </c>
      <c r="U60" s="96">
        <f t="shared" si="4"/>
        <v>3.98004706603921</v>
      </c>
      <c r="V60" s="96">
        <f t="shared" si="12"/>
        <v>8.1145542365629453</v>
      </c>
      <c r="W60" s="96">
        <f t="shared" si="1"/>
        <v>9.6145542365629453</v>
      </c>
      <c r="X60" s="162">
        <v>12</v>
      </c>
      <c r="Y60" s="96" t="str">
        <f t="shared" si="6"/>
        <v>OK</v>
      </c>
    </row>
    <row r="61" spans="1:27" ht="12" customHeight="1" x14ac:dyDescent="0.45">
      <c r="A61" s="92">
        <v>39</v>
      </c>
      <c r="B61" s="92" t="s">
        <v>182</v>
      </c>
      <c r="C61" s="92">
        <v>7.3499999335035699</v>
      </c>
      <c r="D61" s="93">
        <v>0</v>
      </c>
      <c r="E61" s="93">
        <v>0</v>
      </c>
      <c r="F61" s="93">
        <f t="shared" si="2"/>
        <v>0</v>
      </c>
      <c r="G61" s="93">
        <f t="shared" si="9"/>
        <v>64.316028168638226</v>
      </c>
      <c r="H61" s="93">
        <v>0</v>
      </c>
      <c r="I61" s="93">
        <f t="shared" si="7"/>
        <v>70.747630985502056</v>
      </c>
      <c r="J61" s="93">
        <v>355</v>
      </c>
      <c r="K61" s="94">
        <v>0.7</v>
      </c>
      <c r="L61" s="94">
        <v>4</v>
      </c>
      <c r="M61" s="95">
        <v>1</v>
      </c>
      <c r="N61" s="95">
        <v>1.5</v>
      </c>
      <c r="O61" s="95">
        <v>1</v>
      </c>
      <c r="P61" s="95">
        <f t="shared" si="3"/>
        <v>131.77544526222545</v>
      </c>
      <c r="Q61" s="95">
        <v>0</v>
      </c>
      <c r="R61" s="95">
        <v>101.255988605246</v>
      </c>
      <c r="S61" s="96">
        <f t="shared" si="8"/>
        <v>219.36976468815135</v>
      </c>
      <c r="T61" s="93">
        <f t="shared" si="11"/>
        <v>134.36476045085774</v>
      </c>
      <c r="U61" s="96">
        <f t="shared" si="4"/>
        <v>3.98004706603921</v>
      </c>
      <c r="V61" s="96">
        <f t="shared" si="12"/>
        <v>8.0254314000144369</v>
      </c>
      <c r="W61" s="96">
        <f t="shared" si="1"/>
        <v>9.5254314000144369</v>
      </c>
      <c r="X61" s="162">
        <v>12</v>
      </c>
      <c r="Y61" s="96" t="str">
        <f t="shared" si="6"/>
        <v>OK</v>
      </c>
    </row>
    <row r="62" spans="1:27" ht="12" customHeight="1" x14ac:dyDescent="0.45">
      <c r="A62" s="92">
        <v>40</v>
      </c>
      <c r="B62" s="92" t="s">
        <v>182</v>
      </c>
      <c r="C62" s="92">
        <v>7.6999999501276797</v>
      </c>
      <c r="D62" s="93">
        <v>0</v>
      </c>
      <c r="E62" s="93">
        <v>0</v>
      </c>
      <c r="F62" s="93">
        <f t="shared" si="2"/>
        <v>0</v>
      </c>
      <c r="G62" s="93">
        <f t="shared" si="9"/>
        <v>60.796690501478643</v>
      </c>
      <c r="H62" s="93">
        <v>0</v>
      </c>
      <c r="I62" s="93">
        <f t="shared" si="7"/>
        <v>66.876359551626507</v>
      </c>
      <c r="J62" s="93">
        <v>355</v>
      </c>
      <c r="K62" s="94">
        <v>0.7</v>
      </c>
      <c r="L62" s="94">
        <v>4</v>
      </c>
      <c r="M62" s="95">
        <v>1</v>
      </c>
      <c r="N62" s="95">
        <v>1.5</v>
      </c>
      <c r="O62" s="95">
        <v>1</v>
      </c>
      <c r="P62" s="95">
        <f t="shared" si="3"/>
        <v>148.1131743160083</v>
      </c>
      <c r="Q62" s="95">
        <v>0</v>
      </c>
      <c r="R62" s="95">
        <v>98.803405751633093</v>
      </c>
      <c r="S62" s="96">
        <f t="shared" si="8"/>
        <v>226.3268684233708</v>
      </c>
      <c r="T62" s="93">
        <f t="shared" si="11"/>
        <v>125.32052559507247</v>
      </c>
      <c r="U62" s="96">
        <f t="shared" si="4"/>
        <v>3.98004706603921</v>
      </c>
      <c r="V62" s="96">
        <f t="shared" si="12"/>
        <v>8.0794227925959756</v>
      </c>
      <c r="W62" s="96">
        <f t="shared" si="1"/>
        <v>9.5794227925959756</v>
      </c>
      <c r="X62" s="162">
        <v>12</v>
      </c>
      <c r="Y62" s="96" t="str">
        <f t="shared" si="6"/>
        <v>OK</v>
      </c>
    </row>
    <row r="63" spans="1:27" ht="12" customHeight="1" x14ac:dyDescent="0.45">
      <c r="A63" s="92"/>
      <c r="B63" s="92"/>
      <c r="C63" s="92"/>
      <c r="D63" s="93"/>
      <c r="E63" s="93"/>
      <c r="F63" s="93"/>
      <c r="G63" s="93"/>
      <c r="H63" s="93"/>
      <c r="I63" s="93"/>
      <c r="J63" s="93"/>
      <c r="K63" s="94"/>
      <c r="L63" s="94"/>
      <c r="M63" s="95"/>
      <c r="N63" s="95"/>
      <c r="O63" s="95"/>
      <c r="P63" s="95"/>
      <c r="Q63" s="95"/>
      <c r="R63" s="95"/>
      <c r="S63" s="96"/>
      <c r="T63" s="93"/>
      <c r="U63" s="96"/>
      <c r="V63" s="96"/>
      <c r="W63" s="96"/>
      <c r="X63" s="162"/>
      <c r="Y63" s="96"/>
    </row>
    <row r="64" spans="1:27" ht="12" customHeight="1" x14ac:dyDescent="0.45">
      <c r="A64" s="92"/>
      <c r="B64" s="92"/>
      <c r="C64" s="92"/>
      <c r="D64" s="93"/>
      <c r="E64" s="93"/>
      <c r="F64" s="93"/>
      <c r="G64" s="93"/>
      <c r="H64" s="93"/>
      <c r="I64" s="93"/>
      <c r="J64" s="93"/>
      <c r="K64" s="94"/>
      <c r="L64" s="94"/>
      <c r="M64" s="95"/>
      <c r="N64" s="95"/>
      <c r="O64" s="95"/>
      <c r="P64" s="95"/>
      <c r="Q64" s="95"/>
      <c r="R64" s="95"/>
      <c r="S64" s="96"/>
      <c r="T64" s="93"/>
      <c r="U64" s="96"/>
      <c r="V64" s="96"/>
      <c r="W64" s="96"/>
      <c r="X64" s="162"/>
      <c r="Y64" s="96"/>
    </row>
    <row r="65" spans="1:25" ht="12" customHeight="1" x14ac:dyDescent="0.45">
      <c r="A65" s="103">
        <v>43</v>
      </c>
      <c r="B65" s="103" t="s">
        <v>140</v>
      </c>
      <c r="C65" s="103">
        <v>8.3930000000000007</v>
      </c>
      <c r="D65" s="104">
        <v>0</v>
      </c>
      <c r="E65" s="104">
        <v>0</v>
      </c>
      <c r="F65" s="104">
        <f t="shared" si="2"/>
        <v>0</v>
      </c>
      <c r="G65" s="104">
        <f t="shared" si="9"/>
        <v>53.828401749999983</v>
      </c>
      <c r="H65" s="104">
        <v>0</v>
      </c>
      <c r="I65" s="104">
        <f t="shared" si="7"/>
        <v>59.211241924999989</v>
      </c>
      <c r="J65" s="104">
        <v>355</v>
      </c>
      <c r="K65" s="105">
        <v>0.7</v>
      </c>
      <c r="L65" s="105">
        <v>4</v>
      </c>
      <c r="M65" s="106">
        <v>1</v>
      </c>
      <c r="N65" s="106">
        <v>1.5</v>
      </c>
      <c r="O65" s="106">
        <v>1</v>
      </c>
      <c r="P65" s="106">
        <f t="shared" si="3"/>
        <v>180.46187863401855</v>
      </c>
      <c r="Q65" s="106">
        <v>0</v>
      </c>
      <c r="R65" s="106">
        <v>49.890852937776003</v>
      </c>
      <c r="S65" s="107">
        <f t="shared" si="8"/>
        <v>200.08443532842733</v>
      </c>
      <c r="T65" s="104">
        <f t="shared" si="11"/>
        <v>159.43568861849897</v>
      </c>
      <c r="U65" s="107">
        <f t="shared" si="4"/>
        <v>3.98004706603921</v>
      </c>
      <c r="V65" s="107">
        <f t="shared" si="12"/>
        <v>6.7400705304978468</v>
      </c>
      <c r="W65" s="107">
        <f t="shared" si="1"/>
        <v>8.2400705304978459</v>
      </c>
      <c r="X65" s="161">
        <v>20</v>
      </c>
      <c r="Y65" s="107" t="str">
        <f t="shared" si="6"/>
        <v>OK</v>
      </c>
    </row>
    <row r="66" spans="1:25" ht="12" customHeight="1" x14ac:dyDescent="0.45">
      <c r="A66" s="103">
        <v>44</v>
      </c>
      <c r="B66" s="103" t="s">
        <v>140</v>
      </c>
      <c r="C66" s="103">
        <v>8.3930000000000007</v>
      </c>
      <c r="D66" s="104">
        <v>0</v>
      </c>
      <c r="E66" s="104">
        <v>0</v>
      </c>
      <c r="F66" s="104">
        <f t="shared" si="2"/>
        <v>0</v>
      </c>
      <c r="G66" s="104">
        <f t="shared" si="9"/>
        <v>53.828401749999983</v>
      </c>
      <c r="H66" s="104">
        <v>0</v>
      </c>
      <c r="I66" s="104">
        <f t="shared" si="7"/>
        <v>59.211241924999989</v>
      </c>
      <c r="J66" s="104">
        <v>355</v>
      </c>
      <c r="K66" s="105">
        <v>0.7</v>
      </c>
      <c r="L66" s="105">
        <v>4</v>
      </c>
      <c r="M66" s="106">
        <v>1</v>
      </c>
      <c r="N66" s="106">
        <v>1.5</v>
      </c>
      <c r="O66" s="106">
        <v>1</v>
      </c>
      <c r="P66" s="106">
        <f t="shared" si="3"/>
        <v>180.46187863401855</v>
      </c>
      <c r="Q66" s="106">
        <v>0</v>
      </c>
      <c r="R66" s="106">
        <v>46.126301861741403</v>
      </c>
      <c r="S66" s="107">
        <f t="shared" si="8"/>
        <v>197.35601538955103</v>
      </c>
      <c r="T66" s="104">
        <f t="shared" si="11"/>
        <v>162.98263453903817</v>
      </c>
      <c r="U66" s="107">
        <f t="shared" si="4"/>
        <v>3.98004706603921</v>
      </c>
      <c r="V66" s="107">
        <f t="shared" si="12"/>
        <v>6.6663259590367074</v>
      </c>
      <c r="W66" s="107">
        <f t="shared" si="1"/>
        <v>8.1663259590367083</v>
      </c>
      <c r="X66" s="161">
        <v>20</v>
      </c>
      <c r="Y66" s="107" t="str">
        <f t="shared" si="6"/>
        <v>OK</v>
      </c>
    </row>
    <row r="67" spans="1:25" ht="12" customHeight="1" x14ac:dyDescent="0.45">
      <c r="A67" s="103">
        <v>45</v>
      </c>
      <c r="B67" s="103" t="s">
        <v>140</v>
      </c>
      <c r="C67" s="103">
        <v>8.3930000000000007</v>
      </c>
      <c r="D67" s="104">
        <v>0</v>
      </c>
      <c r="E67" s="104">
        <v>0</v>
      </c>
      <c r="F67" s="104">
        <f t="shared" si="2"/>
        <v>0</v>
      </c>
      <c r="G67" s="104">
        <f t="shared" si="9"/>
        <v>53.828401749999983</v>
      </c>
      <c r="H67" s="104">
        <v>0</v>
      </c>
      <c r="I67" s="104">
        <f t="shared" si="7"/>
        <v>59.211241924999989</v>
      </c>
      <c r="J67" s="104">
        <v>355</v>
      </c>
      <c r="K67" s="105">
        <v>0.7</v>
      </c>
      <c r="L67" s="105">
        <v>4</v>
      </c>
      <c r="M67" s="106">
        <v>1</v>
      </c>
      <c r="N67" s="106">
        <v>1.5</v>
      </c>
      <c r="O67" s="106">
        <v>1</v>
      </c>
      <c r="P67" s="106">
        <f t="shared" si="3"/>
        <v>180.46187863401855</v>
      </c>
      <c r="Q67" s="106">
        <v>0</v>
      </c>
      <c r="R67" s="106">
        <v>39.601883231931701</v>
      </c>
      <c r="S67" s="107">
        <f t="shared" si="8"/>
        <v>193.05806667079699</v>
      </c>
      <c r="T67" s="104">
        <f t="shared" si="11"/>
        <v>168.56996787341842</v>
      </c>
      <c r="U67" s="107">
        <f t="shared" si="4"/>
        <v>3.98004706603921</v>
      </c>
      <c r="V67" s="107">
        <f t="shared" si="12"/>
        <v>6.5549156894484391</v>
      </c>
      <c r="W67" s="107">
        <f t="shared" si="1"/>
        <v>8.0549156894484391</v>
      </c>
      <c r="X67" s="161">
        <v>20</v>
      </c>
      <c r="Y67" s="107" t="str">
        <f t="shared" si="6"/>
        <v>OK</v>
      </c>
    </row>
    <row r="68" spans="1:25" ht="12" customHeight="1" x14ac:dyDescent="0.45">
      <c r="A68" s="103">
        <v>46</v>
      </c>
      <c r="B68" s="103" t="s">
        <v>140</v>
      </c>
      <c r="C68" s="103">
        <v>8.3930000000000007</v>
      </c>
      <c r="D68" s="104">
        <v>0</v>
      </c>
      <c r="E68" s="104">
        <v>0</v>
      </c>
      <c r="F68" s="104">
        <f t="shared" si="2"/>
        <v>0</v>
      </c>
      <c r="G68" s="104">
        <f t="shared" si="9"/>
        <v>53.828401749999983</v>
      </c>
      <c r="H68" s="104">
        <v>0</v>
      </c>
      <c r="I68" s="104">
        <f t="shared" si="7"/>
        <v>59.211241924999989</v>
      </c>
      <c r="J68" s="104">
        <v>355</v>
      </c>
      <c r="K68" s="105">
        <v>0.7</v>
      </c>
      <c r="L68" s="105">
        <v>4</v>
      </c>
      <c r="M68" s="106">
        <v>1</v>
      </c>
      <c r="N68" s="106">
        <v>1.5</v>
      </c>
      <c r="O68" s="106">
        <v>1</v>
      </c>
      <c r="P68" s="106">
        <f t="shared" si="3"/>
        <v>180.46187863401855</v>
      </c>
      <c r="Q68" s="106">
        <v>0</v>
      </c>
      <c r="R68" s="106">
        <v>35.837332155897101</v>
      </c>
      <c r="S68" s="107">
        <f t="shared" si="8"/>
        <v>190.83876117884313</v>
      </c>
      <c r="T68" s="104">
        <f t="shared" si="11"/>
        <v>171.45506501295844</v>
      </c>
      <c r="U68" s="107">
        <f t="shared" si="4"/>
        <v>3.98004706603921</v>
      </c>
      <c r="V68" s="107">
        <f t="shared" si="12"/>
        <v>6.4995314934402115</v>
      </c>
      <c r="W68" s="107">
        <f t="shared" si="1"/>
        <v>7.9995314934402115</v>
      </c>
      <c r="X68" s="161">
        <v>20</v>
      </c>
      <c r="Y68" s="107" t="str">
        <f t="shared" si="6"/>
        <v>OK</v>
      </c>
    </row>
    <row r="69" spans="1:25" ht="12" customHeight="1" x14ac:dyDescent="0.45">
      <c r="A69" s="103">
        <v>47</v>
      </c>
      <c r="B69" s="103" t="s">
        <v>140</v>
      </c>
      <c r="C69" s="103">
        <v>8.3930000000000007</v>
      </c>
      <c r="D69" s="104">
        <v>0</v>
      </c>
      <c r="E69" s="104">
        <v>0</v>
      </c>
      <c r="F69" s="104">
        <f t="shared" si="2"/>
        <v>0</v>
      </c>
      <c r="G69" s="104">
        <f t="shared" si="9"/>
        <v>53.828401749999983</v>
      </c>
      <c r="H69" s="104">
        <v>0</v>
      </c>
      <c r="I69" s="104">
        <f t="shared" si="7"/>
        <v>59.211241924999989</v>
      </c>
      <c r="J69" s="104">
        <v>355</v>
      </c>
      <c r="K69" s="105">
        <v>0.7</v>
      </c>
      <c r="L69" s="105">
        <v>4</v>
      </c>
      <c r="M69" s="106">
        <v>1</v>
      </c>
      <c r="N69" s="106">
        <v>1.5</v>
      </c>
      <c r="O69" s="106">
        <v>1</v>
      </c>
      <c r="P69" s="106">
        <f t="shared" si="3"/>
        <v>180.46187863401855</v>
      </c>
      <c r="Q69" s="106">
        <v>0</v>
      </c>
      <c r="R69" s="106">
        <v>29.312913526087002</v>
      </c>
      <c r="S69" s="107">
        <f t="shared" si="8"/>
        <v>187.46794482866346</v>
      </c>
      <c r="T69" s="104">
        <f t="shared" si="11"/>
        <v>175.83712626819201</v>
      </c>
      <c r="U69" s="107">
        <f t="shared" si="4"/>
        <v>3.98004706603921</v>
      </c>
      <c r="V69" s="107">
        <f t="shared" si="12"/>
        <v>6.4180326690302989</v>
      </c>
      <c r="W69" s="107">
        <f t="shared" si="1"/>
        <v>7.9180326690302989</v>
      </c>
      <c r="X69" s="161">
        <v>20</v>
      </c>
      <c r="Y69" s="107" t="str">
        <f t="shared" si="6"/>
        <v>OK</v>
      </c>
    </row>
    <row r="70" spans="1:25" ht="12" customHeight="1" x14ac:dyDescent="0.45">
      <c r="A70" s="103">
        <v>48</v>
      </c>
      <c r="B70" s="103" t="s">
        <v>140</v>
      </c>
      <c r="C70" s="103">
        <v>8.3930000000000007</v>
      </c>
      <c r="D70" s="104">
        <v>0</v>
      </c>
      <c r="E70" s="104">
        <v>0</v>
      </c>
      <c r="F70" s="104">
        <f t="shared" si="2"/>
        <v>0</v>
      </c>
      <c r="G70" s="104">
        <f t="shared" si="9"/>
        <v>53.828401749999983</v>
      </c>
      <c r="H70" s="104">
        <v>0</v>
      </c>
      <c r="I70" s="104">
        <f t="shared" si="7"/>
        <v>59.211241924999989</v>
      </c>
      <c r="J70" s="104">
        <v>355</v>
      </c>
      <c r="K70" s="105">
        <v>0.7</v>
      </c>
      <c r="L70" s="105">
        <v>4</v>
      </c>
      <c r="M70" s="106">
        <v>1</v>
      </c>
      <c r="N70" s="106">
        <v>1.5</v>
      </c>
      <c r="O70" s="106">
        <v>1</v>
      </c>
      <c r="P70" s="106">
        <f t="shared" si="3"/>
        <v>180.46187863401855</v>
      </c>
      <c r="Q70" s="106">
        <v>0</v>
      </c>
      <c r="R70" s="106">
        <v>25.548362450053201</v>
      </c>
      <c r="S70" s="107">
        <f t="shared" si="8"/>
        <v>185.8080894680237</v>
      </c>
      <c r="T70" s="104">
        <f t="shared" si="11"/>
        <v>177.99493823702369</v>
      </c>
      <c r="U70" s="107">
        <f t="shared" si="4"/>
        <v>3.98004706603921</v>
      </c>
      <c r="V70" s="107">
        <f t="shared" si="12"/>
        <v>6.3790115137709273</v>
      </c>
      <c r="W70" s="107">
        <f t="shared" si="1"/>
        <v>7.8790115137709273</v>
      </c>
      <c r="X70" s="161">
        <v>20</v>
      </c>
      <c r="Y70" s="107" t="str">
        <f t="shared" si="6"/>
        <v>OK</v>
      </c>
    </row>
    <row r="71" spans="1:25" ht="12" customHeight="1" x14ac:dyDescent="0.45">
      <c r="A71" s="103">
        <v>49</v>
      </c>
      <c r="B71" s="103" t="s">
        <v>140</v>
      </c>
      <c r="C71" s="103">
        <v>8.3930000000000007</v>
      </c>
      <c r="D71" s="104">
        <v>0</v>
      </c>
      <c r="E71" s="104">
        <v>0</v>
      </c>
      <c r="F71" s="104">
        <f t="shared" si="2"/>
        <v>0</v>
      </c>
      <c r="G71" s="104">
        <f t="shared" si="9"/>
        <v>53.828401749999983</v>
      </c>
      <c r="H71" s="104">
        <v>0</v>
      </c>
      <c r="I71" s="104">
        <f t="shared" si="7"/>
        <v>59.211241924999989</v>
      </c>
      <c r="J71" s="104">
        <v>355</v>
      </c>
      <c r="K71" s="105">
        <v>0.7</v>
      </c>
      <c r="L71" s="105">
        <v>4</v>
      </c>
      <c r="M71" s="106">
        <v>1</v>
      </c>
      <c r="N71" s="106">
        <v>1.5</v>
      </c>
      <c r="O71" s="106">
        <v>1</v>
      </c>
      <c r="P71" s="106">
        <f t="shared" si="3"/>
        <v>180.46187863401855</v>
      </c>
      <c r="Q71" s="106">
        <v>0</v>
      </c>
      <c r="R71" s="106">
        <v>19.023943820243499</v>
      </c>
      <c r="S71" s="107">
        <f t="shared" si="8"/>
        <v>183.44541682894828</v>
      </c>
      <c r="T71" s="104">
        <f t="shared" si="11"/>
        <v>181.06641266782174</v>
      </c>
      <c r="U71" s="107">
        <f t="shared" si="4"/>
        <v>3.98004706603921</v>
      </c>
      <c r="V71" s="107">
        <f t="shared" si="12"/>
        <v>6.324675723732363</v>
      </c>
      <c r="W71" s="107">
        <f t="shared" si="1"/>
        <v>7.824675723732363</v>
      </c>
      <c r="X71" s="161">
        <v>20</v>
      </c>
      <c r="Y71" s="107" t="str">
        <f t="shared" si="6"/>
        <v>OK</v>
      </c>
    </row>
    <row r="72" spans="1:25" ht="12" customHeight="1" x14ac:dyDescent="0.45">
      <c r="A72" s="103">
        <v>50</v>
      </c>
      <c r="B72" s="103" t="s">
        <v>140</v>
      </c>
      <c r="C72" s="103">
        <v>8.3930000000000007</v>
      </c>
      <c r="D72" s="104">
        <v>0</v>
      </c>
      <c r="E72" s="104">
        <v>0</v>
      </c>
      <c r="F72" s="104">
        <f t="shared" si="2"/>
        <v>0</v>
      </c>
      <c r="G72" s="104">
        <f t="shared" si="9"/>
        <v>53.828401749999983</v>
      </c>
      <c r="H72" s="104">
        <v>0</v>
      </c>
      <c r="I72" s="104">
        <f t="shared" si="7"/>
        <v>59.211241924999989</v>
      </c>
      <c r="J72" s="104">
        <v>355</v>
      </c>
      <c r="K72" s="105">
        <v>0.7</v>
      </c>
      <c r="L72" s="105">
        <v>4</v>
      </c>
      <c r="M72" s="106">
        <v>1</v>
      </c>
      <c r="N72" s="106">
        <v>1.5</v>
      </c>
      <c r="O72" s="106">
        <v>1</v>
      </c>
      <c r="P72" s="106">
        <f t="shared" si="3"/>
        <v>180.46187863401855</v>
      </c>
      <c r="Q72" s="106">
        <v>0</v>
      </c>
      <c r="R72" s="106">
        <v>15.259392744208901</v>
      </c>
      <c r="S72" s="107">
        <f t="shared" si="8"/>
        <v>182.38705228410618</v>
      </c>
      <c r="T72" s="104">
        <f t="shared" si="11"/>
        <v>182.44228657611649</v>
      </c>
      <c r="U72" s="107">
        <f t="shared" si="4"/>
        <v>3.98004706603921</v>
      </c>
      <c r="V72" s="107">
        <f t="shared" si="12"/>
        <v>6.300782072475303</v>
      </c>
      <c r="W72" s="107">
        <f t="shared" si="1"/>
        <v>7.800782072475303</v>
      </c>
      <c r="X72" s="161">
        <v>20</v>
      </c>
      <c r="Y72" s="107" t="str">
        <f t="shared" si="6"/>
        <v>OK</v>
      </c>
    </row>
    <row r="73" spans="1:25" ht="12" customHeight="1" x14ac:dyDescent="0.45">
      <c r="A73" s="103">
        <v>51</v>
      </c>
      <c r="B73" s="103" t="s">
        <v>140</v>
      </c>
      <c r="C73" s="103">
        <v>8.3930000000000007</v>
      </c>
      <c r="D73" s="104">
        <v>0</v>
      </c>
      <c r="E73" s="104">
        <v>0</v>
      </c>
      <c r="F73" s="104">
        <f t="shared" si="2"/>
        <v>0</v>
      </c>
      <c r="G73" s="104">
        <f t="shared" si="9"/>
        <v>53.828401749999983</v>
      </c>
      <c r="H73" s="104">
        <v>0</v>
      </c>
      <c r="I73" s="104">
        <f t="shared" si="7"/>
        <v>59.211241924999989</v>
      </c>
      <c r="J73" s="104">
        <v>355</v>
      </c>
      <c r="K73" s="105">
        <v>0.7</v>
      </c>
      <c r="L73" s="105">
        <v>4</v>
      </c>
      <c r="M73" s="106">
        <v>1</v>
      </c>
      <c r="N73" s="106">
        <v>1.5</v>
      </c>
      <c r="O73" s="106">
        <v>1</v>
      </c>
      <c r="P73" s="106">
        <f t="shared" si="3"/>
        <v>180.46187863401855</v>
      </c>
      <c r="Q73" s="106">
        <v>0</v>
      </c>
      <c r="R73" s="106">
        <v>8.7349741143984101</v>
      </c>
      <c r="S73" s="107">
        <f t="shared" si="8"/>
        <v>181.09497220645545</v>
      </c>
      <c r="T73" s="104">
        <f t="shared" si="11"/>
        <v>184.12199067706243</v>
      </c>
      <c r="U73" s="107">
        <f t="shared" si="4"/>
        <v>3.98004706603921</v>
      </c>
      <c r="V73" s="107">
        <f t="shared" si="12"/>
        <v>6.2719759049013346</v>
      </c>
      <c r="W73" s="107">
        <f t="shared" si="1"/>
        <v>7.7719759049013346</v>
      </c>
      <c r="X73" s="161">
        <v>20</v>
      </c>
      <c r="Y73" s="107" t="str">
        <f t="shared" si="6"/>
        <v>OK</v>
      </c>
    </row>
    <row r="74" spans="1:25" ht="12" customHeight="1" x14ac:dyDescent="0.45">
      <c r="A74" s="103">
        <v>52</v>
      </c>
      <c r="B74" s="103" t="s">
        <v>140</v>
      </c>
      <c r="C74" s="103">
        <v>8.3930000000000007</v>
      </c>
      <c r="D74" s="104">
        <v>0</v>
      </c>
      <c r="E74" s="104">
        <v>0</v>
      </c>
      <c r="F74" s="104">
        <f t="shared" si="2"/>
        <v>0</v>
      </c>
      <c r="G74" s="104">
        <f t="shared" si="9"/>
        <v>53.828401749999983</v>
      </c>
      <c r="H74" s="104">
        <v>0</v>
      </c>
      <c r="I74" s="104">
        <f t="shared" si="7"/>
        <v>59.211241924999989</v>
      </c>
      <c r="J74" s="104">
        <v>355</v>
      </c>
      <c r="K74" s="105">
        <v>0.7</v>
      </c>
      <c r="L74" s="105">
        <v>4</v>
      </c>
      <c r="M74" s="106">
        <v>1</v>
      </c>
      <c r="N74" s="106">
        <v>1.5</v>
      </c>
      <c r="O74" s="106">
        <v>1</v>
      </c>
      <c r="P74" s="106">
        <f t="shared" si="3"/>
        <v>180.46187863401855</v>
      </c>
      <c r="Q74" s="106">
        <v>0</v>
      </c>
      <c r="R74" s="106">
        <v>4.9704230383645402</v>
      </c>
      <c r="S74" s="107">
        <f t="shared" si="8"/>
        <v>180.66711088535223</v>
      </c>
      <c r="T74" s="104">
        <f t="shared" si="11"/>
        <v>184.6782103944966</v>
      </c>
      <c r="U74" s="107">
        <f t="shared" si="4"/>
        <v>3.98004706603921</v>
      </c>
      <c r="V74" s="107">
        <f t="shared" si="12"/>
        <v>6.2625237140123398</v>
      </c>
      <c r="W74" s="107">
        <f t="shared" si="1"/>
        <v>7.7625237140123398</v>
      </c>
      <c r="X74" s="161">
        <v>20</v>
      </c>
      <c r="Y74" s="107" t="str">
        <f t="shared" si="6"/>
        <v>OK</v>
      </c>
    </row>
    <row r="75" spans="1:25" ht="12" customHeight="1" x14ac:dyDescent="0.45">
      <c r="A75" s="103">
        <v>53</v>
      </c>
      <c r="B75" s="103" t="s">
        <v>140</v>
      </c>
      <c r="C75" s="103">
        <v>8.3930000000000007</v>
      </c>
      <c r="D75" s="104">
        <v>0</v>
      </c>
      <c r="E75" s="104">
        <v>0</v>
      </c>
      <c r="F75" s="104">
        <f t="shared" si="2"/>
        <v>0</v>
      </c>
      <c r="G75" s="104">
        <f t="shared" si="9"/>
        <v>53.828401749999983</v>
      </c>
      <c r="H75" s="104">
        <v>0</v>
      </c>
      <c r="I75" s="104">
        <f t="shared" si="7"/>
        <v>59.211241924999989</v>
      </c>
      <c r="J75" s="104">
        <v>355</v>
      </c>
      <c r="K75" s="105">
        <v>0.7</v>
      </c>
      <c r="L75" s="105">
        <v>4</v>
      </c>
      <c r="M75" s="106">
        <v>1</v>
      </c>
      <c r="N75" s="106">
        <v>1.5</v>
      </c>
      <c r="O75" s="106">
        <v>1</v>
      </c>
      <c r="P75" s="106">
        <f t="shared" si="3"/>
        <v>180.46187863401855</v>
      </c>
      <c r="Q75" s="106">
        <v>0</v>
      </c>
      <c r="R75" s="106">
        <v>5.3185466674796604</v>
      </c>
      <c r="S75" s="107">
        <f t="shared" si="8"/>
        <v>180.69684683491772</v>
      </c>
      <c r="T75" s="104">
        <f t="shared" si="11"/>
        <v>184.63955366006147</v>
      </c>
      <c r="U75" s="107">
        <f t="shared" si="4"/>
        <v>3.98004706603921</v>
      </c>
      <c r="V75" s="107">
        <f t="shared" si="12"/>
        <v>6.2631792508177391</v>
      </c>
      <c r="W75" s="107">
        <f t="shared" si="1"/>
        <v>7.7631792508177391</v>
      </c>
      <c r="X75" s="161">
        <v>20</v>
      </c>
      <c r="Y75" s="107" t="str">
        <f t="shared" si="6"/>
        <v>OK</v>
      </c>
    </row>
    <row r="76" spans="1:25" ht="12" customHeight="1" x14ac:dyDescent="0.45">
      <c r="A76" s="103">
        <v>54</v>
      </c>
      <c r="B76" s="103" t="s">
        <v>140</v>
      </c>
      <c r="C76" s="103">
        <v>8.3930000000000007</v>
      </c>
      <c r="D76" s="104">
        <v>0</v>
      </c>
      <c r="E76" s="104">
        <v>0</v>
      </c>
      <c r="F76" s="104">
        <f t="shared" si="2"/>
        <v>0</v>
      </c>
      <c r="G76" s="104">
        <f t="shared" si="9"/>
        <v>53.828401749999983</v>
      </c>
      <c r="H76" s="104">
        <v>0</v>
      </c>
      <c r="I76" s="104">
        <f t="shared" si="7"/>
        <v>59.211241924999989</v>
      </c>
      <c r="J76" s="104">
        <v>355</v>
      </c>
      <c r="K76" s="105">
        <v>0.7</v>
      </c>
      <c r="L76" s="105">
        <v>4</v>
      </c>
      <c r="M76" s="106">
        <v>1</v>
      </c>
      <c r="N76" s="106">
        <v>1.5</v>
      </c>
      <c r="O76" s="106">
        <v>1</v>
      </c>
      <c r="P76" s="106">
        <f t="shared" si="3"/>
        <v>180.46187863401855</v>
      </c>
      <c r="Q76" s="106">
        <v>0</v>
      </c>
      <c r="R76" s="106">
        <v>9.0830977435139602</v>
      </c>
      <c r="S76" s="107">
        <f t="shared" si="8"/>
        <v>181.14634314270305</v>
      </c>
      <c r="T76" s="104">
        <f t="shared" si="11"/>
        <v>184.05520845994056</v>
      </c>
      <c r="U76" s="107">
        <f t="shared" si="4"/>
        <v>3.98004706603921</v>
      </c>
      <c r="V76" s="107">
        <f t="shared" si="12"/>
        <v>6.2731136571899118</v>
      </c>
      <c r="W76" s="107">
        <f t="shared" si="1"/>
        <v>7.7731136571899118</v>
      </c>
      <c r="X76" s="161">
        <v>20</v>
      </c>
      <c r="Y76" s="107" t="str">
        <f t="shared" si="6"/>
        <v>OK</v>
      </c>
    </row>
    <row r="77" spans="1:25" ht="12" customHeight="1" x14ac:dyDescent="0.45">
      <c r="A77" s="103">
        <v>55</v>
      </c>
      <c r="B77" s="103" t="s">
        <v>140</v>
      </c>
      <c r="C77" s="103">
        <v>8.3930000000000007</v>
      </c>
      <c r="D77" s="104">
        <v>0</v>
      </c>
      <c r="E77" s="104">
        <v>0</v>
      </c>
      <c r="F77" s="104">
        <f t="shared" si="2"/>
        <v>0</v>
      </c>
      <c r="G77" s="104">
        <f t="shared" si="9"/>
        <v>53.828401749999983</v>
      </c>
      <c r="H77" s="104">
        <v>0</v>
      </c>
      <c r="I77" s="104">
        <f t="shared" si="7"/>
        <v>59.211241924999989</v>
      </c>
      <c r="J77" s="104">
        <v>355</v>
      </c>
      <c r="K77" s="105">
        <v>0.7</v>
      </c>
      <c r="L77" s="105">
        <v>4</v>
      </c>
      <c r="M77" s="106">
        <v>1</v>
      </c>
      <c r="N77" s="106">
        <v>1.5</v>
      </c>
      <c r="O77" s="106">
        <v>1</v>
      </c>
      <c r="P77" s="106">
        <f t="shared" si="3"/>
        <v>180.46187863401855</v>
      </c>
      <c r="Q77" s="106">
        <v>0</v>
      </c>
      <c r="R77" s="106">
        <v>15.6075163733247</v>
      </c>
      <c r="S77" s="107">
        <f t="shared" si="8"/>
        <v>182.47540475951828</v>
      </c>
      <c r="T77" s="104">
        <f t="shared" si="11"/>
        <v>182.32742835808074</v>
      </c>
      <c r="U77" s="107">
        <f t="shared" si="4"/>
        <v>3.98004706603921</v>
      </c>
      <c r="V77" s="107">
        <f t="shared" si="12"/>
        <v>6.3027663670744829</v>
      </c>
      <c r="W77" s="107">
        <f t="shared" si="1"/>
        <v>7.8027663670744829</v>
      </c>
      <c r="X77" s="161">
        <v>20</v>
      </c>
      <c r="Y77" s="107" t="str">
        <f t="shared" si="6"/>
        <v>OK</v>
      </c>
    </row>
    <row r="78" spans="1:25" ht="12" customHeight="1" x14ac:dyDescent="0.45">
      <c r="A78" s="103">
        <v>56</v>
      </c>
      <c r="B78" s="103" t="s">
        <v>140</v>
      </c>
      <c r="C78" s="103">
        <v>8.3930000000000007</v>
      </c>
      <c r="D78" s="104">
        <v>0</v>
      </c>
      <c r="E78" s="104">
        <v>0</v>
      </c>
      <c r="F78" s="104">
        <f t="shared" si="2"/>
        <v>0</v>
      </c>
      <c r="G78" s="104">
        <f t="shared" si="9"/>
        <v>53.828401749999983</v>
      </c>
      <c r="H78" s="104">
        <v>0</v>
      </c>
      <c r="I78" s="104">
        <f t="shared" si="7"/>
        <v>59.211241924999989</v>
      </c>
      <c r="J78" s="104">
        <v>355</v>
      </c>
      <c r="K78" s="105">
        <v>0.7</v>
      </c>
      <c r="L78" s="105">
        <v>4</v>
      </c>
      <c r="M78" s="106">
        <v>1</v>
      </c>
      <c r="N78" s="106">
        <v>1.5</v>
      </c>
      <c r="O78" s="106">
        <v>1</v>
      </c>
      <c r="P78" s="106">
        <f t="shared" si="3"/>
        <v>180.46187863401855</v>
      </c>
      <c r="Q78" s="106">
        <v>0</v>
      </c>
      <c r="R78" s="106">
        <v>19.372067449358301</v>
      </c>
      <c r="S78" s="107">
        <f t="shared" si="8"/>
        <v>183.5546802233784</v>
      </c>
      <c r="T78" s="104">
        <f t="shared" si="11"/>
        <v>180.9243702550626</v>
      </c>
      <c r="U78" s="107">
        <f t="shared" si="4"/>
        <v>3.98004706603921</v>
      </c>
      <c r="V78" s="107">
        <f t="shared" si="12"/>
        <v>6.3271579651829128</v>
      </c>
      <c r="W78" s="107">
        <f t="shared" si="1"/>
        <v>7.8271579651829128</v>
      </c>
      <c r="X78" s="161">
        <v>20</v>
      </c>
      <c r="Y78" s="107" t="str">
        <f t="shared" si="6"/>
        <v>OK</v>
      </c>
    </row>
    <row r="79" spans="1:25" ht="12" customHeight="1" x14ac:dyDescent="0.45">
      <c r="A79" s="103">
        <v>57</v>
      </c>
      <c r="B79" s="103" t="s">
        <v>140</v>
      </c>
      <c r="C79" s="103">
        <v>8.3930000000000007</v>
      </c>
      <c r="D79" s="104">
        <v>0</v>
      </c>
      <c r="E79" s="104">
        <v>0</v>
      </c>
      <c r="F79" s="104">
        <f t="shared" si="2"/>
        <v>0</v>
      </c>
      <c r="G79" s="104">
        <f t="shared" si="9"/>
        <v>53.828401749999983</v>
      </c>
      <c r="H79" s="104">
        <v>0</v>
      </c>
      <c r="I79" s="104">
        <f t="shared" si="7"/>
        <v>59.211241924999989</v>
      </c>
      <c r="J79" s="104">
        <v>355</v>
      </c>
      <c r="K79" s="105">
        <v>0.7</v>
      </c>
      <c r="L79" s="105">
        <v>4</v>
      </c>
      <c r="M79" s="106">
        <v>1</v>
      </c>
      <c r="N79" s="106">
        <v>1.5</v>
      </c>
      <c r="O79" s="106">
        <v>1</v>
      </c>
      <c r="P79" s="106">
        <f t="shared" si="3"/>
        <v>180.46187863401855</v>
      </c>
      <c r="Q79" s="106">
        <v>0</v>
      </c>
      <c r="R79" s="106">
        <v>25.896484648715798</v>
      </c>
      <c r="S79" s="107">
        <f t="shared" si="8"/>
        <v>185.9526106071188</v>
      </c>
      <c r="T79" s="104">
        <f t="shared" si="11"/>
        <v>177.80706075620006</v>
      </c>
      <c r="U79" s="107">
        <f t="shared" si="4"/>
        <v>3.98004706603921</v>
      </c>
      <c r="V79" s="107">
        <f t="shared" si="12"/>
        <v>6.3823807730901105</v>
      </c>
      <c r="W79" s="107">
        <f t="shared" si="1"/>
        <v>7.8823807730901105</v>
      </c>
      <c r="X79" s="161">
        <v>20</v>
      </c>
      <c r="Y79" s="107" t="str">
        <f t="shared" si="6"/>
        <v>OK</v>
      </c>
    </row>
    <row r="80" spans="1:25" ht="12" customHeight="1" x14ac:dyDescent="0.45">
      <c r="A80" s="103">
        <v>58</v>
      </c>
      <c r="B80" s="103" t="s">
        <v>140</v>
      </c>
      <c r="C80" s="103">
        <v>8.3930000000000007</v>
      </c>
      <c r="D80" s="104">
        <v>0</v>
      </c>
      <c r="E80" s="104">
        <v>0</v>
      </c>
      <c r="F80" s="104">
        <f t="shared" si="2"/>
        <v>0</v>
      </c>
      <c r="G80" s="104">
        <f t="shared" si="9"/>
        <v>53.828401749999983</v>
      </c>
      <c r="H80" s="104">
        <v>0</v>
      </c>
      <c r="I80" s="104">
        <f t="shared" si="7"/>
        <v>59.211241924999989</v>
      </c>
      <c r="J80" s="104">
        <v>355</v>
      </c>
      <c r="K80" s="105">
        <v>0.7</v>
      </c>
      <c r="L80" s="105">
        <v>4</v>
      </c>
      <c r="M80" s="106">
        <v>1</v>
      </c>
      <c r="N80" s="106">
        <v>1.5</v>
      </c>
      <c r="O80" s="106">
        <v>1</v>
      </c>
      <c r="P80" s="106">
        <f t="shared" si="3"/>
        <v>180.46187863401855</v>
      </c>
      <c r="Q80" s="106">
        <v>0</v>
      </c>
      <c r="R80" s="106">
        <v>29.661034294297298</v>
      </c>
      <c r="S80" s="107">
        <f t="shared" si="8"/>
        <v>187.6321414532747</v>
      </c>
      <c r="T80" s="104">
        <f t="shared" si="11"/>
        <v>175.62367065619739</v>
      </c>
      <c r="U80" s="107">
        <f t="shared" si="4"/>
        <v>3.98004706603921</v>
      </c>
      <c r="V80" s="107">
        <f t="shared" si="12"/>
        <v>6.4219317706430301</v>
      </c>
      <c r="W80" s="107">
        <f t="shared" si="1"/>
        <v>7.9219317706430301</v>
      </c>
      <c r="X80" s="161">
        <v>20</v>
      </c>
      <c r="Y80" s="107" t="str">
        <f t="shared" si="6"/>
        <v>OK</v>
      </c>
    </row>
    <row r="81" spans="1:28" ht="12" customHeight="1" x14ac:dyDescent="0.45">
      <c r="A81" s="82">
        <v>59</v>
      </c>
      <c r="B81" s="82" t="s">
        <v>141</v>
      </c>
      <c r="C81" s="82">
        <v>0</v>
      </c>
      <c r="D81" s="83">
        <v>0</v>
      </c>
      <c r="E81" s="83">
        <v>0</v>
      </c>
      <c r="F81" s="83">
        <f t="shared" si="2"/>
        <v>0</v>
      </c>
      <c r="G81" s="83">
        <f t="shared" si="9"/>
        <v>138.22211499999997</v>
      </c>
      <c r="H81" s="83">
        <v>0</v>
      </c>
      <c r="I81" s="83">
        <f t="shared" si="7"/>
        <v>152.04432649999998</v>
      </c>
      <c r="J81" s="83">
        <v>355</v>
      </c>
      <c r="K81" s="84">
        <v>0.75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3"/>
        <v>211.31684546720169</v>
      </c>
      <c r="Q81" s="85">
        <v>0</v>
      </c>
      <c r="R81" s="85">
        <v>94.531833774582793</v>
      </c>
      <c r="S81" s="86">
        <f t="shared" si="8"/>
        <v>267.32678872227763</v>
      </c>
      <c r="T81" s="83">
        <f t="shared" si="11"/>
        <v>72.020629206493581</v>
      </c>
      <c r="U81" s="86">
        <f t="shared" si="4"/>
        <v>3.98004706603921</v>
      </c>
      <c r="V81" s="86">
        <f t="shared" si="12"/>
        <v>17.21769476199637</v>
      </c>
      <c r="W81" s="86">
        <f t="shared" si="1"/>
        <v>18.71769476199637</v>
      </c>
      <c r="X81" s="164">
        <v>16.5</v>
      </c>
      <c r="Y81" s="86" t="str">
        <f t="shared" si="6"/>
        <v>N.G</v>
      </c>
    </row>
    <row r="82" spans="1:28" ht="12" customHeight="1" x14ac:dyDescent="0.45">
      <c r="A82" s="82">
        <v>60</v>
      </c>
      <c r="B82" s="82" t="s">
        <v>183</v>
      </c>
      <c r="C82" s="82">
        <v>0.35000001662410801</v>
      </c>
      <c r="D82" s="83">
        <v>0</v>
      </c>
      <c r="E82" s="83">
        <v>0</v>
      </c>
      <c r="F82" s="83">
        <f t="shared" si="2"/>
        <v>0</v>
      </c>
      <c r="G82" s="83">
        <f t="shared" si="9"/>
        <v>134.70277733284041</v>
      </c>
      <c r="H82" s="83">
        <v>0</v>
      </c>
      <c r="I82" s="83">
        <f t="shared" si="7"/>
        <v>148.17305506612448</v>
      </c>
      <c r="J82" s="83">
        <v>355</v>
      </c>
      <c r="K82" s="84">
        <v>0.75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3"/>
        <v>194.97911641341889</v>
      </c>
      <c r="Q82" s="85">
        <v>0</v>
      </c>
      <c r="R82" s="85">
        <v>98.142097136354096</v>
      </c>
      <c r="S82" s="86">
        <f t="shared" si="8"/>
        <v>258.67444699529608</v>
      </c>
      <c r="T82" s="83">
        <f t="shared" si="11"/>
        <v>83.268673451569597</v>
      </c>
      <c r="U82" s="86">
        <f t="shared" si="4"/>
        <v>3.98004706603921</v>
      </c>
      <c r="V82" s="86">
        <f t="shared" si="12"/>
        <v>15.807461947376957</v>
      </c>
      <c r="W82" s="86">
        <f t="shared" si="1"/>
        <v>17.307461947376957</v>
      </c>
      <c r="X82" s="164">
        <v>16.5</v>
      </c>
      <c r="Y82" s="86" t="str">
        <f t="shared" si="6"/>
        <v>N.G</v>
      </c>
    </row>
    <row r="83" spans="1:28" ht="12" customHeight="1" x14ac:dyDescent="0.45">
      <c r="A83" s="82">
        <v>61</v>
      </c>
      <c r="B83" s="82" t="s">
        <v>183</v>
      </c>
      <c r="C83" s="82">
        <v>0.70000003324821602</v>
      </c>
      <c r="D83" s="83">
        <v>0</v>
      </c>
      <c r="E83" s="83">
        <v>0</v>
      </c>
      <c r="F83" s="83">
        <f t="shared" si="2"/>
        <v>0</v>
      </c>
      <c r="G83" s="83">
        <f t="shared" si="9"/>
        <v>131.18343966568085</v>
      </c>
      <c r="H83" s="83">
        <v>0</v>
      </c>
      <c r="I83" s="83">
        <f t="shared" si="7"/>
        <v>144.30178363224894</v>
      </c>
      <c r="J83" s="83">
        <v>355</v>
      </c>
      <c r="K83" s="84">
        <v>0.75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3"/>
        <v>178.64138735963613</v>
      </c>
      <c r="Q83" s="85">
        <v>0</v>
      </c>
      <c r="R83" s="85">
        <v>106.18774116142799</v>
      </c>
      <c r="S83" s="86">
        <f t="shared" si="8"/>
        <v>256.39862401478456</v>
      </c>
      <c r="T83" s="83">
        <f t="shared" si="11"/>
        <v>86.227243326234571</v>
      </c>
      <c r="U83" s="86">
        <f t="shared" si="4"/>
        <v>3.98004706603921</v>
      </c>
      <c r="V83" s="86">
        <f t="shared" si="12"/>
        <v>15.329639749822572</v>
      </c>
      <c r="W83" s="86">
        <f t="shared" si="1"/>
        <v>16.829639749822572</v>
      </c>
      <c r="X83" s="164">
        <v>16.5</v>
      </c>
      <c r="Y83" s="86" t="str">
        <f t="shared" si="6"/>
        <v>N.G</v>
      </c>
    </row>
    <row r="84" spans="1:28" ht="12" customHeight="1" x14ac:dyDescent="0.45">
      <c r="A84" s="82">
        <v>62</v>
      </c>
      <c r="B84" s="82" t="s">
        <v>183</v>
      </c>
      <c r="C84" s="82">
        <v>1.0500000498723201</v>
      </c>
      <c r="D84" s="83">
        <v>0</v>
      </c>
      <c r="E84" s="83">
        <v>0</v>
      </c>
      <c r="F84" s="83">
        <f t="shared" si="2"/>
        <v>0</v>
      </c>
      <c r="G84" s="83">
        <f t="shared" si="9"/>
        <v>127.66410199852135</v>
      </c>
      <c r="H84" s="83">
        <v>0</v>
      </c>
      <c r="I84" s="83">
        <f t="shared" si="7"/>
        <v>140.43051219837349</v>
      </c>
      <c r="J84" s="83">
        <v>355</v>
      </c>
      <c r="K84" s="84">
        <v>0.75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3"/>
        <v>162.30365830585356</v>
      </c>
      <c r="Q84" s="85">
        <v>0</v>
      </c>
      <c r="R84" s="85">
        <v>109.19171986566499</v>
      </c>
      <c r="S84" s="86">
        <f t="shared" si="8"/>
        <v>249.22073060066421</v>
      </c>
      <c r="T84" s="83">
        <f t="shared" si="11"/>
        <v>95.558504764591021</v>
      </c>
      <c r="U84" s="86">
        <f t="shared" si="4"/>
        <v>3.98004706603921</v>
      </c>
      <c r="V84" s="86">
        <f t="shared" si="12"/>
        <v>14.365290652713908</v>
      </c>
      <c r="W84" s="86">
        <f t="shared" si="1"/>
        <v>15.865290652713908</v>
      </c>
      <c r="X84" s="164">
        <v>16.5</v>
      </c>
      <c r="Y84" s="86" t="str">
        <f t="shared" si="6"/>
        <v>OK</v>
      </c>
    </row>
    <row r="85" spans="1:28" ht="12" customHeight="1" x14ac:dyDescent="0.45">
      <c r="A85" s="82">
        <v>63</v>
      </c>
      <c r="B85" s="82" t="s">
        <v>183</v>
      </c>
      <c r="C85" s="82">
        <v>1.4000000664964301</v>
      </c>
      <c r="D85" s="83">
        <v>0</v>
      </c>
      <c r="E85" s="83">
        <v>0</v>
      </c>
      <c r="F85" s="83">
        <f t="shared" si="2"/>
        <v>0</v>
      </c>
      <c r="G85" s="83">
        <f t="shared" si="9"/>
        <v>124.14476433136176</v>
      </c>
      <c r="H85" s="83">
        <v>0</v>
      </c>
      <c r="I85" s="83">
        <f t="shared" si="7"/>
        <v>136.55924076449793</v>
      </c>
      <c r="J85" s="83">
        <v>355</v>
      </c>
      <c r="K85" s="84">
        <v>0.75</v>
      </c>
      <c r="L85" s="84">
        <v>4</v>
      </c>
      <c r="M85" s="85">
        <v>1</v>
      </c>
      <c r="N85" s="85">
        <v>1.5</v>
      </c>
      <c r="O85" s="85">
        <v>1</v>
      </c>
      <c r="P85" s="85">
        <f t="shared" si="3"/>
        <v>145.96592925207068</v>
      </c>
      <c r="Q85" s="85">
        <v>0</v>
      </c>
      <c r="R85" s="85">
        <v>115.488105800491</v>
      </c>
      <c r="S85" s="86">
        <f t="shared" si="8"/>
        <v>247.62584729098197</v>
      </c>
      <c r="T85" s="83">
        <f t="shared" si="11"/>
        <v>97.631853067177943</v>
      </c>
      <c r="U85" s="86">
        <f t="shared" si="4"/>
        <v>3.98004706603921</v>
      </c>
      <c r="V85" s="86">
        <f t="shared" si="12"/>
        <v>14.014678227080436</v>
      </c>
      <c r="W85" s="86">
        <f t="shared" si="1"/>
        <v>15.514678227080436</v>
      </c>
      <c r="X85" s="164">
        <v>16.5</v>
      </c>
      <c r="Y85" s="86" t="str">
        <f t="shared" si="6"/>
        <v>OK</v>
      </c>
    </row>
    <row r="86" spans="1:28" ht="12" customHeight="1" x14ac:dyDescent="0.45">
      <c r="A86" s="82">
        <v>64</v>
      </c>
      <c r="B86" s="82" t="s">
        <v>183</v>
      </c>
      <c r="C86" s="82">
        <v>1.75000008312054</v>
      </c>
      <c r="D86" s="83">
        <v>0</v>
      </c>
      <c r="E86" s="83">
        <v>0</v>
      </c>
      <c r="F86" s="83">
        <f t="shared" si="2"/>
        <v>0</v>
      </c>
      <c r="G86" s="83">
        <f t="shared" si="9"/>
        <v>120.62542666420218</v>
      </c>
      <c r="H86" s="83">
        <v>0</v>
      </c>
      <c r="I86" s="83">
        <f t="shared" si="7"/>
        <v>132.68796933062242</v>
      </c>
      <c r="J86" s="83">
        <v>355</v>
      </c>
      <c r="K86" s="84">
        <v>0.75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3"/>
        <v>129.6282001982878</v>
      </c>
      <c r="Q86" s="85">
        <v>0</v>
      </c>
      <c r="R86" s="85">
        <v>117.885799847193</v>
      </c>
      <c r="S86" s="86">
        <f t="shared" si="8"/>
        <v>241.85668422329107</v>
      </c>
      <c r="T86" s="83">
        <f t="shared" si="11"/>
        <v>105.13176505517612</v>
      </c>
      <c r="U86" s="86">
        <f t="shared" si="4"/>
        <v>3.98004706603921</v>
      </c>
      <c r="V86" s="86">
        <f t="shared" si="12"/>
        <v>13.312730681553607</v>
      </c>
      <c r="W86" s="86">
        <f t="shared" si="1"/>
        <v>14.812730681553607</v>
      </c>
      <c r="X86" s="164">
        <v>16.5</v>
      </c>
      <c r="Y86" s="86" t="str">
        <f t="shared" si="6"/>
        <v>OK</v>
      </c>
    </row>
    <row r="87" spans="1:28" ht="12" customHeight="1" x14ac:dyDescent="0.45">
      <c r="A87" s="82">
        <v>65</v>
      </c>
      <c r="B87" s="82" t="s">
        <v>183</v>
      </c>
      <c r="C87" s="82">
        <v>2.10000009974465</v>
      </c>
      <c r="D87" s="83">
        <v>0</v>
      </c>
      <c r="E87" s="83">
        <v>0</v>
      </c>
      <c r="F87" s="83">
        <f t="shared" si="2"/>
        <v>0</v>
      </c>
      <c r="G87" s="83">
        <f t="shared" si="9"/>
        <v>117.1060889970426</v>
      </c>
      <c r="H87" s="83">
        <v>0</v>
      </c>
      <c r="I87" s="83">
        <f t="shared" si="7"/>
        <v>128.81669789674689</v>
      </c>
      <c r="J87" s="83">
        <v>355</v>
      </c>
      <c r="K87" s="84">
        <v>0.75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3"/>
        <v>113.29047114450492</v>
      </c>
      <c r="Q87" s="85">
        <v>0</v>
      </c>
      <c r="R87" s="85">
        <v>122.42586437585901</v>
      </c>
      <c r="S87" s="86">
        <f t="shared" si="8"/>
        <v>240.41424179252064</v>
      </c>
      <c r="T87" s="83">
        <f t="shared" si="11"/>
        <v>107.00694021517766</v>
      </c>
      <c r="U87" s="86">
        <f t="shared" si="4"/>
        <v>3.98004706603921</v>
      </c>
      <c r="V87" s="86">
        <f t="shared" si="12"/>
        <v>13.001649631623232</v>
      </c>
      <c r="W87" s="86">
        <f t="shared" ref="W87:W102" si="13">MAX(U87,V87)+N87</f>
        <v>14.501649631623232</v>
      </c>
      <c r="X87" s="164">
        <v>16.5</v>
      </c>
      <c r="Y87" s="86" t="str">
        <f t="shared" si="6"/>
        <v>OK</v>
      </c>
    </row>
    <row r="88" spans="1:28" ht="12" customHeight="1" x14ac:dyDescent="0.45">
      <c r="A88" s="82">
        <v>66</v>
      </c>
      <c r="B88" s="82" t="s">
        <v>183</v>
      </c>
      <c r="C88" s="82">
        <v>2.4500001163687601</v>
      </c>
      <c r="D88" s="83">
        <v>0</v>
      </c>
      <c r="E88" s="83">
        <v>0</v>
      </c>
      <c r="F88" s="83">
        <f t="shared" ref="F88:F102" si="14">D88*$F$18+E88*$F$17</f>
        <v>0</v>
      </c>
      <c r="G88" s="83">
        <f t="shared" si="9"/>
        <v>113.586751329883</v>
      </c>
      <c r="H88" s="83">
        <v>0</v>
      </c>
      <c r="I88" s="83">
        <f t="shared" si="7"/>
        <v>124.94542646287131</v>
      </c>
      <c r="J88" s="83">
        <v>355</v>
      </c>
      <c r="K88" s="84">
        <v>0.75</v>
      </c>
      <c r="L88" s="84">
        <v>4</v>
      </c>
      <c r="M88" s="85">
        <v>1</v>
      </c>
      <c r="N88" s="85">
        <v>1.5</v>
      </c>
      <c r="O88" s="85">
        <v>1</v>
      </c>
      <c r="P88" s="85">
        <f t="shared" ref="P88:P102" si="15">$M$11/ABS(($M$12/(C88-$M$13)))/1000</f>
        <v>96.95274209072204</v>
      </c>
      <c r="Q88" s="85">
        <v>0</v>
      </c>
      <c r="R88" s="85">
        <v>124.217273765027</v>
      </c>
      <c r="S88" s="86">
        <f t="shared" si="8"/>
        <v>235.98649856243273</v>
      </c>
      <c r="T88" s="83">
        <f t="shared" si="11"/>
        <v>112.76300641429195</v>
      </c>
      <c r="U88" s="86">
        <f t="shared" ref="U88:U102" si="16">14.3*$F$8/SQRT(J88/$F$7)</f>
        <v>3.98004706603921</v>
      </c>
      <c r="V88" s="86">
        <f t="shared" si="12"/>
        <v>12.473697538313649</v>
      </c>
      <c r="W88" s="86">
        <f t="shared" si="13"/>
        <v>13.973697538313649</v>
      </c>
      <c r="X88" s="164">
        <v>14</v>
      </c>
      <c r="Y88" s="86" t="str">
        <f t="shared" ref="Y88:Y102" si="17">IF(MROUND(W88,0.5)&lt;=X88,"OK","N.G")</f>
        <v>OK</v>
      </c>
    </row>
    <row r="89" spans="1:28" ht="12" customHeight="1" x14ac:dyDescent="0.45">
      <c r="A89" s="82">
        <v>67</v>
      </c>
      <c r="B89" s="82" t="s">
        <v>183</v>
      </c>
      <c r="C89" s="82">
        <v>2.8000001329928601</v>
      </c>
      <c r="D89" s="83">
        <v>0</v>
      </c>
      <c r="E89" s="83">
        <v>0</v>
      </c>
      <c r="F89" s="83">
        <f t="shared" si="14"/>
        <v>0</v>
      </c>
      <c r="G89" s="83">
        <f t="shared" si="9"/>
        <v>110.06741366272354</v>
      </c>
      <c r="H89" s="83">
        <v>0</v>
      </c>
      <c r="I89" s="83">
        <f t="shared" ref="I89:I102" si="18">G89*$F$18+H89*$F$17</f>
        <v>121.0741550289959</v>
      </c>
      <c r="J89" s="83">
        <v>355</v>
      </c>
      <c r="K89" s="84">
        <v>0.75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5"/>
        <v>80.615013036939615</v>
      </c>
      <c r="Q89" s="85">
        <v>0</v>
      </c>
      <c r="R89" s="85">
        <v>127.176491987094</v>
      </c>
      <c r="S89" s="86">
        <f t="shared" si="8"/>
        <v>234.56419306743325</v>
      </c>
      <c r="T89" s="83">
        <f t="shared" si="11"/>
        <v>114.61200355779127</v>
      </c>
      <c r="U89" s="86">
        <f t="shared" si="16"/>
        <v>3.98004706603921</v>
      </c>
      <c r="V89" s="86">
        <f t="shared" si="12"/>
        <v>12.179487708252998</v>
      </c>
      <c r="W89" s="86">
        <f t="shared" si="13"/>
        <v>13.679487708252998</v>
      </c>
      <c r="X89" s="164">
        <v>14</v>
      </c>
      <c r="Y89" s="86" t="str">
        <f t="shared" si="17"/>
        <v>OK</v>
      </c>
      <c r="AB89" s="4">
        <f>8.393-2.63*3</f>
        <v>0.503000000000001</v>
      </c>
    </row>
    <row r="90" spans="1:28" ht="12" customHeight="1" x14ac:dyDescent="0.45">
      <c r="A90" s="82">
        <v>68</v>
      </c>
      <c r="B90" s="82" t="s">
        <v>183</v>
      </c>
      <c r="C90" s="82">
        <v>3.1500001496169698</v>
      </c>
      <c r="D90" s="83">
        <v>0</v>
      </c>
      <c r="E90" s="83">
        <v>0</v>
      </c>
      <c r="F90" s="83">
        <f t="shared" si="14"/>
        <v>0</v>
      </c>
      <c r="G90" s="83">
        <f t="shared" si="9"/>
        <v>106.54807599556395</v>
      </c>
      <c r="H90" s="83">
        <v>0</v>
      </c>
      <c r="I90" s="83">
        <f t="shared" si="18"/>
        <v>117.20288359512035</v>
      </c>
      <c r="J90" s="83">
        <v>355</v>
      </c>
      <c r="K90" s="84">
        <v>0.75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5"/>
        <v>64.277283983156764</v>
      </c>
      <c r="Q90" s="85">
        <v>0</v>
      </c>
      <c r="R90" s="85">
        <v>128.361616718726</v>
      </c>
      <c r="S90" s="86">
        <f t="shared" ref="S90:S102" si="19">SQRT(P90^2+Q90^2-P90*Q90+3*R90^2)</f>
        <v>231.43397152576097</v>
      </c>
      <c r="T90" s="83">
        <f t="shared" si="11"/>
        <v>118.68129156196524</v>
      </c>
      <c r="U90" s="86">
        <f t="shared" si="16"/>
        <v>3.98004706603921</v>
      </c>
      <c r="V90" s="86">
        <f t="shared" si="12"/>
        <v>11.775961221658362</v>
      </c>
      <c r="W90" s="86">
        <f t="shared" si="13"/>
        <v>13.275961221658362</v>
      </c>
      <c r="X90" s="164">
        <v>14</v>
      </c>
      <c r="Y90" s="86" t="str">
        <f t="shared" si="17"/>
        <v>OK</v>
      </c>
    </row>
    <row r="91" spans="1:28" ht="12" customHeight="1" x14ac:dyDescent="0.45">
      <c r="A91" s="82">
        <v>69</v>
      </c>
      <c r="B91" s="82" t="s">
        <v>183</v>
      </c>
      <c r="C91" s="82">
        <v>3.50000016624108</v>
      </c>
      <c r="D91" s="83">
        <v>0</v>
      </c>
      <c r="E91" s="83">
        <v>0</v>
      </c>
      <c r="F91" s="83">
        <f t="shared" si="14"/>
        <v>0</v>
      </c>
      <c r="G91" s="83">
        <f t="shared" si="9"/>
        <v>103.02873832840437</v>
      </c>
      <c r="H91" s="83">
        <v>0</v>
      </c>
      <c r="I91" s="83">
        <f t="shared" si="18"/>
        <v>113.33161216124482</v>
      </c>
      <c r="J91" s="83">
        <v>355</v>
      </c>
      <c r="K91" s="84">
        <v>0.75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5"/>
        <v>47.939554929373884</v>
      </c>
      <c r="Q91" s="85">
        <v>0</v>
      </c>
      <c r="R91" s="85">
        <v>130.170706928577</v>
      </c>
      <c r="S91" s="86">
        <f t="shared" si="19"/>
        <v>230.50258079614403</v>
      </c>
      <c r="T91" s="83">
        <f t="shared" si="11"/>
        <v>119.89209951046726</v>
      </c>
      <c r="U91" s="86">
        <f t="shared" si="16"/>
        <v>3.98004706603921</v>
      </c>
      <c r="V91" s="86">
        <f t="shared" si="12"/>
        <v>11.521223483790715</v>
      </c>
      <c r="W91" s="86">
        <f t="shared" si="13"/>
        <v>13.021223483790715</v>
      </c>
      <c r="X91" s="164">
        <v>14</v>
      </c>
      <c r="Y91" s="86" t="str">
        <f t="shared" si="17"/>
        <v>OK</v>
      </c>
    </row>
    <row r="92" spans="1:28" ht="12" customHeight="1" x14ac:dyDescent="0.45">
      <c r="A92" s="82">
        <v>70</v>
      </c>
      <c r="B92" s="82" t="s">
        <v>183</v>
      </c>
      <c r="C92" s="82">
        <v>3.8500001828651902</v>
      </c>
      <c r="D92" s="83">
        <v>0</v>
      </c>
      <c r="E92" s="83">
        <v>0</v>
      </c>
      <c r="F92" s="83">
        <f t="shared" si="14"/>
        <v>0</v>
      </c>
      <c r="G92" s="83">
        <f t="shared" ref="G92:G102" si="20">1.025*9.81*(($F$10+0.76)-C92)+25</f>
        <v>99.509400661244783</v>
      </c>
      <c r="H92" s="83">
        <v>0</v>
      </c>
      <c r="I92" s="83">
        <f t="shared" si="18"/>
        <v>109.46034072736927</v>
      </c>
      <c r="J92" s="83">
        <v>355</v>
      </c>
      <c r="K92" s="84">
        <v>0.75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5"/>
        <v>31.601825875590997</v>
      </c>
      <c r="Q92" s="85">
        <v>0</v>
      </c>
      <c r="R92" s="85">
        <v>130.74954700267401</v>
      </c>
      <c r="S92" s="86">
        <f t="shared" si="19"/>
        <v>228.6591514085639</v>
      </c>
      <c r="T92" s="83">
        <f t="shared" si="11"/>
        <v>122.28855771432143</v>
      </c>
      <c r="U92" s="86">
        <f t="shared" si="16"/>
        <v>3.98004706603921</v>
      </c>
      <c r="V92" s="86">
        <f t="shared" si="12"/>
        <v>11.211244829500432</v>
      </c>
      <c r="W92" s="86">
        <f t="shared" si="13"/>
        <v>12.711244829500432</v>
      </c>
      <c r="X92" s="164">
        <v>14</v>
      </c>
      <c r="Y92" s="86" t="str">
        <f t="shared" si="17"/>
        <v>OK</v>
      </c>
    </row>
    <row r="93" spans="1:28" ht="12" customHeight="1" x14ac:dyDescent="0.45">
      <c r="A93" s="82">
        <v>71</v>
      </c>
      <c r="B93" s="82" t="s">
        <v>183</v>
      </c>
      <c r="C93" s="82">
        <v>4.2000001994892999</v>
      </c>
      <c r="D93" s="83">
        <v>0</v>
      </c>
      <c r="E93" s="83">
        <v>0</v>
      </c>
      <c r="F93" s="83">
        <f t="shared" si="14"/>
        <v>0</v>
      </c>
      <c r="G93" s="83">
        <f t="shared" si="20"/>
        <v>95.990062994085207</v>
      </c>
      <c r="H93" s="83">
        <v>0</v>
      </c>
      <c r="I93" s="83">
        <f t="shared" si="18"/>
        <v>105.58906929349374</v>
      </c>
      <c r="J93" s="83">
        <v>355</v>
      </c>
      <c r="K93" s="84">
        <v>0.75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5"/>
        <v>15.264096821808135</v>
      </c>
      <c r="Q93" s="85">
        <v>0</v>
      </c>
      <c r="R93" s="85">
        <v>131.408509200309</v>
      </c>
      <c r="S93" s="86">
        <f t="shared" si="19"/>
        <v>228.11747307588828</v>
      </c>
      <c r="T93" s="83">
        <f t="shared" si="11"/>
        <v>122.99273954679973</v>
      </c>
      <c r="U93" s="86">
        <f t="shared" si="16"/>
        <v>3.98004706603921</v>
      </c>
      <c r="V93" s="86">
        <f t="shared" si="12"/>
        <v>10.97963982282109</v>
      </c>
      <c r="W93" s="86">
        <f t="shared" si="13"/>
        <v>12.47963982282109</v>
      </c>
      <c r="X93" s="164">
        <v>14</v>
      </c>
      <c r="Y93" s="86" t="str">
        <f t="shared" si="17"/>
        <v>OK</v>
      </c>
    </row>
    <row r="94" spans="1:28" ht="12" customHeight="1" x14ac:dyDescent="0.45">
      <c r="A94" s="82">
        <v>72</v>
      </c>
      <c r="B94" s="82" t="s">
        <v>183</v>
      </c>
      <c r="C94" s="82">
        <v>4.5500002161133999</v>
      </c>
      <c r="D94" s="83">
        <v>0</v>
      </c>
      <c r="E94" s="83">
        <v>0</v>
      </c>
      <c r="F94" s="83">
        <f t="shared" si="14"/>
        <v>0</v>
      </c>
      <c r="G94" s="83">
        <f t="shared" si="20"/>
        <v>92.470725326925731</v>
      </c>
      <c r="H94" s="83">
        <v>0</v>
      </c>
      <c r="I94" s="83">
        <f t="shared" si="18"/>
        <v>101.71779785961832</v>
      </c>
      <c r="J94" s="83">
        <v>355</v>
      </c>
      <c r="K94" s="84">
        <v>0.75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5"/>
        <v>1.0736322319742739</v>
      </c>
      <c r="Q94" s="85">
        <v>0</v>
      </c>
      <c r="R94" s="85">
        <v>131.408509200309</v>
      </c>
      <c r="S94" s="86">
        <f t="shared" si="19"/>
        <v>227.60874666170591</v>
      </c>
      <c r="T94" s="83">
        <f t="shared" si="11"/>
        <v>123.65408388523682</v>
      </c>
      <c r="U94" s="86">
        <f t="shared" si="16"/>
        <v>3.98004706603921</v>
      </c>
      <c r="V94" s="86">
        <f t="shared" si="12"/>
        <v>10.747627178397124</v>
      </c>
      <c r="W94" s="86">
        <f t="shared" si="13"/>
        <v>12.247627178397124</v>
      </c>
      <c r="X94" s="164">
        <v>14</v>
      </c>
      <c r="Y94" s="86" t="str">
        <f t="shared" si="17"/>
        <v>OK</v>
      </c>
    </row>
    <row r="95" spans="1:28" ht="12" customHeight="1" x14ac:dyDescent="0.45">
      <c r="A95" s="82">
        <v>73</v>
      </c>
      <c r="B95" s="82" t="s">
        <v>183</v>
      </c>
      <c r="C95" s="82">
        <v>4.9000002327375096</v>
      </c>
      <c r="D95" s="83">
        <v>0</v>
      </c>
      <c r="E95" s="83">
        <v>0</v>
      </c>
      <c r="F95" s="83">
        <f t="shared" si="14"/>
        <v>0</v>
      </c>
      <c r="G95" s="83">
        <f t="shared" si="20"/>
        <v>88.951387659766141</v>
      </c>
      <c r="H95" s="83">
        <v>0</v>
      </c>
      <c r="I95" s="83">
        <f t="shared" si="18"/>
        <v>97.846526425742766</v>
      </c>
      <c r="J95" s="83">
        <v>355</v>
      </c>
      <c r="K95" s="84">
        <v>0.75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5"/>
        <v>17.411361285757138</v>
      </c>
      <c r="Q95" s="85">
        <v>0</v>
      </c>
      <c r="R95" s="85">
        <v>130.674517446409</v>
      </c>
      <c r="S95" s="86">
        <f t="shared" si="19"/>
        <v>227.00362118560733</v>
      </c>
      <c r="T95" s="83">
        <f t="shared" si="11"/>
        <v>124.44074700416498</v>
      </c>
      <c r="U95" s="86">
        <f t="shared" si="16"/>
        <v>3.98004706603921</v>
      </c>
      <c r="V95" s="86">
        <f t="shared" si="12"/>
        <v>10.507750494807285</v>
      </c>
      <c r="W95" s="86">
        <f t="shared" si="13"/>
        <v>12.007750494807285</v>
      </c>
      <c r="X95" s="164">
        <v>14</v>
      </c>
      <c r="Y95" s="86" t="str">
        <f t="shared" si="17"/>
        <v>OK</v>
      </c>
    </row>
    <row r="96" spans="1:28" ht="12" customHeight="1" x14ac:dyDescent="0.45">
      <c r="A96" s="82">
        <v>74</v>
      </c>
      <c r="B96" s="82" t="s">
        <v>183</v>
      </c>
      <c r="C96" s="82">
        <v>5.2500002493616202</v>
      </c>
      <c r="D96" s="83">
        <v>0</v>
      </c>
      <c r="E96" s="83">
        <v>0</v>
      </c>
      <c r="F96" s="83">
        <f t="shared" si="14"/>
        <v>0</v>
      </c>
      <c r="G96" s="83">
        <f t="shared" si="20"/>
        <v>85.432049992606551</v>
      </c>
      <c r="H96" s="83">
        <v>0</v>
      </c>
      <c r="I96" s="83">
        <f t="shared" si="18"/>
        <v>93.975254991867217</v>
      </c>
      <c r="J96" s="83">
        <v>355</v>
      </c>
      <c r="K96" s="84">
        <v>0.75</v>
      </c>
      <c r="L96" s="84">
        <v>4</v>
      </c>
      <c r="M96" s="85">
        <v>1</v>
      </c>
      <c r="N96" s="85">
        <v>1.5</v>
      </c>
      <c r="O96" s="85">
        <v>1</v>
      </c>
      <c r="P96" s="85">
        <f t="shared" si="15"/>
        <v>33.749090339540039</v>
      </c>
      <c r="Q96" s="85">
        <v>0</v>
      </c>
      <c r="R96" s="85">
        <v>130.34393053420499</v>
      </c>
      <c r="S96" s="86">
        <f t="shared" si="19"/>
        <v>228.27093941205788</v>
      </c>
      <c r="T96" s="83">
        <f t="shared" si="11"/>
        <v>122.79323330977925</v>
      </c>
      <c r="U96" s="86">
        <f t="shared" si="16"/>
        <v>3.98004706603921</v>
      </c>
      <c r="V96" s="86">
        <f t="shared" si="12"/>
        <v>10.366636946105888</v>
      </c>
      <c r="W96" s="86">
        <f t="shared" si="13"/>
        <v>11.866636946105888</v>
      </c>
      <c r="X96" s="164">
        <v>14</v>
      </c>
      <c r="Y96" s="86" t="str">
        <f t="shared" si="17"/>
        <v>OK</v>
      </c>
    </row>
    <row r="97" spans="1:25" ht="12" customHeight="1" x14ac:dyDescent="0.45">
      <c r="A97" s="82">
        <v>75</v>
      </c>
      <c r="B97" s="82" t="s">
        <v>183</v>
      </c>
      <c r="C97" s="82">
        <v>5.60000026598573</v>
      </c>
      <c r="D97" s="83">
        <v>0</v>
      </c>
      <c r="E97" s="83">
        <v>0</v>
      </c>
      <c r="F97" s="83">
        <f t="shared" si="14"/>
        <v>0</v>
      </c>
      <c r="G97" s="83">
        <f t="shared" si="20"/>
        <v>81.912712325446989</v>
      </c>
      <c r="H97" s="83">
        <v>0</v>
      </c>
      <c r="I97" s="83">
        <f t="shared" si="18"/>
        <v>90.103983557991697</v>
      </c>
      <c r="J97" s="83">
        <v>355</v>
      </c>
      <c r="K97" s="84">
        <v>0.75</v>
      </c>
      <c r="L97" s="84">
        <v>4</v>
      </c>
      <c r="M97" s="85">
        <v>1</v>
      </c>
      <c r="N97" s="85">
        <v>1.5</v>
      </c>
      <c r="O97" s="85">
        <v>1</v>
      </c>
      <c r="P97" s="85">
        <f t="shared" si="15"/>
        <v>50.086819393322898</v>
      </c>
      <c r="Q97" s="85">
        <v>0</v>
      </c>
      <c r="R97" s="85">
        <v>129.005779036174</v>
      </c>
      <c r="S97" s="86">
        <f t="shared" si="19"/>
        <v>228.98943764097461</v>
      </c>
      <c r="T97" s="83">
        <f t="shared" si="11"/>
        <v>121.8591856121875</v>
      </c>
      <c r="U97" s="86">
        <f t="shared" si="16"/>
        <v>3.98004706603921</v>
      </c>
      <c r="V97" s="86">
        <f t="shared" si="12"/>
        <v>10.189695604490895</v>
      </c>
      <c r="W97" s="86">
        <f t="shared" si="13"/>
        <v>11.689695604490895</v>
      </c>
      <c r="X97" s="160">
        <v>12</v>
      </c>
      <c r="Y97" s="86" t="str">
        <f t="shared" si="17"/>
        <v>OK</v>
      </c>
    </row>
    <row r="98" spans="1:25" ht="12" customHeight="1" x14ac:dyDescent="0.45">
      <c r="A98" s="82">
        <v>76</v>
      </c>
      <c r="B98" s="82" t="s">
        <v>183</v>
      </c>
      <c r="C98" s="82">
        <v>6.1250000831205398</v>
      </c>
      <c r="D98" s="83">
        <v>0</v>
      </c>
      <c r="E98" s="83">
        <v>0</v>
      </c>
      <c r="F98" s="83">
        <f t="shared" si="14"/>
        <v>0</v>
      </c>
      <c r="G98" s="83">
        <f t="shared" si="20"/>
        <v>76.633707914202176</v>
      </c>
      <c r="H98" s="83">
        <v>0</v>
      </c>
      <c r="I98" s="83">
        <f t="shared" si="18"/>
        <v>84.297078705622397</v>
      </c>
      <c r="J98" s="83">
        <v>355</v>
      </c>
      <c r="K98" s="84">
        <v>0.75</v>
      </c>
      <c r="L98" s="84">
        <v>4</v>
      </c>
      <c r="M98" s="85">
        <v>1</v>
      </c>
      <c r="N98" s="85">
        <v>1.5</v>
      </c>
      <c r="O98" s="85">
        <v>1</v>
      </c>
      <c r="P98" s="85">
        <f t="shared" si="15"/>
        <v>74.593403273991285</v>
      </c>
      <c r="Q98" s="85">
        <v>0</v>
      </c>
      <c r="R98" s="85">
        <v>127.486794044497</v>
      </c>
      <c r="S98" s="86">
        <f t="shared" si="19"/>
        <v>233.07257191533347</v>
      </c>
      <c r="T98" s="83">
        <f t="shared" si="11"/>
        <v>116.55111105552099</v>
      </c>
      <c r="U98" s="86">
        <f t="shared" si="16"/>
        <v>3.98004706603921</v>
      </c>
      <c r="V98" s="86">
        <f t="shared" si="12"/>
        <v>10.077815509785761</v>
      </c>
      <c r="W98" s="86">
        <f t="shared" si="13"/>
        <v>11.577815509785761</v>
      </c>
      <c r="X98" s="160">
        <v>12</v>
      </c>
      <c r="Y98" s="86" t="str">
        <f t="shared" si="17"/>
        <v>OK</v>
      </c>
    </row>
    <row r="99" spans="1:25" ht="12" customHeight="1" x14ac:dyDescent="0.45">
      <c r="A99" s="82">
        <v>77</v>
      </c>
      <c r="B99" s="82" t="s">
        <v>183</v>
      </c>
      <c r="C99" s="82">
        <v>6.6499999002553496</v>
      </c>
      <c r="D99" s="83">
        <v>0</v>
      </c>
      <c r="E99" s="83">
        <v>0</v>
      </c>
      <c r="F99" s="83">
        <f t="shared" si="14"/>
        <v>0</v>
      </c>
      <c r="G99" s="83">
        <f t="shared" si="20"/>
        <v>71.354703502957392</v>
      </c>
      <c r="H99" s="83">
        <v>0</v>
      </c>
      <c r="I99" s="83">
        <f t="shared" si="18"/>
        <v>78.49017385325314</v>
      </c>
      <c r="J99" s="83">
        <v>355</v>
      </c>
      <c r="K99" s="84">
        <v>0.75</v>
      </c>
      <c r="L99" s="84">
        <v>4</v>
      </c>
      <c r="M99" s="85">
        <v>1</v>
      </c>
      <c r="N99" s="85">
        <v>1.5</v>
      </c>
      <c r="O99" s="85">
        <v>1</v>
      </c>
      <c r="P99" s="85">
        <f t="shared" si="15"/>
        <v>99.099987154659658</v>
      </c>
      <c r="Q99" s="85">
        <v>0</v>
      </c>
      <c r="R99" s="85">
        <v>123.76555238684401</v>
      </c>
      <c r="S99" s="86">
        <f t="shared" si="19"/>
        <v>236.16634672813905</v>
      </c>
      <c r="T99" s="83">
        <f t="shared" si="11"/>
        <v>112.52920379887374</v>
      </c>
      <c r="U99" s="86">
        <f t="shared" si="16"/>
        <v>3.98004706603921</v>
      </c>
      <c r="V99" s="86">
        <f t="shared" si="12"/>
        <v>9.8967676170234142</v>
      </c>
      <c r="W99" s="86">
        <f t="shared" si="13"/>
        <v>11.396767617023414</v>
      </c>
      <c r="X99" s="160">
        <v>12</v>
      </c>
      <c r="Y99" s="86" t="str">
        <f t="shared" si="17"/>
        <v>OK</v>
      </c>
    </row>
    <row r="100" spans="1:25" ht="12" customHeight="1" x14ac:dyDescent="0.45">
      <c r="A100" s="82">
        <v>78</v>
      </c>
      <c r="B100" s="82" t="s">
        <v>183</v>
      </c>
      <c r="C100" s="82">
        <v>6.9999999168794602</v>
      </c>
      <c r="D100" s="83">
        <v>0</v>
      </c>
      <c r="E100" s="83">
        <v>0</v>
      </c>
      <c r="F100" s="83">
        <f t="shared" si="14"/>
        <v>0</v>
      </c>
      <c r="G100" s="83">
        <f t="shared" si="20"/>
        <v>67.835365835797802</v>
      </c>
      <c r="H100" s="83">
        <v>0</v>
      </c>
      <c r="I100" s="83">
        <f t="shared" si="18"/>
        <v>74.618902419377591</v>
      </c>
      <c r="J100" s="83">
        <v>355</v>
      </c>
      <c r="K100" s="84">
        <v>0.75</v>
      </c>
      <c r="L100" s="84">
        <v>4</v>
      </c>
      <c r="M100" s="85">
        <v>1</v>
      </c>
      <c r="N100" s="85">
        <v>1.5</v>
      </c>
      <c r="O100" s="85">
        <v>1</v>
      </c>
      <c r="P100" s="85">
        <f t="shared" si="15"/>
        <v>115.43771620844255</v>
      </c>
      <c r="Q100" s="85">
        <v>0</v>
      </c>
      <c r="R100" s="85">
        <v>121.919254190765</v>
      </c>
      <c r="S100" s="86">
        <f t="shared" si="19"/>
        <v>240.6632085523627</v>
      </c>
      <c r="T100" s="83">
        <f t="shared" si="11"/>
        <v>106.68328342738299</v>
      </c>
      <c r="U100" s="86">
        <f t="shared" si="16"/>
        <v>3.98004706603921</v>
      </c>
      <c r="V100" s="86">
        <f t="shared" si="12"/>
        <v>9.9104777731376981</v>
      </c>
      <c r="W100" s="86">
        <f t="shared" si="13"/>
        <v>11.410477773137698</v>
      </c>
      <c r="X100" s="160">
        <v>12</v>
      </c>
      <c r="Y100" s="86" t="str">
        <f t="shared" si="17"/>
        <v>OK</v>
      </c>
    </row>
    <row r="101" spans="1:25" ht="12" customHeight="1" x14ac:dyDescent="0.45">
      <c r="A101" s="82">
        <v>79</v>
      </c>
      <c r="B101" s="82" t="s">
        <v>183</v>
      </c>
      <c r="C101" s="82">
        <v>7.3499999335035699</v>
      </c>
      <c r="D101" s="83">
        <v>0</v>
      </c>
      <c r="E101" s="83">
        <v>0</v>
      </c>
      <c r="F101" s="83">
        <f t="shared" si="14"/>
        <v>0</v>
      </c>
      <c r="G101" s="83">
        <f t="shared" si="20"/>
        <v>64.316028168638226</v>
      </c>
      <c r="H101" s="83">
        <v>0</v>
      </c>
      <c r="I101" s="83">
        <f t="shared" si="18"/>
        <v>70.747630985502056</v>
      </c>
      <c r="J101" s="83">
        <v>355</v>
      </c>
      <c r="K101" s="84">
        <v>0.75</v>
      </c>
      <c r="L101" s="84">
        <v>4</v>
      </c>
      <c r="M101" s="85">
        <v>1</v>
      </c>
      <c r="N101" s="85">
        <v>1.5</v>
      </c>
      <c r="O101" s="85">
        <v>1</v>
      </c>
      <c r="P101" s="85">
        <f t="shared" si="15"/>
        <v>131.77544526222545</v>
      </c>
      <c r="Q101" s="85">
        <v>0</v>
      </c>
      <c r="R101" s="85">
        <v>117.70578334504501</v>
      </c>
      <c r="S101" s="86">
        <f t="shared" si="19"/>
        <v>242.75238880939935</v>
      </c>
      <c r="T101" s="83">
        <f t="shared" si="11"/>
        <v>103.96734909323534</v>
      </c>
      <c r="U101" s="86">
        <f t="shared" si="16"/>
        <v>3.98004706603921</v>
      </c>
      <c r="V101" s="86">
        <f t="shared" si="12"/>
        <v>9.7752036948257022</v>
      </c>
      <c r="W101" s="86">
        <f t="shared" si="13"/>
        <v>11.275203694825702</v>
      </c>
      <c r="X101" s="160">
        <v>12</v>
      </c>
      <c r="Y101" s="86" t="str">
        <f t="shared" si="17"/>
        <v>OK</v>
      </c>
    </row>
    <row r="102" spans="1:25" ht="12" customHeight="1" x14ac:dyDescent="0.45">
      <c r="A102" s="82">
        <v>80</v>
      </c>
      <c r="B102" s="82" t="s">
        <v>183</v>
      </c>
      <c r="C102" s="82">
        <v>7.6999999501276797</v>
      </c>
      <c r="D102" s="83">
        <v>0</v>
      </c>
      <c r="E102" s="83">
        <v>0</v>
      </c>
      <c r="F102" s="83">
        <f t="shared" si="14"/>
        <v>0</v>
      </c>
      <c r="G102" s="83">
        <f t="shared" si="20"/>
        <v>60.796690501478643</v>
      </c>
      <c r="H102" s="83">
        <v>0</v>
      </c>
      <c r="I102" s="83">
        <f t="shared" si="18"/>
        <v>66.876359551626507</v>
      </c>
      <c r="J102" s="83">
        <v>355</v>
      </c>
      <c r="K102" s="84">
        <v>0.75</v>
      </c>
      <c r="L102" s="84">
        <v>4</v>
      </c>
      <c r="M102" s="85">
        <v>1</v>
      </c>
      <c r="N102" s="85">
        <v>1.5</v>
      </c>
      <c r="O102" s="85">
        <v>1</v>
      </c>
      <c r="P102" s="85">
        <f t="shared" si="15"/>
        <v>148.1131743160083</v>
      </c>
      <c r="Q102" s="85">
        <v>0</v>
      </c>
      <c r="R102" s="85">
        <v>115.253200491432</v>
      </c>
      <c r="S102" s="86">
        <f t="shared" si="19"/>
        <v>248.57074058810485</v>
      </c>
      <c r="T102" s="83">
        <f t="shared" si="11"/>
        <v>96.403491780918188</v>
      </c>
      <c r="U102" s="86">
        <f t="shared" si="16"/>
        <v>3.98004706603921</v>
      </c>
      <c r="V102" s="86">
        <f t="shared" si="12"/>
        <v>9.8697983592957002</v>
      </c>
      <c r="W102" s="86">
        <f t="shared" si="13"/>
        <v>11.3697983592957</v>
      </c>
      <c r="X102" s="160">
        <v>12</v>
      </c>
      <c r="Y102" s="86" t="str">
        <f t="shared" si="17"/>
        <v>OK</v>
      </c>
    </row>
    <row r="103" spans="1:25" ht="12" customHeight="1" x14ac:dyDescent="0.45">
      <c r="A103" s="82"/>
      <c r="B103" s="82"/>
      <c r="C103" s="82"/>
      <c r="D103" s="83"/>
      <c r="E103" s="83"/>
      <c r="F103" s="83"/>
      <c r="G103" s="83"/>
      <c r="H103" s="83"/>
      <c r="I103" s="83"/>
      <c r="J103" s="83"/>
      <c r="K103" s="84"/>
      <c r="L103" s="84"/>
      <c r="M103" s="85"/>
      <c r="N103" s="85"/>
      <c r="O103" s="85"/>
      <c r="P103" s="85"/>
      <c r="Q103" s="85"/>
      <c r="R103" s="85"/>
      <c r="S103" s="86"/>
      <c r="T103" s="83"/>
      <c r="U103" s="86"/>
      <c r="V103" s="86"/>
      <c r="W103" s="86"/>
      <c r="X103" s="160"/>
      <c r="Y103" s="86"/>
    </row>
    <row r="104" spans="1:25" ht="12" customHeight="1" x14ac:dyDescent="0.45">
      <c r="A104" s="82"/>
      <c r="B104" s="82"/>
      <c r="C104" s="82"/>
      <c r="D104" s="83"/>
      <c r="E104" s="83"/>
      <c r="F104" s="83"/>
      <c r="G104" s="83"/>
      <c r="H104" s="83"/>
      <c r="I104" s="83"/>
      <c r="J104" s="83"/>
      <c r="K104" s="84"/>
      <c r="L104" s="84"/>
      <c r="M104" s="85"/>
      <c r="N104" s="85"/>
      <c r="O104" s="85"/>
      <c r="P104" s="85"/>
      <c r="Q104" s="85"/>
      <c r="R104" s="85"/>
      <c r="S104" s="86"/>
      <c r="T104" s="83"/>
      <c r="U104" s="86"/>
      <c r="V104" s="86"/>
      <c r="W104" s="86"/>
      <c r="X104" s="160"/>
      <c r="Y104" s="86"/>
    </row>
    <row r="106" spans="1:25" ht="12" customHeight="1" x14ac:dyDescent="0.45">
      <c r="A106" s="4" t="s">
        <v>142</v>
      </c>
    </row>
    <row r="107" spans="1:25" ht="12" customHeight="1" x14ac:dyDescent="0.45">
      <c r="A107" s="4" t="s">
        <v>143</v>
      </c>
    </row>
    <row r="108" spans="1:25" ht="12" customHeight="1" x14ac:dyDescent="0.45">
      <c r="A108" s="4" t="s">
        <v>144</v>
      </c>
    </row>
    <row r="119" ht="15" customHeight="1" x14ac:dyDescent="0.45"/>
    <row r="120" ht="15" customHeight="1" x14ac:dyDescent="0.45"/>
    <row r="121" ht="15" customHeight="1" x14ac:dyDescent="0.45"/>
    <row r="122" ht="15" customHeight="1" x14ac:dyDescent="0.45"/>
    <row r="123" ht="15" customHeight="1" x14ac:dyDescent="0.45"/>
    <row r="124" ht="15" customHeight="1" x14ac:dyDescent="0.45"/>
    <row r="125" ht="15" customHeight="1" x14ac:dyDescent="0.45"/>
    <row r="126" ht="15" customHeight="1" x14ac:dyDescent="0.45"/>
    <row r="127" ht="15" customHeight="1" x14ac:dyDescent="0.45"/>
    <row r="128" ht="15" customHeight="1" x14ac:dyDescent="0.45"/>
    <row r="129" spans="1:14" ht="15" customHeight="1" x14ac:dyDescent="0.45"/>
    <row r="130" spans="1:14" ht="15" customHeight="1" x14ac:dyDescent="0.45"/>
    <row r="131" spans="1:14" ht="15" customHeight="1" x14ac:dyDescent="0.45"/>
    <row r="132" spans="1:14" ht="15" customHeight="1" x14ac:dyDescent="0.45"/>
    <row r="133" spans="1:14" ht="15" customHeight="1" x14ac:dyDescent="0.45"/>
    <row r="134" spans="1:14" ht="15" customHeight="1" x14ac:dyDescent="0.45"/>
    <row r="135" spans="1:14" ht="15" customHeight="1" x14ac:dyDescent="0.45"/>
    <row r="136" spans="1:14" ht="15" customHeight="1" x14ac:dyDescent="0.45">
      <c r="A136" s="16">
        <v>1</v>
      </c>
      <c r="B136" s="17" t="s">
        <v>145</v>
      </c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9"/>
      <c r="N136" s="9"/>
    </row>
    <row r="137" spans="1:14" ht="15" customHeight="1" x14ac:dyDescent="0.45">
      <c r="A137" s="20" t="s">
        <v>146</v>
      </c>
      <c r="B137" s="21" t="s">
        <v>147</v>
      </c>
      <c r="C137" s="22" t="s">
        <v>148</v>
      </c>
      <c r="D137" s="22"/>
      <c r="E137" s="23" t="s">
        <v>149</v>
      </c>
      <c r="F137" s="21" t="s">
        <v>150</v>
      </c>
      <c r="G137" s="24" t="s">
        <v>151</v>
      </c>
      <c r="H137" s="24" t="s">
        <v>152</v>
      </c>
      <c r="I137" s="24" t="s">
        <v>153</v>
      </c>
      <c r="J137" s="24" t="s">
        <v>154</v>
      </c>
      <c r="K137" s="24" t="s">
        <v>155</v>
      </c>
      <c r="L137" s="24"/>
      <c r="M137" s="25" t="s">
        <v>156</v>
      </c>
      <c r="N137" s="9"/>
    </row>
    <row r="138" spans="1:14" ht="15" customHeight="1" x14ac:dyDescent="0.45">
      <c r="A138" s="26">
        <v>355</v>
      </c>
      <c r="B138" s="27">
        <v>1.1000000000000001</v>
      </c>
      <c r="C138" s="28">
        <v>0</v>
      </c>
      <c r="D138" s="28"/>
      <c r="E138" s="29">
        <v>191</v>
      </c>
      <c r="F138" s="30">
        <v>171.24545454545449</v>
      </c>
      <c r="G138" s="27">
        <v>0.75</v>
      </c>
      <c r="H138" s="27">
        <v>7</v>
      </c>
      <c r="I138" s="27">
        <v>1</v>
      </c>
      <c r="J138" s="27">
        <v>1</v>
      </c>
      <c r="K138" s="27">
        <v>1</v>
      </c>
      <c r="L138" s="29"/>
      <c r="M138" s="31">
        <v>5.5720658924548943</v>
      </c>
      <c r="N138" s="37"/>
    </row>
    <row r="139" spans="1:14" ht="15" customHeight="1" x14ac:dyDescent="0.45">
      <c r="A139" s="32" t="s">
        <v>157</v>
      </c>
      <c r="B139" s="33"/>
      <c r="C139" s="22"/>
      <c r="D139" s="22"/>
      <c r="E139" s="24"/>
      <c r="F139" s="34"/>
      <c r="G139" s="35"/>
      <c r="H139" s="36" t="s">
        <v>158</v>
      </c>
      <c r="I139" s="33"/>
      <c r="J139" s="35"/>
      <c r="K139" s="37"/>
      <c r="L139" s="9"/>
      <c r="M139" s="38"/>
      <c r="N139" s="9"/>
    </row>
    <row r="140" spans="1:14" ht="15" customHeight="1" x14ac:dyDescent="0.45">
      <c r="A140" s="39" t="s">
        <v>159</v>
      </c>
      <c r="B140" s="22"/>
      <c r="C140" s="22"/>
      <c r="D140" s="22"/>
      <c r="E140" s="22" t="s">
        <v>160</v>
      </c>
      <c r="F140" s="22" t="s">
        <v>161</v>
      </c>
      <c r="G140" s="40" t="s">
        <v>162</v>
      </c>
      <c r="H140" s="41" t="s">
        <v>160</v>
      </c>
      <c r="I140" s="22" t="s">
        <v>161</v>
      </c>
      <c r="J140" s="42" t="s">
        <v>163</v>
      </c>
      <c r="K140" s="24" t="s">
        <v>164</v>
      </c>
      <c r="L140" s="24"/>
      <c r="M140" s="25" t="s">
        <v>165</v>
      </c>
      <c r="N140" s="9"/>
    </row>
    <row r="141" spans="1:14" ht="15" customHeight="1" x14ac:dyDescent="0.45">
      <c r="A141" s="43" t="s">
        <v>166</v>
      </c>
      <c r="B141" s="28"/>
      <c r="C141" s="28"/>
      <c r="D141" s="28"/>
      <c r="E141" s="44">
        <v>43.137022499999993</v>
      </c>
      <c r="F141" s="45">
        <v>61.966966861816026</v>
      </c>
      <c r="G141" s="46">
        <v>105.10398936181602</v>
      </c>
      <c r="H141" s="47">
        <v>130.58012500000001</v>
      </c>
      <c r="I141" s="29">
        <v>0</v>
      </c>
      <c r="J141" s="48">
        <v>130.58012500000001</v>
      </c>
      <c r="K141" s="30">
        <v>130.58012500000001</v>
      </c>
      <c r="L141" s="27"/>
      <c r="M141" s="31">
        <v>11.347784223428096</v>
      </c>
      <c r="N141" s="37"/>
    </row>
    <row r="142" spans="1:14" ht="15" customHeight="1" x14ac:dyDescent="0.45">
      <c r="A142" s="16">
        <v>2</v>
      </c>
      <c r="B142" s="17" t="s">
        <v>167</v>
      </c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9"/>
      <c r="N142" s="9"/>
    </row>
    <row r="143" spans="1:14" ht="15" customHeight="1" x14ac:dyDescent="0.45">
      <c r="A143" s="20" t="s">
        <v>146</v>
      </c>
      <c r="B143" s="21" t="s">
        <v>147</v>
      </c>
      <c r="C143" s="22" t="s">
        <v>148</v>
      </c>
      <c r="D143" s="22"/>
      <c r="E143" s="23" t="s">
        <v>149</v>
      </c>
      <c r="F143" s="21" t="s">
        <v>150</v>
      </c>
      <c r="G143" s="24" t="s">
        <v>151</v>
      </c>
      <c r="H143" s="24" t="s">
        <v>152</v>
      </c>
      <c r="I143" s="24" t="s">
        <v>153</v>
      </c>
      <c r="J143" s="24" t="s">
        <v>154</v>
      </c>
      <c r="K143" s="24" t="s">
        <v>155</v>
      </c>
      <c r="L143" s="24"/>
      <c r="M143" s="25" t="s">
        <v>156</v>
      </c>
      <c r="N143" s="9"/>
    </row>
    <row r="144" spans="1:14" ht="15" customHeight="1" x14ac:dyDescent="0.45">
      <c r="A144" s="26">
        <v>355</v>
      </c>
      <c r="B144" s="27">
        <v>1.1000000000000001</v>
      </c>
      <c r="C144" s="28">
        <v>0</v>
      </c>
      <c r="D144" s="28"/>
      <c r="E144" s="29">
        <v>191</v>
      </c>
      <c r="F144" s="30">
        <v>171.24545454545449</v>
      </c>
      <c r="G144" s="27">
        <v>0.7</v>
      </c>
      <c r="H144" s="27">
        <v>4.2140000000000004</v>
      </c>
      <c r="I144" s="27">
        <v>1</v>
      </c>
      <c r="J144" s="27">
        <v>1</v>
      </c>
      <c r="K144" s="27">
        <v>1</v>
      </c>
      <c r="L144" s="29"/>
      <c r="M144" s="31">
        <v>5.5720658924548943</v>
      </c>
      <c r="N144" s="37"/>
    </row>
    <row r="145" spans="1:14" ht="15" customHeight="1" x14ac:dyDescent="0.45">
      <c r="A145" s="32" t="s">
        <v>157</v>
      </c>
      <c r="B145" s="33"/>
      <c r="C145" s="22"/>
      <c r="D145" s="22"/>
      <c r="E145" s="24"/>
      <c r="F145" s="34"/>
      <c r="G145" s="35"/>
      <c r="H145" s="36" t="s">
        <v>158</v>
      </c>
      <c r="I145" s="33"/>
      <c r="J145" s="35"/>
      <c r="K145" s="37"/>
      <c r="L145" s="9"/>
      <c r="M145" s="38"/>
      <c r="N145" s="9"/>
    </row>
    <row r="146" spans="1:14" ht="15" customHeight="1" x14ac:dyDescent="0.45">
      <c r="A146" s="39" t="s">
        <v>159</v>
      </c>
      <c r="B146" s="22"/>
      <c r="C146" s="22"/>
      <c r="D146" s="22"/>
      <c r="E146" s="22" t="s">
        <v>160</v>
      </c>
      <c r="F146" s="22" t="s">
        <v>161</v>
      </c>
      <c r="G146" s="40" t="s">
        <v>162</v>
      </c>
      <c r="H146" s="41" t="s">
        <v>160</v>
      </c>
      <c r="I146" s="22" t="s">
        <v>161</v>
      </c>
      <c r="J146" s="42" t="s">
        <v>163</v>
      </c>
      <c r="K146" s="24" t="s">
        <v>164</v>
      </c>
      <c r="L146" s="24"/>
      <c r="M146" s="25" t="s">
        <v>165</v>
      </c>
      <c r="N146" s="9"/>
    </row>
    <row r="147" spans="1:14" ht="15" customHeight="1" x14ac:dyDescent="0.45">
      <c r="A147" s="43" t="s">
        <v>168</v>
      </c>
      <c r="B147" s="28"/>
      <c r="C147" s="28"/>
      <c r="D147" s="28"/>
      <c r="E147" s="44">
        <v>43.137022499999993</v>
      </c>
      <c r="F147" s="45">
        <v>61.966966861816026</v>
      </c>
      <c r="G147" s="46">
        <v>105.10398936181602</v>
      </c>
      <c r="H147" s="47">
        <v>130.58012500000001</v>
      </c>
      <c r="I147" s="29">
        <v>0</v>
      </c>
      <c r="J147" s="48">
        <v>130.58012500000001</v>
      </c>
      <c r="K147" s="30">
        <v>130.58012500000001</v>
      </c>
      <c r="L147" s="27"/>
      <c r="M147" s="31">
        <v>10.657931941866222</v>
      </c>
      <c r="N147" s="37"/>
    </row>
    <row r="148" spans="1:14" ht="15" customHeight="1" x14ac:dyDescent="0.45">
      <c r="A148" s="16">
        <v>3</v>
      </c>
      <c r="B148" s="17" t="s">
        <v>169</v>
      </c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9"/>
      <c r="N148" s="9"/>
    </row>
    <row r="149" spans="1:14" ht="15" customHeight="1" x14ac:dyDescent="0.45">
      <c r="A149" s="20" t="s">
        <v>146</v>
      </c>
      <c r="B149" s="21" t="s">
        <v>147</v>
      </c>
      <c r="C149" s="22" t="s">
        <v>148</v>
      </c>
      <c r="D149" s="22"/>
      <c r="E149" s="23" t="s">
        <v>149</v>
      </c>
      <c r="F149" s="21" t="s">
        <v>150</v>
      </c>
      <c r="G149" s="24" t="s">
        <v>151</v>
      </c>
      <c r="H149" s="24" t="s">
        <v>152</v>
      </c>
      <c r="I149" s="24" t="s">
        <v>153</v>
      </c>
      <c r="J149" s="24" t="s">
        <v>154</v>
      </c>
      <c r="K149" s="24" t="s">
        <v>155</v>
      </c>
      <c r="L149" s="24"/>
      <c r="M149" s="25" t="s">
        <v>156</v>
      </c>
      <c r="N149" s="9"/>
    </row>
    <row r="150" spans="1:14" ht="15" customHeight="1" x14ac:dyDescent="0.45">
      <c r="A150" s="26">
        <v>355</v>
      </c>
      <c r="B150" s="27">
        <v>1.1000000000000001</v>
      </c>
      <c r="C150" s="28">
        <v>2.9</v>
      </c>
      <c r="D150" s="28"/>
      <c r="E150" s="29">
        <v>85.6</v>
      </c>
      <c r="F150" s="30">
        <v>308.26545454545453</v>
      </c>
      <c r="G150" s="27">
        <v>0.7</v>
      </c>
      <c r="H150" s="27">
        <v>4.2140000000000004</v>
      </c>
      <c r="I150" s="27">
        <v>1</v>
      </c>
      <c r="J150" s="27">
        <v>1</v>
      </c>
      <c r="K150" s="27">
        <v>1</v>
      </c>
      <c r="L150" s="29"/>
      <c r="M150" s="31">
        <v>5.5720658924548943</v>
      </c>
      <c r="N150" s="37"/>
    </row>
    <row r="151" spans="1:14" ht="15" customHeight="1" x14ac:dyDescent="0.45">
      <c r="A151" s="32" t="s">
        <v>157</v>
      </c>
      <c r="B151" s="33"/>
      <c r="C151" s="22"/>
      <c r="D151" s="22"/>
      <c r="E151" s="24"/>
      <c r="F151" s="34"/>
      <c r="G151" s="35"/>
      <c r="H151" s="36" t="s">
        <v>158</v>
      </c>
      <c r="I151" s="33"/>
      <c r="J151" s="35"/>
      <c r="K151" s="37"/>
      <c r="L151" s="9"/>
      <c r="M151" s="38"/>
      <c r="N151" s="9"/>
    </row>
    <row r="152" spans="1:14" ht="15" customHeight="1" x14ac:dyDescent="0.45">
      <c r="A152" s="39" t="s">
        <v>159</v>
      </c>
      <c r="B152" s="22"/>
      <c r="C152" s="22"/>
      <c r="D152" s="22"/>
      <c r="E152" s="22" t="s">
        <v>160</v>
      </c>
      <c r="F152" s="22" t="s">
        <v>161</v>
      </c>
      <c r="G152" s="40" t="s">
        <v>162</v>
      </c>
      <c r="H152" s="41" t="s">
        <v>160</v>
      </c>
      <c r="I152" s="22" t="s">
        <v>161</v>
      </c>
      <c r="J152" s="42" t="s">
        <v>163</v>
      </c>
      <c r="K152" s="24" t="s">
        <v>164</v>
      </c>
      <c r="L152" s="24"/>
      <c r="M152" s="25" t="s">
        <v>165</v>
      </c>
      <c r="N152" s="9"/>
    </row>
    <row r="153" spans="1:14" ht="15" customHeight="1" x14ac:dyDescent="0.45">
      <c r="A153" s="43" t="s">
        <v>170</v>
      </c>
      <c r="B153" s="28"/>
      <c r="C153" s="28"/>
      <c r="D153" s="28"/>
      <c r="E153" s="44">
        <v>13.9767975</v>
      </c>
      <c r="F153" s="45">
        <v>86.836910943515008</v>
      </c>
      <c r="G153" s="46">
        <v>100.81370844351501</v>
      </c>
      <c r="H153" s="47">
        <v>101.41989999999998</v>
      </c>
      <c r="I153" s="29">
        <v>0</v>
      </c>
      <c r="J153" s="48">
        <v>101.41989999999998</v>
      </c>
      <c r="K153" s="30">
        <v>101.41989999999998</v>
      </c>
      <c r="L153" s="27"/>
      <c r="M153" s="31">
        <v>7.3438701735973515</v>
      </c>
      <c r="N153" s="37"/>
    </row>
    <row r="154" spans="1:14" ht="15" customHeight="1" x14ac:dyDescent="0.45">
      <c r="A154" s="16">
        <v>4</v>
      </c>
      <c r="B154" s="17" t="s">
        <v>171</v>
      </c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9"/>
      <c r="N154" s="9"/>
    </row>
    <row r="155" spans="1:14" ht="15" customHeight="1" x14ac:dyDescent="0.45">
      <c r="A155" s="20" t="s">
        <v>146</v>
      </c>
      <c r="B155" s="21" t="s">
        <v>147</v>
      </c>
      <c r="C155" s="22" t="s">
        <v>148</v>
      </c>
      <c r="D155" s="22"/>
      <c r="E155" s="23" t="s">
        <v>149</v>
      </c>
      <c r="F155" s="21" t="s">
        <v>150</v>
      </c>
      <c r="G155" s="24" t="s">
        <v>151</v>
      </c>
      <c r="H155" s="24" t="s">
        <v>152</v>
      </c>
      <c r="I155" s="24" t="s">
        <v>153</v>
      </c>
      <c r="J155" s="24" t="s">
        <v>154</v>
      </c>
      <c r="K155" s="24" t="s">
        <v>155</v>
      </c>
      <c r="L155" s="24"/>
      <c r="M155" s="25" t="s">
        <v>156</v>
      </c>
      <c r="N155" s="9"/>
    </row>
    <row r="156" spans="1:14" ht="15" customHeight="1" x14ac:dyDescent="0.45">
      <c r="A156" s="26">
        <v>355</v>
      </c>
      <c r="B156" s="27">
        <v>1.1000000000000001</v>
      </c>
      <c r="C156" s="28">
        <v>5.8</v>
      </c>
      <c r="D156" s="28"/>
      <c r="E156" s="29">
        <v>191</v>
      </c>
      <c r="F156" s="30">
        <v>171.24545454545449</v>
      </c>
      <c r="G156" s="27">
        <v>0.7</v>
      </c>
      <c r="H156" s="27">
        <v>4.2140000000000004</v>
      </c>
      <c r="I156" s="27">
        <v>1</v>
      </c>
      <c r="J156" s="27">
        <v>1</v>
      </c>
      <c r="K156" s="27">
        <v>1</v>
      </c>
      <c r="L156" s="29"/>
      <c r="M156" s="31">
        <v>5.5720658924548943</v>
      </c>
      <c r="N156" s="37"/>
    </row>
    <row r="157" spans="1:14" ht="15" customHeight="1" x14ac:dyDescent="0.45">
      <c r="A157" s="32" t="s">
        <v>157</v>
      </c>
      <c r="B157" s="33"/>
      <c r="C157" s="22"/>
      <c r="D157" s="22"/>
      <c r="E157" s="24"/>
      <c r="F157" s="34"/>
      <c r="G157" s="35"/>
      <c r="H157" s="36" t="s">
        <v>158</v>
      </c>
      <c r="I157" s="33"/>
      <c r="J157" s="35"/>
      <c r="K157" s="37"/>
      <c r="L157" s="9"/>
      <c r="M157" s="38"/>
      <c r="N157" s="9"/>
    </row>
    <row r="158" spans="1:14" ht="15" customHeight="1" x14ac:dyDescent="0.45">
      <c r="A158" s="39" t="s">
        <v>159</v>
      </c>
      <c r="B158" s="22"/>
      <c r="C158" s="22"/>
      <c r="D158" s="22"/>
      <c r="E158" s="22" t="s">
        <v>160</v>
      </c>
      <c r="F158" s="22" t="s">
        <v>161</v>
      </c>
      <c r="G158" s="40" t="s">
        <v>162</v>
      </c>
      <c r="H158" s="41" t="s">
        <v>160</v>
      </c>
      <c r="I158" s="22" t="s">
        <v>161</v>
      </c>
      <c r="J158" s="42" t="s">
        <v>163</v>
      </c>
      <c r="K158" s="24" t="s">
        <v>164</v>
      </c>
      <c r="L158" s="24"/>
      <c r="M158" s="25" t="s">
        <v>165</v>
      </c>
      <c r="N158" s="9"/>
    </row>
    <row r="159" spans="1:14" ht="15" customHeight="1" x14ac:dyDescent="0.45">
      <c r="A159" s="43" t="s">
        <v>172</v>
      </c>
      <c r="B159" s="28"/>
      <c r="C159" s="28"/>
      <c r="D159" s="28"/>
      <c r="E159" s="44">
        <v>0</v>
      </c>
      <c r="F159" s="45">
        <v>81.583270874999982</v>
      </c>
      <c r="G159" s="46">
        <v>81.583270874999982</v>
      </c>
      <c r="H159" s="47">
        <v>72.259674999999987</v>
      </c>
      <c r="I159" s="29">
        <v>0</v>
      </c>
      <c r="J159" s="48">
        <v>72.259674999999987</v>
      </c>
      <c r="K159" s="30">
        <v>81.583270874999982</v>
      </c>
      <c r="L159" s="27"/>
      <c r="M159" s="31">
        <v>8.6338945626591972</v>
      </c>
      <c r="N159" s="37"/>
    </row>
    <row r="160" spans="1:14" ht="15" customHeight="1" x14ac:dyDescent="0.45">
      <c r="A160" s="16">
        <v>5</v>
      </c>
      <c r="B160" s="17" t="s">
        <v>173</v>
      </c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9"/>
      <c r="N160" s="9"/>
    </row>
    <row r="161" spans="1:14" ht="15" customHeight="1" x14ac:dyDescent="0.45">
      <c r="A161" s="20" t="s">
        <v>146</v>
      </c>
      <c r="B161" s="21" t="s">
        <v>147</v>
      </c>
      <c r="C161" s="22" t="s">
        <v>148</v>
      </c>
      <c r="D161" s="22"/>
      <c r="E161" s="23" t="s">
        <v>149</v>
      </c>
      <c r="F161" s="21" t="s">
        <v>150</v>
      </c>
      <c r="G161" s="24" t="s">
        <v>151</v>
      </c>
      <c r="H161" s="24" t="s">
        <v>152</v>
      </c>
      <c r="I161" s="24" t="s">
        <v>153</v>
      </c>
      <c r="J161" s="24" t="s">
        <v>154</v>
      </c>
      <c r="K161" s="24" t="s">
        <v>155</v>
      </c>
      <c r="L161" s="24"/>
      <c r="M161" s="25" t="s">
        <v>156</v>
      </c>
      <c r="N161" s="9"/>
    </row>
    <row r="162" spans="1:14" ht="15" customHeight="1" x14ac:dyDescent="0.45">
      <c r="A162" s="26">
        <v>355</v>
      </c>
      <c r="B162" s="27">
        <v>1.1000000000000001</v>
      </c>
      <c r="C162" s="28">
        <v>10.5</v>
      </c>
      <c r="D162" s="28"/>
      <c r="E162" s="29">
        <v>191</v>
      </c>
      <c r="F162" s="30">
        <v>171.24545454545449</v>
      </c>
      <c r="G162" s="27">
        <v>0.75</v>
      </c>
      <c r="H162" s="27">
        <v>4.2140000000000004</v>
      </c>
      <c r="I162" s="27">
        <v>1</v>
      </c>
      <c r="J162" s="27">
        <v>1</v>
      </c>
      <c r="K162" s="27">
        <v>1</v>
      </c>
      <c r="L162" s="29"/>
      <c r="M162" s="31">
        <v>5.5720658924548943</v>
      </c>
      <c r="N162" s="37"/>
    </row>
    <row r="163" spans="1:14" ht="15" customHeight="1" x14ac:dyDescent="0.45">
      <c r="A163" s="32" t="s">
        <v>157</v>
      </c>
      <c r="B163" s="33"/>
      <c r="C163" s="22"/>
      <c r="D163" s="22"/>
      <c r="E163" s="24"/>
      <c r="F163" s="34"/>
      <c r="G163" s="35"/>
      <c r="H163" s="36" t="s">
        <v>158</v>
      </c>
      <c r="I163" s="33"/>
      <c r="J163" s="35"/>
      <c r="K163" s="37"/>
      <c r="L163" s="9"/>
      <c r="M163" s="38"/>
      <c r="N163" s="9"/>
    </row>
    <row r="164" spans="1:14" ht="15" customHeight="1" x14ac:dyDescent="0.45">
      <c r="A164" s="39" t="s">
        <v>159</v>
      </c>
      <c r="B164" s="22"/>
      <c r="C164" s="22"/>
      <c r="D164" s="22"/>
      <c r="E164" s="22" t="s">
        <v>160</v>
      </c>
      <c r="F164" s="22" t="s">
        <v>161</v>
      </c>
      <c r="G164" s="40" t="s">
        <v>162</v>
      </c>
      <c r="H164" s="41" t="s">
        <v>160</v>
      </c>
      <c r="I164" s="22" t="s">
        <v>161</v>
      </c>
      <c r="J164" s="42" t="s">
        <v>163</v>
      </c>
      <c r="K164" s="24" t="s">
        <v>164</v>
      </c>
      <c r="L164" s="24"/>
      <c r="M164" s="25" t="s">
        <v>165</v>
      </c>
      <c r="N164" s="9"/>
    </row>
    <row r="165" spans="1:14" ht="15" customHeight="1" x14ac:dyDescent="0.45">
      <c r="A165" s="43" t="s">
        <v>174</v>
      </c>
      <c r="B165" s="28"/>
      <c r="C165" s="28"/>
      <c r="D165" s="28"/>
      <c r="E165" s="44">
        <v>0</v>
      </c>
      <c r="F165" s="45">
        <v>17.782709624999981</v>
      </c>
      <c r="G165" s="46">
        <v>17.782709624999981</v>
      </c>
      <c r="H165" s="47">
        <v>25</v>
      </c>
      <c r="I165" s="29">
        <v>0</v>
      </c>
      <c r="J165" s="48">
        <v>25</v>
      </c>
      <c r="K165" s="30">
        <v>25</v>
      </c>
      <c r="L165" s="27"/>
      <c r="M165" s="31">
        <v>6.5720658924548943</v>
      </c>
      <c r="N165" s="37"/>
    </row>
    <row r="166" spans="1:14" ht="15" customHeight="1" x14ac:dyDescent="0.45">
      <c r="A166" s="16">
        <v>6</v>
      </c>
      <c r="B166" s="17" t="s">
        <v>175</v>
      </c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9"/>
      <c r="N166" s="9"/>
    </row>
    <row r="167" spans="1:14" ht="15" customHeight="1" x14ac:dyDescent="0.45">
      <c r="A167" s="20" t="s">
        <v>146</v>
      </c>
      <c r="B167" s="21" t="s">
        <v>147</v>
      </c>
      <c r="C167" s="22" t="s">
        <v>148</v>
      </c>
      <c r="D167" s="22"/>
      <c r="E167" s="23" t="s">
        <v>149</v>
      </c>
      <c r="F167" s="21" t="s">
        <v>150</v>
      </c>
      <c r="G167" s="24" t="s">
        <v>151</v>
      </c>
      <c r="H167" s="24" t="s">
        <v>152</v>
      </c>
      <c r="I167" s="24" t="s">
        <v>153</v>
      </c>
      <c r="J167" s="24" t="s">
        <v>154</v>
      </c>
      <c r="K167" s="24" t="s">
        <v>155</v>
      </c>
      <c r="L167" s="24"/>
      <c r="M167" s="25" t="s">
        <v>156</v>
      </c>
      <c r="N167" s="9"/>
    </row>
    <row r="168" spans="1:14" ht="15" customHeight="1" x14ac:dyDescent="0.45">
      <c r="A168" s="26">
        <v>355</v>
      </c>
      <c r="B168" s="27">
        <v>1.1000000000000001</v>
      </c>
      <c r="C168" s="28">
        <v>7</v>
      </c>
      <c r="D168" s="28"/>
      <c r="E168" s="29">
        <v>127</v>
      </c>
      <c r="F168" s="30">
        <v>254.44545454545451</v>
      </c>
      <c r="G168" s="27">
        <v>0.75</v>
      </c>
      <c r="H168" s="27">
        <v>4</v>
      </c>
      <c r="I168" s="27">
        <v>1</v>
      </c>
      <c r="J168" s="27">
        <v>1</v>
      </c>
      <c r="K168" s="27">
        <v>1</v>
      </c>
      <c r="L168" s="29"/>
      <c r="M168" s="31">
        <v>5.5720658924548943</v>
      </c>
      <c r="N168" s="37"/>
    </row>
    <row r="169" spans="1:14" ht="15" customHeight="1" x14ac:dyDescent="0.45">
      <c r="A169" s="32" t="s">
        <v>157</v>
      </c>
      <c r="B169" s="33"/>
      <c r="C169" s="22"/>
      <c r="D169" s="22"/>
      <c r="E169" s="24"/>
      <c r="F169" s="34"/>
      <c r="G169" s="35"/>
      <c r="H169" s="36" t="s">
        <v>158</v>
      </c>
      <c r="I169" s="33"/>
      <c r="J169" s="35"/>
      <c r="K169" s="37"/>
      <c r="L169" s="9"/>
      <c r="M169" s="38"/>
      <c r="N169" s="9"/>
    </row>
    <row r="170" spans="1:14" ht="15" customHeight="1" x14ac:dyDescent="0.45">
      <c r="A170" s="39" t="s">
        <v>159</v>
      </c>
      <c r="B170" s="22"/>
      <c r="C170" s="22"/>
      <c r="D170" s="22"/>
      <c r="E170" s="22" t="s">
        <v>160</v>
      </c>
      <c r="F170" s="22" t="s">
        <v>161</v>
      </c>
      <c r="G170" s="40" t="s">
        <v>162</v>
      </c>
      <c r="H170" s="41" t="s">
        <v>160</v>
      </c>
      <c r="I170" s="22" t="s">
        <v>161</v>
      </c>
      <c r="J170" s="42" t="s">
        <v>163</v>
      </c>
      <c r="K170" s="24" t="s">
        <v>164</v>
      </c>
      <c r="L170" s="24"/>
      <c r="M170" s="25" t="s">
        <v>165</v>
      </c>
      <c r="N170" s="9"/>
    </row>
    <row r="171" spans="1:14" ht="15" customHeight="1" x14ac:dyDescent="0.45">
      <c r="A171" s="43" t="s">
        <v>176</v>
      </c>
      <c r="B171" s="28"/>
      <c r="C171" s="28"/>
      <c r="D171" s="28"/>
      <c r="E171" s="44">
        <v>0</v>
      </c>
      <c r="F171" s="45">
        <v>65.293765874999991</v>
      </c>
      <c r="G171" s="46">
        <v>65.293765874999991</v>
      </c>
      <c r="H171" s="47">
        <v>60.193374999999996</v>
      </c>
      <c r="I171" s="29">
        <v>0</v>
      </c>
      <c r="J171" s="48">
        <v>60.193374999999996</v>
      </c>
      <c r="K171" s="30">
        <v>65.293765874999991</v>
      </c>
      <c r="L171" s="27"/>
      <c r="M171" s="31">
        <v>7.0028412837538214</v>
      </c>
      <c r="N171" s="37"/>
    </row>
    <row r="172" spans="1:14" ht="15" customHeight="1" x14ac:dyDescent="0.45">
      <c r="A172" s="16">
        <v>7</v>
      </c>
      <c r="B172" s="17" t="s">
        <v>177</v>
      </c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9"/>
      <c r="N172" s="9"/>
    </row>
    <row r="173" spans="1:14" ht="15" customHeight="1" x14ac:dyDescent="0.45">
      <c r="A173" s="20" t="s">
        <v>146</v>
      </c>
      <c r="B173" s="21" t="s">
        <v>147</v>
      </c>
      <c r="C173" s="22" t="s">
        <v>148</v>
      </c>
      <c r="D173" s="22"/>
      <c r="E173" s="23" t="s">
        <v>149</v>
      </c>
      <c r="F173" s="21" t="s">
        <v>150</v>
      </c>
      <c r="G173" s="24" t="s">
        <v>151</v>
      </c>
      <c r="H173" s="24" t="s">
        <v>152</v>
      </c>
      <c r="I173" s="24" t="s">
        <v>153</v>
      </c>
      <c r="J173" s="24" t="s">
        <v>154</v>
      </c>
      <c r="K173" s="24" t="s">
        <v>155</v>
      </c>
      <c r="L173" s="24"/>
      <c r="M173" s="25" t="s">
        <v>156</v>
      </c>
      <c r="N173" s="9"/>
    </row>
    <row r="174" spans="1:14" ht="15" customHeight="1" x14ac:dyDescent="0.45">
      <c r="A174" s="26">
        <v>355</v>
      </c>
      <c r="B174" s="27">
        <v>1.1000000000000001</v>
      </c>
      <c r="C174" s="28">
        <v>0</v>
      </c>
      <c r="D174" s="28"/>
      <c r="E174" s="29">
        <v>191</v>
      </c>
      <c r="F174" s="30">
        <v>171.24545454545449</v>
      </c>
      <c r="G174" s="27">
        <v>0.75</v>
      </c>
      <c r="H174" s="27">
        <v>4</v>
      </c>
      <c r="I174" s="27">
        <v>1</v>
      </c>
      <c r="J174" s="27">
        <v>1</v>
      </c>
      <c r="K174" s="27">
        <v>1</v>
      </c>
      <c r="L174" s="29"/>
      <c r="M174" s="31">
        <v>5.5720658924548943</v>
      </c>
      <c r="N174" s="37"/>
    </row>
    <row r="175" spans="1:14" ht="15" customHeight="1" x14ac:dyDescent="0.45">
      <c r="A175" s="32" t="s">
        <v>157</v>
      </c>
      <c r="B175" s="33"/>
      <c r="C175" s="22"/>
      <c r="D175" s="22"/>
      <c r="E175" s="24"/>
      <c r="F175" s="34"/>
      <c r="G175" s="35"/>
      <c r="H175" s="36" t="s">
        <v>158</v>
      </c>
      <c r="I175" s="33"/>
      <c r="J175" s="35"/>
      <c r="K175" s="37"/>
      <c r="L175" s="9"/>
      <c r="M175" s="38"/>
      <c r="N175" s="9"/>
    </row>
    <row r="176" spans="1:14" ht="15" customHeight="1" x14ac:dyDescent="0.45">
      <c r="A176" s="39" t="s">
        <v>159</v>
      </c>
      <c r="B176" s="22"/>
      <c r="C176" s="22"/>
      <c r="D176" s="22"/>
      <c r="E176" s="22" t="s">
        <v>160</v>
      </c>
      <c r="F176" s="22" t="s">
        <v>161</v>
      </c>
      <c r="G176" s="40" t="s">
        <v>162</v>
      </c>
      <c r="H176" s="41" t="s">
        <v>160</v>
      </c>
      <c r="I176" s="22" t="s">
        <v>161</v>
      </c>
      <c r="J176" s="42" t="s">
        <v>163</v>
      </c>
      <c r="K176" s="24" t="s">
        <v>164</v>
      </c>
      <c r="L176" s="24"/>
      <c r="M176" s="25" t="s">
        <v>165</v>
      </c>
      <c r="N176" s="9"/>
    </row>
    <row r="177" spans="1:14" ht="15" customHeight="1" x14ac:dyDescent="0.45">
      <c r="A177" s="43" t="s">
        <v>168</v>
      </c>
      <c r="B177" s="28"/>
      <c r="C177" s="28"/>
      <c r="D177" s="28"/>
      <c r="E177" s="44">
        <v>43.137022499999993</v>
      </c>
      <c r="F177" s="45">
        <v>61.966966861816026</v>
      </c>
      <c r="G177" s="46">
        <v>105.10398936181602</v>
      </c>
      <c r="H177" s="47">
        <v>0</v>
      </c>
      <c r="I177" s="29">
        <v>0</v>
      </c>
      <c r="J177" s="48">
        <v>0</v>
      </c>
      <c r="K177" s="30">
        <v>105.10398936181602</v>
      </c>
      <c r="L177" s="27"/>
      <c r="M177" s="31">
        <v>10.283642848058932</v>
      </c>
      <c r="N177" s="37"/>
    </row>
    <row r="178" spans="1:14" ht="15" customHeight="1" x14ac:dyDescent="0.45">
      <c r="A178" s="16">
        <v>8</v>
      </c>
      <c r="B178" s="17" t="s">
        <v>178</v>
      </c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9"/>
      <c r="N178" s="9"/>
    </row>
    <row r="179" spans="1:14" ht="15" customHeight="1" x14ac:dyDescent="0.45">
      <c r="A179" s="20" t="s">
        <v>146</v>
      </c>
      <c r="B179" s="21" t="s">
        <v>147</v>
      </c>
      <c r="C179" s="22" t="s">
        <v>148</v>
      </c>
      <c r="D179" s="22"/>
      <c r="E179" s="23" t="s">
        <v>149</v>
      </c>
      <c r="F179" s="21" t="s">
        <v>150</v>
      </c>
      <c r="G179" s="24" t="s">
        <v>151</v>
      </c>
      <c r="H179" s="24" t="s">
        <v>152</v>
      </c>
      <c r="I179" s="24" t="s">
        <v>153</v>
      </c>
      <c r="J179" s="24" t="s">
        <v>154</v>
      </c>
      <c r="K179" s="24" t="s">
        <v>155</v>
      </c>
      <c r="L179" s="24"/>
      <c r="M179" s="25" t="s">
        <v>156</v>
      </c>
      <c r="N179" s="9"/>
    </row>
    <row r="180" spans="1:14" ht="15" customHeight="1" x14ac:dyDescent="0.45">
      <c r="A180" s="26">
        <v>355</v>
      </c>
      <c r="B180" s="27">
        <v>1.1000000000000001</v>
      </c>
      <c r="C180" s="28">
        <v>0</v>
      </c>
      <c r="D180" s="28"/>
      <c r="E180" s="29">
        <v>191</v>
      </c>
      <c r="F180" s="30">
        <v>171.24545454545449</v>
      </c>
      <c r="G180" s="27">
        <v>0.7</v>
      </c>
      <c r="H180" s="27">
        <v>4</v>
      </c>
      <c r="I180" s="27">
        <v>1</v>
      </c>
      <c r="J180" s="27">
        <v>1</v>
      </c>
      <c r="K180" s="27">
        <v>1</v>
      </c>
      <c r="L180" s="29"/>
      <c r="M180" s="31">
        <v>5.5720658924548943</v>
      </c>
      <c r="N180" s="37"/>
    </row>
    <row r="181" spans="1:14" ht="15" customHeight="1" x14ac:dyDescent="0.45">
      <c r="A181" s="32" t="s">
        <v>157</v>
      </c>
      <c r="B181" s="33"/>
      <c r="C181" s="22"/>
      <c r="D181" s="22"/>
      <c r="E181" s="24"/>
      <c r="F181" s="34"/>
      <c r="G181" s="35"/>
      <c r="H181" s="36" t="s">
        <v>158</v>
      </c>
      <c r="I181" s="33"/>
      <c r="J181" s="35"/>
      <c r="K181" s="37"/>
      <c r="L181" s="9"/>
      <c r="M181" s="38"/>
      <c r="N181" s="9"/>
    </row>
    <row r="182" spans="1:14" ht="15" customHeight="1" x14ac:dyDescent="0.45">
      <c r="A182" s="39" t="s">
        <v>159</v>
      </c>
      <c r="B182" s="22"/>
      <c r="C182" s="22"/>
      <c r="D182" s="22"/>
      <c r="E182" s="22" t="s">
        <v>160</v>
      </c>
      <c r="F182" s="22" t="s">
        <v>161</v>
      </c>
      <c r="G182" s="40" t="s">
        <v>162</v>
      </c>
      <c r="H182" s="41" t="s">
        <v>160</v>
      </c>
      <c r="I182" s="22" t="s">
        <v>161</v>
      </c>
      <c r="J182" s="42" t="s">
        <v>163</v>
      </c>
      <c r="K182" s="24" t="s">
        <v>164</v>
      </c>
      <c r="L182" s="24"/>
      <c r="M182" s="25" t="s">
        <v>165</v>
      </c>
      <c r="N182" s="9"/>
    </row>
    <row r="183" spans="1:14" ht="15" customHeight="1" x14ac:dyDescent="0.45">
      <c r="A183" s="43" t="s">
        <v>168</v>
      </c>
      <c r="B183" s="28"/>
      <c r="C183" s="28"/>
      <c r="D183" s="28"/>
      <c r="E183" s="44">
        <v>43.137022499999993</v>
      </c>
      <c r="F183" s="45">
        <v>61.966966861816026</v>
      </c>
      <c r="G183" s="46">
        <v>105.10398936181602</v>
      </c>
      <c r="H183" s="47">
        <v>0</v>
      </c>
      <c r="I183" s="29">
        <v>0</v>
      </c>
      <c r="J183" s="48">
        <v>0</v>
      </c>
      <c r="K183" s="30">
        <v>105.10398936181602</v>
      </c>
      <c r="L183" s="27"/>
      <c r="M183" s="31">
        <v>9.6647333248550016</v>
      </c>
      <c r="N183" s="37"/>
    </row>
    <row r="184" spans="1:14" ht="15" customHeight="1" x14ac:dyDescent="0.45">
      <c r="A184" s="16">
        <v>9</v>
      </c>
      <c r="B184" s="17" t="s">
        <v>179</v>
      </c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9"/>
      <c r="N184" s="9"/>
    </row>
    <row r="185" spans="1:14" ht="15" customHeight="1" x14ac:dyDescent="0.45">
      <c r="A185" s="20" t="s">
        <v>146</v>
      </c>
      <c r="B185" s="21" t="s">
        <v>147</v>
      </c>
      <c r="C185" s="22" t="s">
        <v>148</v>
      </c>
      <c r="D185" s="22"/>
      <c r="E185" s="23" t="s">
        <v>149</v>
      </c>
      <c r="F185" s="21" t="s">
        <v>150</v>
      </c>
      <c r="G185" s="24" t="s">
        <v>151</v>
      </c>
      <c r="H185" s="24" t="s">
        <v>152</v>
      </c>
      <c r="I185" s="24" t="s">
        <v>153</v>
      </c>
      <c r="J185" s="24" t="s">
        <v>154</v>
      </c>
      <c r="K185" s="24" t="s">
        <v>155</v>
      </c>
      <c r="L185" s="24"/>
      <c r="M185" s="25" t="s">
        <v>156</v>
      </c>
      <c r="N185" s="9"/>
    </row>
    <row r="186" spans="1:14" ht="15" customHeight="1" x14ac:dyDescent="0.45">
      <c r="A186" s="26">
        <v>355</v>
      </c>
      <c r="B186" s="27">
        <v>1.1000000000000001</v>
      </c>
      <c r="C186" s="28">
        <v>2.9</v>
      </c>
      <c r="D186" s="28"/>
      <c r="E186" s="29">
        <v>85.6</v>
      </c>
      <c r="F186" s="30">
        <v>308.26545454545453</v>
      </c>
      <c r="G186" s="27">
        <v>0.7</v>
      </c>
      <c r="H186" s="27">
        <v>4</v>
      </c>
      <c r="I186" s="27">
        <v>1</v>
      </c>
      <c r="J186" s="27">
        <v>1</v>
      </c>
      <c r="K186" s="27">
        <v>1</v>
      </c>
      <c r="L186" s="29"/>
      <c r="M186" s="31">
        <v>5.5720658924548943</v>
      </c>
      <c r="N186" s="37"/>
    </row>
    <row r="187" spans="1:14" ht="15" customHeight="1" x14ac:dyDescent="0.45">
      <c r="A187" s="32" t="s">
        <v>157</v>
      </c>
      <c r="B187" s="33"/>
      <c r="C187" s="22"/>
      <c r="D187" s="22"/>
      <c r="E187" s="24"/>
      <c r="F187" s="34"/>
      <c r="G187" s="35"/>
      <c r="H187" s="36" t="s">
        <v>158</v>
      </c>
      <c r="I187" s="33"/>
      <c r="J187" s="35"/>
      <c r="K187" s="37"/>
      <c r="L187" s="9"/>
      <c r="M187" s="38"/>
      <c r="N187" s="9"/>
    </row>
    <row r="188" spans="1:14" ht="15" customHeight="1" x14ac:dyDescent="0.45">
      <c r="A188" s="39" t="s">
        <v>159</v>
      </c>
      <c r="B188" s="22"/>
      <c r="C188" s="22"/>
      <c r="D188" s="22"/>
      <c r="E188" s="22" t="s">
        <v>160</v>
      </c>
      <c r="F188" s="22" t="s">
        <v>161</v>
      </c>
      <c r="G188" s="40" t="s">
        <v>162</v>
      </c>
      <c r="H188" s="41" t="s">
        <v>160</v>
      </c>
      <c r="I188" s="22" t="s">
        <v>161</v>
      </c>
      <c r="J188" s="42" t="s">
        <v>163</v>
      </c>
      <c r="K188" s="24" t="s">
        <v>164</v>
      </c>
      <c r="L188" s="24"/>
      <c r="M188" s="25" t="s">
        <v>165</v>
      </c>
      <c r="N188" s="9"/>
    </row>
    <row r="189" spans="1:14" ht="15" customHeight="1" x14ac:dyDescent="0.45">
      <c r="A189" s="43" t="s">
        <v>170</v>
      </c>
      <c r="B189" s="28"/>
      <c r="C189" s="28"/>
      <c r="D189" s="28"/>
      <c r="E189" s="44">
        <v>13.9767975</v>
      </c>
      <c r="F189" s="45">
        <v>86.836910943515008</v>
      </c>
      <c r="G189" s="46">
        <v>100.81370844351501</v>
      </c>
      <c r="H189" s="47">
        <v>0</v>
      </c>
      <c r="I189" s="29">
        <v>0</v>
      </c>
      <c r="J189" s="48">
        <v>0</v>
      </c>
      <c r="K189" s="30">
        <v>100.81370844351501</v>
      </c>
      <c r="L189" s="27"/>
      <c r="M189" s="31">
        <v>7.3248829526161403</v>
      </c>
      <c r="N189" s="37"/>
    </row>
    <row r="190" spans="1:14" ht="15" customHeight="1" x14ac:dyDescent="0.45">
      <c r="A190" s="16">
        <v>10</v>
      </c>
      <c r="B190" s="17" t="s">
        <v>180</v>
      </c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9"/>
      <c r="N190" s="9"/>
    </row>
    <row r="191" spans="1:14" ht="15" customHeight="1" x14ac:dyDescent="0.45">
      <c r="A191" s="20" t="s">
        <v>146</v>
      </c>
      <c r="B191" s="21" t="s">
        <v>147</v>
      </c>
      <c r="C191" s="22" t="s">
        <v>148</v>
      </c>
      <c r="D191" s="22"/>
      <c r="E191" s="23" t="s">
        <v>149</v>
      </c>
      <c r="F191" s="21" t="s">
        <v>150</v>
      </c>
      <c r="G191" s="24" t="s">
        <v>151</v>
      </c>
      <c r="H191" s="24" t="s">
        <v>152</v>
      </c>
      <c r="I191" s="24" t="s">
        <v>153</v>
      </c>
      <c r="J191" s="24" t="s">
        <v>154</v>
      </c>
      <c r="K191" s="24" t="s">
        <v>155</v>
      </c>
      <c r="L191" s="24"/>
      <c r="M191" s="25" t="s">
        <v>156</v>
      </c>
      <c r="N191" s="9"/>
    </row>
    <row r="192" spans="1:14" ht="15" customHeight="1" x14ac:dyDescent="0.45">
      <c r="A192" s="26">
        <v>355</v>
      </c>
      <c r="B192" s="27">
        <v>1.1000000000000001</v>
      </c>
      <c r="C192" s="28">
        <v>5.8</v>
      </c>
      <c r="D192" s="28"/>
      <c r="E192" s="29">
        <v>127</v>
      </c>
      <c r="F192" s="30">
        <v>254.44545454545451</v>
      </c>
      <c r="G192" s="27">
        <v>0.7</v>
      </c>
      <c r="H192" s="27">
        <v>4</v>
      </c>
      <c r="I192" s="27">
        <v>1</v>
      </c>
      <c r="J192" s="27">
        <v>1</v>
      </c>
      <c r="K192" s="27">
        <v>1</v>
      </c>
      <c r="L192" s="29"/>
      <c r="M192" s="31">
        <v>5.5720658924548943</v>
      </c>
      <c r="N192" s="37"/>
    </row>
    <row r="193" spans="1:14" ht="15" customHeight="1" x14ac:dyDescent="0.45">
      <c r="A193" s="32" t="s">
        <v>157</v>
      </c>
      <c r="B193" s="33"/>
      <c r="C193" s="22"/>
      <c r="D193" s="22"/>
      <c r="E193" s="24"/>
      <c r="F193" s="34"/>
      <c r="G193" s="35"/>
      <c r="H193" s="36" t="s">
        <v>158</v>
      </c>
      <c r="I193" s="33"/>
      <c r="J193" s="35"/>
      <c r="K193" s="37"/>
      <c r="L193" s="9"/>
      <c r="M193" s="38"/>
      <c r="N193" s="9"/>
    </row>
    <row r="194" spans="1:14" ht="15" customHeight="1" x14ac:dyDescent="0.45">
      <c r="A194" s="39" t="s">
        <v>159</v>
      </c>
      <c r="B194" s="22"/>
      <c r="C194" s="22"/>
      <c r="D194" s="22"/>
      <c r="E194" s="22" t="s">
        <v>160</v>
      </c>
      <c r="F194" s="22" t="s">
        <v>161</v>
      </c>
      <c r="G194" s="40" t="s">
        <v>162</v>
      </c>
      <c r="H194" s="41" t="s">
        <v>160</v>
      </c>
      <c r="I194" s="22" t="s">
        <v>161</v>
      </c>
      <c r="J194" s="42" t="s">
        <v>163</v>
      </c>
      <c r="K194" s="24" t="s">
        <v>164</v>
      </c>
      <c r="L194" s="24"/>
      <c r="M194" s="25" t="s">
        <v>165</v>
      </c>
      <c r="N194" s="9"/>
    </row>
    <row r="195" spans="1:14" ht="15" customHeight="1" x14ac:dyDescent="0.45">
      <c r="A195" s="43" t="s">
        <v>172</v>
      </c>
      <c r="B195" s="28"/>
      <c r="C195" s="28"/>
      <c r="D195" s="28"/>
      <c r="E195" s="44">
        <v>0</v>
      </c>
      <c r="F195" s="45">
        <v>81.583270874999982</v>
      </c>
      <c r="G195" s="46">
        <v>81.583270874999982</v>
      </c>
      <c r="H195" s="47">
        <v>0</v>
      </c>
      <c r="I195" s="29">
        <v>0</v>
      </c>
      <c r="J195" s="48">
        <v>0</v>
      </c>
      <c r="K195" s="30">
        <v>81.583270874999982</v>
      </c>
      <c r="L195" s="27"/>
      <c r="M195" s="31">
        <v>7.2626527990297367</v>
      </c>
      <c r="N195" s="37"/>
    </row>
    <row r="196" spans="1:14" ht="15" customHeight="1" x14ac:dyDescent="0.45">
      <c r="A196" s="16">
        <v>11</v>
      </c>
      <c r="B196" s="17" t="s">
        <v>181</v>
      </c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9"/>
      <c r="N196" s="9"/>
    </row>
    <row r="197" spans="1:14" ht="15" customHeight="1" x14ac:dyDescent="0.45">
      <c r="A197" s="20" t="s">
        <v>146</v>
      </c>
      <c r="B197" s="21" t="s">
        <v>147</v>
      </c>
      <c r="C197" s="22" t="s">
        <v>148</v>
      </c>
      <c r="D197" s="22"/>
      <c r="E197" s="23" t="s">
        <v>149</v>
      </c>
      <c r="F197" s="21" t="s">
        <v>150</v>
      </c>
      <c r="G197" s="24" t="s">
        <v>151</v>
      </c>
      <c r="H197" s="24" t="s">
        <v>152</v>
      </c>
      <c r="I197" s="24" t="s">
        <v>153</v>
      </c>
      <c r="J197" s="24" t="s">
        <v>154</v>
      </c>
      <c r="K197" s="24" t="s">
        <v>155</v>
      </c>
      <c r="L197" s="24"/>
      <c r="M197" s="25" t="s">
        <v>156</v>
      </c>
      <c r="N197" s="9"/>
    </row>
    <row r="198" spans="1:14" ht="15" customHeight="1" x14ac:dyDescent="0.45">
      <c r="A198" s="26">
        <v>355</v>
      </c>
      <c r="B198" s="27">
        <v>1.1000000000000001</v>
      </c>
      <c r="C198" s="28">
        <v>7</v>
      </c>
      <c r="D198" s="28"/>
      <c r="E198" s="29">
        <v>127</v>
      </c>
      <c r="F198" s="30">
        <v>254.44545454545451</v>
      </c>
      <c r="G198" s="27">
        <v>0.7</v>
      </c>
      <c r="H198" s="27">
        <v>4</v>
      </c>
      <c r="I198" s="27">
        <v>1</v>
      </c>
      <c r="J198" s="27">
        <v>1</v>
      </c>
      <c r="K198" s="27">
        <v>1</v>
      </c>
      <c r="L198" s="29"/>
      <c r="M198" s="31">
        <v>5.5720658924548943</v>
      </c>
      <c r="N198" s="37"/>
    </row>
    <row r="199" spans="1:14" ht="15" customHeight="1" x14ac:dyDescent="0.45">
      <c r="A199" s="32" t="s">
        <v>157</v>
      </c>
      <c r="B199" s="33"/>
      <c r="C199" s="22"/>
      <c r="D199" s="22"/>
      <c r="E199" s="24"/>
      <c r="F199" s="34"/>
      <c r="G199" s="35"/>
      <c r="H199" s="36" t="s">
        <v>158</v>
      </c>
      <c r="I199" s="33"/>
      <c r="J199" s="35"/>
      <c r="K199" s="37"/>
      <c r="L199" s="9"/>
      <c r="M199" s="38"/>
      <c r="N199" s="9"/>
    </row>
    <row r="200" spans="1:14" ht="15" customHeight="1" x14ac:dyDescent="0.45">
      <c r="A200" s="39" t="s">
        <v>159</v>
      </c>
      <c r="B200" s="22"/>
      <c r="C200" s="22"/>
      <c r="D200" s="22"/>
      <c r="E200" s="22" t="s">
        <v>160</v>
      </c>
      <c r="F200" s="22" t="s">
        <v>161</v>
      </c>
      <c r="G200" s="40" t="s">
        <v>162</v>
      </c>
      <c r="H200" s="41" t="s">
        <v>160</v>
      </c>
      <c r="I200" s="22" t="s">
        <v>161</v>
      </c>
      <c r="J200" s="42" t="s">
        <v>163</v>
      </c>
      <c r="K200" s="24" t="s">
        <v>164</v>
      </c>
      <c r="L200" s="24"/>
      <c r="M200" s="25" t="s">
        <v>165</v>
      </c>
      <c r="N200" s="9"/>
    </row>
    <row r="201" spans="1:14" ht="15" customHeight="1" x14ac:dyDescent="0.45">
      <c r="A201" s="43" t="s">
        <v>176</v>
      </c>
      <c r="B201" s="28"/>
      <c r="C201" s="28"/>
      <c r="D201" s="28"/>
      <c r="E201" s="44">
        <v>0</v>
      </c>
      <c r="F201" s="45">
        <v>65.293765874999991</v>
      </c>
      <c r="G201" s="46">
        <v>65.293765874999991</v>
      </c>
      <c r="H201" s="47">
        <v>0</v>
      </c>
      <c r="I201" s="29">
        <v>0</v>
      </c>
      <c r="J201" s="48">
        <v>0</v>
      </c>
      <c r="K201" s="30">
        <v>65.293765874999991</v>
      </c>
      <c r="L201" s="27"/>
      <c r="M201" s="31">
        <v>6.6026518648368988</v>
      </c>
      <c r="N201" s="37"/>
    </row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  <row r="208" spans="1:14" ht="15" customHeight="1" x14ac:dyDescent="0.45"/>
    <row r="209" ht="15" customHeight="1" x14ac:dyDescent="0.45"/>
    <row r="210" ht="15" customHeight="1" x14ac:dyDescent="0.45"/>
    <row r="211" ht="15" customHeight="1" x14ac:dyDescent="0.45"/>
    <row r="212" ht="15" customHeight="1" x14ac:dyDescent="0.45"/>
    <row r="213" ht="15" customHeight="1" x14ac:dyDescent="0.45"/>
    <row r="214" ht="15" customHeight="1" x14ac:dyDescent="0.45"/>
    <row r="215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104">
    <cfRule type="cellIs" dxfId="7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F389A-FE01-478A-ADFB-3EFB7DE33D7B}">
  <sheetPr codeName="Sheet7"/>
  <dimension ref="A1:AH207"/>
  <sheetViews>
    <sheetView showGridLines="0" topLeftCell="A7" zoomScale="130" zoomScaleNormal="130" workbookViewId="0">
      <selection activeCell="A21" sqref="A21:Y96"/>
    </sheetView>
  </sheetViews>
  <sheetFormatPr defaultColWidth="5.33203125" defaultRowHeight="12" customHeight="1" x14ac:dyDescent="0.45"/>
  <cols>
    <col min="1" max="11" width="5.33203125" style="4"/>
    <col min="12" max="13" width="5.33203125" style="4" customWidth="1"/>
    <col min="14" max="14" width="5.75" style="4" bestFit="1" customWidth="1"/>
    <col min="15" max="15" width="6" style="4" bestFit="1" customWidth="1"/>
    <col min="16" max="17" width="5.33203125" style="4" customWidth="1"/>
    <col min="18" max="22" width="5.33203125" style="4"/>
    <col min="23" max="23" width="6.08203125" style="4" bestFit="1" customWidth="1"/>
    <col min="24" max="33" width="5.33203125" style="4"/>
    <col min="34" max="34" width="6.25" style="4" bestFit="1" customWidth="1"/>
    <col min="35" max="16384" width="5.33203125" style="4"/>
  </cols>
  <sheetData>
    <row r="1" spans="1:14" ht="12" customHeight="1" x14ac:dyDescent="0.45">
      <c r="A1" s="67"/>
      <c r="B1" s="68"/>
      <c r="C1" s="68"/>
      <c r="D1" s="68"/>
      <c r="E1" s="68"/>
      <c r="F1" s="190"/>
      <c r="G1" s="190"/>
      <c r="H1" s="190"/>
      <c r="I1" s="190"/>
      <c r="J1" s="190"/>
      <c r="K1" s="190"/>
      <c r="L1" s="190"/>
      <c r="M1" s="190"/>
      <c r="N1" s="191"/>
    </row>
    <row r="2" spans="1:14" ht="12" customHeight="1" x14ac:dyDescent="0.45">
      <c r="A2" s="69"/>
      <c r="F2" s="192"/>
      <c r="G2" s="192"/>
      <c r="H2" s="192"/>
      <c r="I2" s="192"/>
      <c r="J2" s="192"/>
      <c r="K2" s="192"/>
      <c r="L2" s="192"/>
      <c r="M2" s="192"/>
      <c r="N2" s="193"/>
    </row>
    <row r="3" spans="1:14" ht="12" customHeight="1" x14ac:dyDescent="0.45">
      <c r="A3" s="69"/>
      <c r="F3" s="192"/>
      <c r="G3" s="192"/>
      <c r="H3" s="192"/>
      <c r="I3" s="192"/>
      <c r="J3" s="192"/>
      <c r="K3" s="192"/>
      <c r="L3" s="192"/>
      <c r="M3" s="192"/>
      <c r="N3" s="193"/>
    </row>
    <row r="4" spans="1:14" ht="12" customHeight="1" x14ac:dyDescent="0.45">
      <c r="A4" s="69"/>
      <c r="F4" s="192" t="s">
        <v>64</v>
      </c>
      <c r="G4" s="192"/>
      <c r="H4" s="192"/>
      <c r="I4" s="192"/>
      <c r="J4" s="192"/>
      <c r="K4" s="192"/>
      <c r="L4" s="192"/>
      <c r="M4" s="192"/>
      <c r="N4" s="193"/>
    </row>
    <row r="5" spans="1:14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14" ht="12" customHeight="1" x14ac:dyDescent="0.45">
      <c r="A7" s="4" t="s">
        <v>65</v>
      </c>
      <c r="C7" s="6"/>
      <c r="D7" s="6"/>
      <c r="E7" s="7" t="s">
        <v>66</v>
      </c>
      <c r="F7" s="13">
        <v>1.1000000000000001</v>
      </c>
      <c r="G7" s="9"/>
    </row>
    <row r="8" spans="1:14" ht="12" customHeight="1" x14ac:dyDescent="0.45">
      <c r="A8" s="4" t="s">
        <v>67</v>
      </c>
      <c r="E8" s="10" t="s">
        <v>68</v>
      </c>
      <c r="F8" s="11">
        <v>5</v>
      </c>
      <c r="G8" s="51" t="s">
        <v>69</v>
      </c>
    </row>
    <row r="9" spans="1:14" ht="12" customHeight="1" x14ac:dyDescent="0.45">
      <c r="A9" s="174" t="s">
        <v>70</v>
      </c>
      <c r="B9" s="174"/>
      <c r="C9" s="174"/>
      <c r="D9" s="174"/>
      <c r="E9" s="175" t="s">
        <v>71</v>
      </c>
      <c r="F9" s="176">
        <v>4.29</v>
      </c>
      <c r="G9" s="177" t="s">
        <v>37</v>
      </c>
    </row>
    <row r="10" spans="1:14" ht="12" customHeight="1" x14ac:dyDescent="0.45">
      <c r="A10" s="4" t="s">
        <v>72</v>
      </c>
      <c r="E10" s="12"/>
      <c r="F10" s="49">
        <v>10.5</v>
      </c>
      <c r="G10" s="5" t="s">
        <v>73</v>
      </c>
      <c r="I10" s="108" t="s">
        <v>74</v>
      </c>
    </row>
    <row r="11" spans="1:14" ht="12" customHeight="1" x14ac:dyDescent="0.45">
      <c r="A11" s="170" t="s">
        <v>75</v>
      </c>
      <c r="B11" s="170"/>
      <c r="C11" s="170"/>
      <c r="D11" s="170"/>
      <c r="E11" s="171" t="s">
        <v>76</v>
      </c>
      <c r="F11" s="146">
        <v>10.46</v>
      </c>
      <c r="G11" s="151" t="s">
        <v>77</v>
      </c>
      <c r="I11" s="4" t="s">
        <v>78</v>
      </c>
      <c r="M11" s="4">
        <v>387000</v>
      </c>
      <c r="N11" s="5" t="s">
        <v>79</v>
      </c>
    </row>
    <row r="12" spans="1:14" ht="12" customHeight="1" x14ac:dyDescent="0.45">
      <c r="A12" s="170" t="s">
        <v>80</v>
      </c>
      <c r="B12" s="153"/>
      <c r="C12" s="153"/>
      <c r="D12" s="153"/>
      <c r="E12" s="172" t="s">
        <v>81</v>
      </c>
      <c r="F12" s="147">
        <f>2*PI()/F11</f>
        <v>0.60068693185273281</v>
      </c>
      <c r="G12" s="170"/>
      <c r="I12" s="4" t="s">
        <v>82</v>
      </c>
      <c r="M12" s="4">
        <v>7.7107999999999999</v>
      </c>
      <c r="N12" s="5" t="s">
        <v>83</v>
      </c>
    </row>
    <row r="13" spans="1:14" ht="12" customHeight="1" x14ac:dyDescent="0.45">
      <c r="A13" s="170" t="s">
        <v>84</v>
      </c>
      <c r="B13" s="170"/>
      <c r="C13" s="170"/>
      <c r="D13" s="170"/>
      <c r="E13" s="172" t="s">
        <v>85</v>
      </c>
      <c r="F13" s="148">
        <v>54</v>
      </c>
      <c r="G13" s="151" t="s">
        <v>37</v>
      </c>
      <c r="I13" s="4" t="s">
        <v>86</v>
      </c>
      <c r="M13" s="76">
        <v>3.6779999999999999</v>
      </c>
      <c r="N13" s="5" t="s">
        <v>87</v>
      </c>
    </row>
    <row r="14" spans="1:14" ht="12" customHeight="1" x14ac:dyDescent="0.45">
      <c r="A14" s="170" t="s">
        <v>88</v>
      </c>
      <c r="B14" s="170"/>
      <c r="C14" s="170"/>
      <c r="D14" s="170"/>
      <c r="E14" s="171" t="s">
        <v>89</v>
      </c>
      <c r="F14" s="149">
        <f>2*PI()/F13</f>
        <v>0.11635528346628864</v>
      </c>
      <c r="G14" s="151"/>
    </row>
    <row r="15" spans="1:14" ht="12" customHeight="1" x14ac:dyDescent="0.45">
      <c r="A15" s="170" t="s">
        <v>90</v>
      </c>
      <c r="B15" s="170"/>
      <c r="C15" s="170"/>
      <c r="D15" s="170"/>
      <c r="E15" s="173" t="s">
        <v>91</v>
      </c>
      <c r="F15" s="155">
        <v>10.5</v>
      </c>
      <c r="G15" s="151" t="s">
        <v>37</v>
      </c>
      <c r="I15" s="4" t="s">
        <v>92</v>
      </c>
      <c r="M15" s="4">
        <v>37600</v>
      </c>
      <c r="N15" s="5" t="s">
        <v>93</v>
      </c>
    </row>
    <row r="16" spans="1:14" ht="12" customHeight="1" x14ac:dyDescent="0.3">
      <c r="F16" s="5"/>
      <c r="G16" s="5"/>
      <c r="M16" s="109"/>
    </row>
    <row r="17" spans="1:34" ht="12" customHeight="1" x14ac:dyDescent="0.45">
      <c r="A17" s="4" t="s">
        <v>94</v>
      </c>
      <c r="E17" s="14" t="s">
        <v>95</v>
      </c>
      <c r="F17" s="15">
        <v>1.35</v>
      </c>
      <c r="G17" s="54"/>
      <c r="AD17" s="4">
        <f>14.3</f>
        <v>14.3</v>
      </c>
      <c r="AE17" s="4">
        <v>7</v>
      </c>
      <c r="AF17" s="4">
        <v>355</v>
      </c>
      <c r="AG17" s="4">
        <f>AF17/1.1</f>
        <v>322.72727272727269</v>
      </c>
      <c r="AH17" s="4">
        <f>AD17*AE17/SQRT(AG17)</f>
        <v>5.5720658924548943</v>
      </c>
    </row>
    <row r="18" spans="1:34" ht="12" customHeight="1" x14ac:dyDescent="0.45">
      <c r="A18" s="4" t="s">
        <v>96</v>
      </c>
      <c r="E18" s="14" t="s">
        <v>95</v>
      </c>
      <c r="F18" s="15">
        <v>1.1000000000000001</v>
      </c>
      <c r="G18" s="5"/>
      <c r="AE18" s="4">
        <v>5</v>
      </c>
      <c r="AH18" s="4">
        <f>AD17*AE18/SQRT(AG17)</f>
        <v>3.98004706603921</v>
      </c>
    </row>
    <row r="19" spans="1:34" ht="12" customHeight="1" x14ac:dyDescent="0.45">
      <c r="C19" s="4" t="s">
        <v>97</v>
      </c>
    </row>
    <row r="20" spans="1:34" ht="12" customHeight="1" x14ac:dyDescent="0.45">
      <c r="D20" s="4" t="s">
        <v>98</v>
      </c>
      <c r="J20" s="77"/>
      <c r="K20" s="77" t="s">
        <v>99</v>
      </c>
      <c r="L20" s="77"/>
      <c r="M20" s="77"/>
      <c r="N20" s="78"/>
      <c r="O20" s="79" t="s">
        <v>100</v>
      </c>
      <c r="P20" s="77">
        <v>1.6259999999999999</v>
      </c>
      <c r="Q20" s="77"/>
      <c r="R20" s="77"/>
      <c r="S20" s="77"/>
    </row>
    <row r="21" spans="1:34" ht="12" customHeight="1" x14ac:dyDescent="0.45">
      <c r="A21" s="196" t="s">
        <v>101</v>
      </c>
      <c r="B21" s="196"/>
      <c r="C21" s="61" t="s">
        <v>102</v>
      </c>
      <c r="D21" s="62" t="s">
        <v>103</v>
      </c>
      <c r="E21" s="62" t="s">
        <v>104</v>
      </c>
      <c r="F21" s="50" t="s">
        <v>105</v>
      </c>
      <c r="G21" s="50" t="s">
        <v>106</v>
      </c>
      <c r="H21" s="50" t="s">
        <v>107</v>
      </c>
      <c r="I21" s="61" t="s">
        <v>108</v>
      </c>
      <c r="J21" s="50" t="s">
        <v>109</v>
      </c>
      <c r="K21" s="61" t="s">
        <v>110</v>
      </c>
      <c r="L21" s="61" t="s">
        <v>111</v>
      </c>
      <c r="M21" s="197" t="s">
        <v>112</v>
      </c>
      <c r="N21" s="50" t="s">
        <v>113</v>
      </c>
      <c r="O21" s="50" t="s">
        <v>114</v>
      </c>
      <c r="P21" s="62" t="s">
        <v>115</v>
      </c>
      <c r="Q21" s="62" t="s">
        <v>116</v>
      </c>
      <c r="R21" s="80" t="s">
        <v>117</v>
      </c>
      <c r="S21" s="62" t="s">
        <v>118</v>
      </c>
      <c r="T21" s="62" t="s">
        <v>119</v>
      </c>
      <c r="U21" s="50" t="s">
        <v>120</v>
      </c>
      <c r="V21" s="50" t="s">
        <v>121</v>
      </c>
      <c r="W21" s="50" t="s">
        <v>122</v>
      </c>
      <c r="X21" s="50" t="s">
        <v>123</v>
      </c>
      <c r="Y21" s="50" t="s">
        <v>124</v>
      </c>
      <c r="AC21" s="75" t="s">
        <v>125</v>
      </c>
      <c r="AD21" s="4">
        <v>1.0249999999999999</v>
      </c>
    </row>
    <row r="22" spans="1:34" ht="12" customHeight="1" x14ac:dyDescent="0.45">
      <c r="A22" s="196"/>
      <c r="B22" s="196"/>
      <c r="C22" s="61" t="s">
        <v>87</v>
      </c>
      <c r="D22" s="63" t="s">
        <v>126</v>
      </c>
      <c r="E22" s="63" t="s">
        <v>126</v>
      </c>
      <c r="F22" s="50" t="s">
        <v>127</v>
      </c>
      <c r="G22" s="50" t="s">
        <v>128</v>
      </c>
      <c r="H22" s="50" t="s">
        <v>127</v>
      </c>
      <c r="I22" s="50" t="s">
        <v>127</v>
      </c>
      <c r="J22" s="63" t="s">
        <v>126</v>
      </c>
      <c r="K22" s="61" t="s">
        <v>37</v>
      </c>
      <c r="L22" s="61" t="s">
        <v>37</v>
      </c>
      <c r="M22" s="197"/>
      <c r="N22" s="61" t="s">
        <v>129</v>
      </c>
      <c r="O22" s="61"/>
      <c r="P22" s="63" t="s">
        <v>126</v>
      </c>
      <c r="Q22" s="63" t="s">
        <v>126</v>
      </c>
      <c r="R22" s="63" t="s">
        <v>126</v>
      </c>
      <c r="S22" s="63" t="s">
        <v>126</v>
      </c>
      <c r="T22" s="63" t="s">
        <v>126</v>
      </c>
      <c r="U22" s="50" t="s">
        <v>130</v>
      </c>
      <c r="V22" s="50" t="s">
        <v>130</v>
      </c>
      <c r="W22" s="50" t="s">
        <v>130</v>
      </c>
      <c r="X22" s="50" t="s">
        <v>130</v>
      </c>
      <c r="Y22" s="50"/>
      <c r="AC22" s="4" t="s">
        <v>131</v>
      </c>
      <c r="AD22" s="4">
        <v>9.81</v>
      </c>
    </row>
    <row r="23" spans="1:34" ht="12" customHeight="1" x14ac:dyDescent="0.45">
      <c r="A23" s="58">
        <v>1</v>
      </c>
      <c r="B23" s="58" t="s">
        <v>132</v>
      </c>
      <c r="C23" s="58">
        <v>0</v>
      </c>
      <c r="D23" s="59">
        <v>0</v>
      </c>
      <c r="E23" s="59">
        <v>0</v>
      </c>
      <c r="F23" s="59">
        <f>D23*$F$18+E23*$F$17</f>
        <v>0</v>
      </c>
      <c r="G23" s="59">
        <f>1.025*9.81*(($F$10+0.76)-C23)+25</f>
        <v>138.22211499999997</v>
      </c>
      <c r="H23" s="59">
        <v>0</v>
      </c>
      <c r="I23" s="59">
        <f>G23*$F$18+H23*$F$17</f>
        <v>152.04432649999998</v>
      </c>
      <c r="J23" s="59">
        <v>355</v>
      </c>
      <c r="K23" s="64">
        <v>0.75</v>
      </c>
      <c r="L23" s="64">
        <v>4</v>
      </c>
      <c r="M23" s="65">
        <v>1</v>
      </c>
      <c r="N23" s="65">
        <v>1.5</v>
      </c>
      <c r="O23" s="65">
        <v>1</v>
      </c>
      <c r="P23" s="65">
        <f>$M$11/ABS(($M$12/(C23-$M$13)))/1000</f>
        <v>184.5964102298075</v>
      </c>
      <c r="Q23" s="65">
        <v>0</v>
      </c>
      <c r="R23" s="65">
        <v>93.006592443904594</v>
      </c>
      <c r="S23" s="60">
        <f>SQRT(P23^2+Q23^2-P23*Q23+3*R23^2)</f>
        <v>245.00308851892274</v>
      </c>
      <c r="T23" s="59">
        <f>MIN(J23/$F$7,1.3*(J23/$F$7-S23))</f>
        <v>101.04143947085494</v>
      </c>
      <c r="U23" s="60">
        <f>14.3*$F$8/SQRT(J23/$F$7)</f>
        <v>3.98004706603921</v>
      </c>
      <c r="V23" s="60">
        <f>15.8*M23*K23*SQRT(I23)/SQRT(T23*O23)</f>
        <v>14.536293982908855</v>
      </c>
      <c r="W23" s="60">
        <f t="shared" ref="W23:W40" si="0">MAX(U23,V23)+N23</f>
        <v>16.036293982908855</v>
      </c>
      <c r="X23" s="169">
        <v>16</v>
      </c>
      <c r="Y23" s="60" t="str">
        <f>IF(MROUND(W23,0.5)&lt;=X23,"OK","N.G")</f>
        <v>OK</v>
      </c>
      <c r="Z23" s="74"/>
      <c r="AC23" s="4" t="s">
        <v>133</v>
      </c>
    </row>
    <row r="24" spans="1:34" ht="12" customHeight="1" x14ac:dyDescent="0.45">
      <c r="A24" s="58">
        <v>2</v>
      </c>
      <c r="B24" s="58" t="s">
        <v>132</v>
      </c>
      <c r="C24" s="58">
        <v>0</v>
      </c>
      <c r="D24" s="59">
        <v>0</v>
      </c>
      <c r="E24" s="59">
        <v>0</v>
      </c>
      <c r="F24" s="59">
        <f t="shared" ref="F24:F85" si="1">D24*$F$18+E24*$F$17</f>
        <v>0</v>
      </c>
      <c r="G24" s="59">
        <f>1.025*9.81*(($F$10+0.76)-C24)+25</f>
        <v>138.22211499999997</v>
      </c>
      <c r="H24" s="59">
        <v>0</v>
      </c>
      <c r="I24" s="59">
        <f>G24*$F$18+H24*$F$17</f>
        <v>152.04432649999998</v>
      </c>
      <c r="J24" s="59">
        <v>355</v>
      </c>
      <c r="K24" s="64">
        <v>0.75</v>
      </c>
      <c r="L24" s="64">
        <v>4</v>
      </c>
      <c r="M24" s="65">
        <v>1</v>
      </c>
      <c r="N24" s="65">
        <v>1.5</v>
      </c>
      <c r="O24" s="65">
        <v>1</v>
      </c>
      <c r="P24" s="65">
        <f t="shared" ref="P24:P70" si="2">$M$11/ABS(($M$12/(C24-$M$13)))/1000</f>
        <v>184.5964102298075</v>
      </c>
      <c r="Q24" s="65">
        <v>0</v>
      </c>
      <c r="R24" s="65">
        <v>85.858201071382894</v>
      </c>
      <c r="S24" s="60">
        <f t="shared" ref="S24" si="3">SQRT(P24^2+Q24^2-P24*Q24+3*R24^2)</f>
        <v>237.04583257963728</v>
      </c>
      <c r="T24" s="59">
        <f>MIN(J24/$F$7,1.3*(J24/$F$7-S24))</f>
        <v>111.38587219192604</v>
      </c>
      <c r="U24" s="60">
        <f t="shared" ref="U24:U85" si="4">14.3*$F$8/SQRT(J24/$F$7)</f>
        <v>3.98004706603921</v>
      </c>
      <c r="V24" s="60">
        <f t="shared" ref="V24:V37" si="5">15.8*M24*K24*SQRT(I24)/SQRT(T24*O24)</f>
        <v>13.844854787813881</v>
      </c>
      <c r="W24" s="60">
        <f t="shared" si="0"/>
        <v>15.344854787813881</v>
      </c>
      <c r="X24" s="169">
        <v>16</v>
      </c>
      <c r="Y24" s="60" t="str">
        <f t="shared" ref="Y24:Y85" si="6">IF(MROUND(W24,0.5)&lt;=X24,"OK","N.G")</f>
        <v>OK</v>
      </c>
      <c r="AC24" s="4" t="s">
        <v>134</v>
      </c>
      <c r="AD24" s="4">
        <f>MAX(8/5-3/8*($F$10/2),0.05)</f>
        <v>0.05</v>
      </c>
    </row>
    <row r="25" spans="1:34" ht="12" customHeight="1" x14ac:dyDescent="0.45">
      <c r="A25" s="58">
        <v>3</v>
      </c>
      <c r="B25" s="58" t="s">
        <v>132</v>
      </c>
      <c r="C25" s="58">
        <v>0</v>
      </c>
      <c r="D25" s="59">
        <v>0</v>
      </c>
      <c r="E25" s="59">
        <v>0</v>
      </c>
      <c r="F25" s="59">
        <f t="shared" si="1"/>
        <v>0</v>
      </c>
      <c r="G25" s="59">
        <f>1.025*9.81*(($F$10+0.76)-C25)+25</f>
        <v>138.22211499999997</v>
      </c>
      <c r="H25" s="59">
        <v>0</v>
      </c>
      <c r="I25" s="59">
        <f t="shared" ref="I25:I86" si="7">G25*$F$18+H25*$F$17</f>
        <v>152.04432649999998</v>
      </c>
      <c r="J25" s="59">
        <v>355</v>
      </c>
      <c r="K25" s="64">
        <v>0.75</v>
      </c>
      <c r="L25" s="64">
        <v>4</v>
      </c>
      <c r="M25" s="65">
        <v>1</v>
      </c>
      <c r="N25" s="65">
        <v>1.5</v>
      </c>
      <c r="O25" s="65">
        <v>1</v>
      </c>
      <c r="P25" s="65">
        <f t="shared" si="2"/>
        <v>184.5964102298075</v>
      </c>
      <c r="Q25" s="65">
        <v>0</v>
      </c>
      <c r="R25" s="65">
        <v>68.266169252794697</v>
      </c>
      <c r="S25" s="60">
        <f>SQRT(P25^2+Q25^2-P25*Q25+3*R25^2)</f>
        <v>219.21825713905542</v>
      </c>
      <c r="T25" s="59">
        <f>MIN(J25/$F$7,1.3*(J25/$F$7-S25))</f>
        <v>134.56172026468246</v>
      </c>
      <c r="U25" s="60">
        <f t="shared" si="4"/>
        <v>3.98004706603921</v>
      </c>
      <c r="V25" s="60">
        <f t="shared" si="5"/>
        <v>12.596291274634217</v>
      </c>
      <c r="W25" s="60">
        <f t="shared" si="0"/>
        <v>14.096291274634217</v>
      </c>
      <c r="X25" s="169">
        <v>16</v>
      </c>
      <c r="Y25" s="60" t="str">
        <f t="shared" si="6"/>
        <v>OK</v>
      </c>
      <c r="AC25" s="4" t="s">
        <v>135</v>
      </c>
      <c r="AD25" s="4">
        <v>0</v>
      </c>
    </row>
    <row r="26" spans="1:34" ht="12" customHeight="1" x14ac:dyDescent="0.45">
      <c r="A26" s="58">
        <v>4</v>
      </c>
      <c r="B26" s="58" t="s">
        <v>132</v>
      </c>
      <c r="C26" s="58">
        <v>0</v>
      </c>
      <c r="D26" s="59">
        <v>0</v>
      </c>
      <c r="E26" s="59">
        <v>0</v>
      </c>
      <c r="F26" s="59">
        <f t="shared" si="1"/>
        <v>0</v>
      </c>
      <c r="G26" s="59">
        <f>1.025*9.81*(($F$10+0.76)-C26)+25</f>
        <v>138.22211499999997</v>
      </c>
      <c r="H26" s="59">
        <v>0</v>
      </c>
      <c r="I26" s="59">
        <f t="shared" si="7"/>
        <v>152.04432649999998</v>
      </c>
      <c r="J26" s="59">
        <v>355</v>
      </c>
      <c r="K26" s="64">
        <v>0.75</v>
      </c>
      <c r="L26" s="64">
        <v>4</v>
      </c>
      <c r="M26" s="65">
        <v>1</v>
      </c>
      <c r="N26" s="65">
        <v>1.5</v>
      </c>
      <c r="O26" s="65">
        <v>1</v>
      </c>
      <c r="P26" s="65">
        <f t="shared" si="2"/>
        <v>184.5964102298075</v>
      </c>
      <c r="Q26" s="65">
        <v>0</v>
      </c>
      <c r="R26" s="65">
        <v>61.117777880272897</v>
      </c>
      <c r="S26" s="60">
        <f t="shared" ref="S26:S87" si="8">SQRT(P26^2+Q26^2-P26*Q26+3*R26^2)</f>
        <v>212.79563667706748</v>
      </c>
      <c r="T26" s="59">
        <f>MIN(J26/$F$7,1.3*(J26/$F$7-S26))</f>
        <v>142.91112686526679</v>
      </c>
      <c r="U26" s="60">
        <f t="shared" si="4"/>
        <v>3.98004706603921</v>
      </c>
      <c r="V26" s="60">
        <f t="shared" si="5"/>
        <v>12.222792473638776</v>
      </c>
      <c r="W26" s="60">
        <f t="shared" si="0"/>
        <v>13.722792473638776</v>
      </c>
      <c r="X26" s="169">
        <v>16</v>
      </c>
      <c r="Y26" s="60" t="str">
        <f t="shared" si="6"/>
        <v>OK</v>
      </c>
      <c r="AC26" s="4" t="s">
        <v>136</v>
      </c>
      <c r="AD26" s="76">
        <f>1-(AD25/15)^2.5</f>
        <v>1</v>
      </c>
    </row>
    <row r="27" spans="1:34" ht="12" customHeight="1" x14ac:dyDescent="0.45">
      <c r="A27" s="58">
        <v>5</v>
      </c>
      <c r="B27" s="58" t="s">
        <v>132</v>
      </c>
      <c r="C27" s="58">
        <v>0</v>
      </c>
      <c r="D27" s="59">
        <v>0</v>
      </c>
      <c r="E27" s="59">
        <v>0</v>
      </c>
      <c r="F27" s="59">
        <f t="shared" si="1"/>
        <v>0</v>
      </c>
      <c r="G27" s="59">
        <f>1.025*9.81*(($F$10+0.76)-C27)+25</f>
        <v>138.22211499999997</v>
      </c>
      <c r="H27" s="59">
        <v>0</v>
      </c>
      <c r="I27" s="59">
        <f t="shared" si="7"/>
        <v>152.04432649999998</v>
      </c>
      <c r="J27" s="59">
        <v>355</v>
      </c>
      <c r="K27" s="64">
        <v>0.75</v>
      </c>
      <c r="L27" s="64">
        <v>4</v>
      </c>
      <c r="M27" s="65">
        <v>1</v>
      </c>
      <c r="N27" s="65">
        <v>1.5</v>
      </c>
      <c r="O27" s="65">
        <v>1</v>
      </c>
      <c r="P27" s="65">
        <f t="shared" si="2"/>
        <v>184.5964102298075</v>
      </c>
      <c r="Q27" s="65">
        <v>0</v>
      </c>
      <c r="R27" s="65">
        <v>43.5257460616846</v>
      </c>
      <c r="S27" s="60">
        <f t="shared" si="8"/>
        <v>199.39735800759783</v>
      </c>
      <c r="T27" s="59">
        <f>MIN(J27/$F$7,1.3*(J27/$F$7-S27))</f>
        <v>160.32888913557733</v>
      </c>
      <c r="U27" s="60">
        <f t="shared" si="4"/>
        <v>3.98004706603921</v>
      </c>
      <c r="V27" s="60">
        <f t="shared" si="5"/>
        <v>11.539781033355485</v>
      </c>
      <c r="W27" s="60">
        <f t="shared" si="0"/>
        <v>13.039781033355485</v>
      </c>
      <c r="X27" s="169">
        <v>16</v>
      </c>
      <c r="Y27" s="60" t="str">
        <f t="shared" si="6"/>
        <v>OK</v>
      </c>
      <c r="AC27" s="4" t="s">
        <v>137</v>
      </c>
      <c r="AD27" s="76">
        <v>1</v>
      </c>
    </row>
    <row r="28" spans="1:34" ht="12" customHeight="1" x14ac:dyDescent="0.45">
      <c r="A28" s="58">
        <v>6</v>
      </c>
      <c r="B28" s="58" t="s">
        <v>132</v>
      </c>
      <c r="C28" s="58">
        <v>0</v>
      </c>
      <c r="D28" s="59">
        <v>0</v>
      </c>
      <c r="E28" s="59">
        <v>0</v>
      </c>
      <c r="F28" s="59">
        <f t="shared" si="1"/>
        <v>0</v>
      </c>
      <c r="G28" s="59">
        <f t="shared" ref="G28:G70" si="9">1.025*9.81*(($F$10+0.76)-C28)+25</f>
        <v>138.22211499999997</v>
      </c>
      <c r="H28" s="59">
        <v>0</v>
      </c>
      <c r="I28" s="59">
        <f t="shared" si="7"/>
        <v>152.04432649999998</v>
      </c>
      <c r="J28" s="59">
        <v>355</v>
      </c>
      <c r="K28" s="64">
        <v>0.75</v>
      </c>
      <c r="L28" s="64">
        <v>4</v>
      </c>
      <c r="M28" s="65">
        <v>1</v>
      </c>
      <c r="N28" s="65">
        <v>1.5</v>
      </c>
      <c r="O28" s="65">
        <v>1</v>
      </c>
      <c r="P28" s="65">
        <f t="shared" si="2"/>
        <v>184.5964102298075</v>
      </c>
      <c r="Q28" s="65">
        <v>0</v>
      </c>
      <c r="R28" s="65">
        <v>36.3773546891628</v>
      </c>
      <c r="S28" s="60">
        <f t="shared" si="8"/>
        <v>195.05325035044876</v>
      </c>
      <c r="T28" s="59">
        <f t="shared" ref="T28:T38" si="10">MIN(J28/$F$7,1.3*(J28/$F$7-S28))</f>
        <v>165.97622908987111</v>
      </c>
      <c r="U28" s="60">
        <f t="shared" si="4"/>
        <v>3.98004706603921</v>
      </c>
      <c r="V28" s="60">
        <f t="shared" si="5"/>
        <v>11.341761571964101</v>
      </c>
      <c r="W28" s="60">
        <f t="shared" si="0"/>
        <v>12.841761571964101</v>
      </c>
      <c r="X28" s="169">
        <v>16</v>
      </c>
      <c r="Y28" s="60" t="str">
        <f t="shared" si="6"/>
        <v>OK</v>
      </c>
      <c r="AC28" s="4" t="s">
        <v>138</v>
      </c>
      <c r="AD28" s="4">
        <f>6*1.025*9.81*MAX(8/5-3/8*($F$10/2),0.05)*1*1</f>
        <v>3.016575</v>
      </c>
    </row>
    <row r="29" spans="1:34" ht="12" customHeight="1" x14ac:dyDescent="0.45">
      <c r="A29" s="58">
        <v>7</v>
      </c>
      <c r="B29" s="58" t="s">
        <v>132</v>
      </c>
      <c r="C29" s="58">
        <v>0</v>
      </c>
      <c r="D29" s="59">
        <v>0</v>
      </c>
      <c r="E29" s="59">
        <v>0</v>
      </c>
      <c r="F29" s="59">
        <f t="shared" si="1"/>
        <v>0</v>
      </c>
      <c r="G29" s="59">
        <f t="shared" si="9"/>
        <v>138.22211499999997</v>
      </c>
      <c r="H29" s="59">
        <v>0</v>
      </c>
      <c r="I29" s="59">
        <f t="shared" si="7"/>
        <v>152.04432649999998</v>
      </c>
      <c r="J29" s="59">
        <v>355</v>
      </c>
      <c r="K29" s="64">
        <v>0.75</v>
      </c>
      <c r="L29" s="64">
        <v>4</v>
      </c>
      <c r="M29" s="65">
        <v>1</v>
      </c>
      <c r="N29" s="65">
        <v>1.5</v>
      </c>
      <c r="O29" s="65">
        <v>1</v>
      </c>
      <c r="P29" s="65">
        <f t="shared" si="2"/>
        <v>184.5964102298075</v>
      </c>
      <c r="Q29" s="65">
        <v>0</v>
      </c>
      <c r="R29" s="65">
        <v>18.785322870574799</v>
      </c>
      <c r="S29" s="60">
        <f t="shared" si="8"/>
        <v>187.44199032177022</v>
      </c>
      <c r="T29" s="59">
        <f t="shared" si="10"/>
        <v>175.87086712715322</v>
      </c>
      <c r="U29" s="60">
        <f t="shared" si="4"/>
        <v>3.98004706603921</v>
      </c>
      <c r="V29" s="60">
        <f t="shared" si="5"/>
        <v>11.018094870169683</v>
      </c>
      <c r="W29" s="60">
        <f t="shared" si="0"/>
        <v>12.518094870169683</v>
      </c>
      <c r="X29" s="169">
        <v>16</v>
      </c>
      <c r="Y29" s="60" t="str">
        <f>IF(MROUND(W29,0.5)&lt;=X29,"OK","N.G")</f>
        <v>OK</v>
      </c>
    </row>
    <row r="30" spans="1:34" ht="12" customHeight="1" x14ac:dyDescent="0.45">
      <c r="A30" s="58">
        <v>8</v>
      </c>
      <c r="B30" s="58" t="s">
        <v>132</v>
      </c>
      <c r="C30" s="58">
        <v>0</v>
      </c>
      <c r="D30" s="59">
        <v>0</v>
      </c>
      <c r="E30" s="59">
        <v>0</v>
      </c>
      <c r="F30" s="59">
        <f t="shared" si="1"/>
        <v>0</v>
      </c>
      <c r="G30" s="59">
        <f t="shared" si="9"/>
        <v>138.22211499999997</v>
      </c>
      <c r="H30" s="59">
        <v>0</v>
      </c>
      <c r="I30" s="59">
        <f t="shared" si="7"/>
        <v>152.04432649999998</v>
      </c>
      <c r="J30" s="59">
        <v>355</v>
      </c>
      <c r="K30" s="64">
        <v>0.75</v>
      </c>
      <c r="L30" s="64">
        <v>4</v>
      </c>
      <c r="M30" s="65">
        <v>1</v>
      </c>
      <c r="N30" s="65">
        <v>1.5</v>
      </c>
      <c r="O30" s="65">
        <v>1</v>
      </c>
      <c r="P30" s="65">
        <f t="shared" si="2"/>
        <v>184.5964102298075</v>
      </c>
      <c r="Q30" s="65">
        <v>0</v>
      </c>
      <c r="R30" s="65">
        <v>11.6369314980528</v>
      </c>
      <c r="S30" s="60">
        <f t="shared" si="8"/>
        <v>185.69353568124686</v>
      </c>
      <c r="T30" s="59">
        <f t="shared" si="10"/>
        <v>178.1438581598336</v>
      </c>
      <c r="U30" s="60">
        <f t="shared" si="4"/>
        <v>3.98004706603921</v>
      </c>
      <c r="V30" s="60">
        <f t="shared" si="5"/>
        <v>10.947577618208163</v>
      </c>
      <c r="W30" s="60">
        <f t="shared" si="0"/>
        <v>12.447577618208163</v>
      </c>
      <c r="X30" s="169">
        <v>16</v>
      </c>
      <c r="Y30" s="60" t="str">
        <f t="shared" si="6"/>
        <v>OK</v>
      </c>
    </row>
    <row r="31" spans="1:34" ht="12" customHeight="1" x14ac:dyDescent="0.45">
      <c r="A31" s="58">
        <v>9</v>
      </c>
      <c r="B31" s="58" t="s">
        <v>132</v>
      </c>
      <c r="C31" s="58">
        <v>0</v>
      </c>
      <c r="D31" s="59">
        <v>0</v>
      </c>
      <c r="E31" s="59">
        <v>0</v>
      </c>
      <c r="F31" s="59">
        <f t="shared" si="1"/>
        <v>0</v>
      </c>
      <c r="G31" s="59">
        <f t="shared" si="9"/>
        <v>138.22211499999997</v>
      </c>
      <c r="H31" s="59">
        <v>0</v>
      </c>
      <c r="I31" s="59">
        <f t="shared" si="7"/>
        <v>152.04432649999998</v>
      </c>
      <c r="J31" s="59">
        <v>355</v>
      </c>
      <c r="K31" s="64">
        <v>0.75</v>
      </c>
      <c r="L31" s="64">
        <v>4</v>
      </c>
      <c r="M31" s="65">
        <v>1</v>
      </c>
      <c r="N31" s="65">
        <v>1.5</v>
      </c>
      <c r="O31" s="65">
        <v>1</v>
      </c>
      <c r="P31" s="65">
        <f t="shared" si="2"/>
        <v>184.5964102298075</v>
      </c>
      <c r="Q31" s="65">
        <v>0</v>
      </c>
      <c r="R31" s="65">
        <v>13.1034916930573</v>
      </c>
      <c r="S31" s="60">
        <f t="shared" si="8"/>
        <v>185.98639507604165</v>
      </c>
      <c r="T31" s="59">
        <f t="shared" si="10"/>
        <v>177.76314094660037</v>
      </c>
      <c r="U31" s="60">
        <f t="shared" si="4"/>
        <v>3.98004706603921</v>
      </c>
      <c r="V31" s="60">
        <f t="shared" si="5"/>
        <v>10.959294619778738</v>
      </c>
      <c r="W31" s="60">
        <f t="shared" si="0"/>
        <v>12.459294619778738</v>
      </c>
      <c r="X31" s="169">
        <v>16</v>
      </c>
      <c r="Y31" s="60" t="str">
        <f t="shared" si="6"/>
        <v>OK</v>
      </c>
      <c r="AD31" s="4">
        <f>0.5*199.5/355</f>
        <v>0.28098591549295776</v>
      </c>
    </row>
    <row r="32" spans="1:34" ht="12" customHeight="1" x14ac:dyDescent="0.45">
      <c r="A32" s="58">
        <v>10</v>
      </c>
      <c r="B32" s="58" t="s">
        <v>132</v>
      </c>
      <c r="C32" s="58">
        <v>0</v>
      </c>
      <c r="D32" s="59">
        <v>0</v>
      </c>
      <c r="E32" s="59">
        <v>0</v>
      </c>
      <c r="F32" s="59">
        <f t="shared" si="1"/>
        <v>0</v>
      </c>
      <c r="G32" s="59">
        <f t="shared" si="9"/>
        <v>138.22211499999997</v>
      </c>
      <c r="H32" s="59">
        <v>0</v>
      </c>
      <c r="I32" s="59">
        <f t="shared" si="7"/>
        <v>152.04432649999998</v>
      </c>
      <c r="J32" s="59">
        <v>355</v>
      </c>
      <c r="K32" s="64">
        <v>0.75</v>
      </c>
      <c r="L32" s="64">
        <v>4</v>
      </c>
      <c r="M32" s="65">
        <v>1</v>
      </c>
      <c r="N32" s="65">
        <v>1.5</v>
      </c>
      <c r="O32" s="65">
        <v>1</v>
      </c>
      <c r="P32" s="65">
        <f t="shared" si="2"/>
        <v>184.5964102298075</v>
      </c>
      <c r="Q32" s="65">
        <v>0</v>
      </c>
      <c r="R32" s="65">
        <v>20.251883065578902</v>
      </c>
      <c r="S32" s="60">
        <f t="shared" si="8"/>
        <v>187.89957682985087</v>
      </c>
      <c r="T32" s="59">
        <f t="shared" si="10"/>
        <v>175.27600466664836</v>
      </c>
      <c r="U32" s="60">
        <f t="shared" si="4"/>
        <v>3.98004706603921</v>
      </c>
      <c r="V32" s="60">
        <f t="shared" si="5"/>
        <v>11.036775976573617</v>
      </c>
      <c r="W32" s="60">
        <f t="shared" si="0"/>
        <v>12.536775976573617</v>
      </c>
      <c r="X32" s="169">
        <v>16</v>
      </c>
      <c r="Y32" s="60" t="str">
        <f t="shared" si="6"/>
        <v>OK</v>
      </c>
      <c r="AD32" s="4">
        <f>0.9-AD31</f>
        <v>0.61901408450704221</v>
      </c>
    </row>
    <row r="33" spans="1:30" ht="12" customHeight="1" x14ac:dyDescent="0.45">
      <c r="A33" s="58">
        <v>11</v>
      </c>
      <c r="B33" s="58" t="s">
        <v>132</v>
      </c>
      <c r="C33" s="58">
        <v>0</v>
      </c>
      <c r="D33" s="59">
        <v>0</v>
      </c>
      <c r="E33" s="59">
        <v>0</v>
      </c>
      <c r="F33" s="59">
        <f t="shared" si="1"/>
        <v>0</v>
      </c>
      <c r="G33" s="59">
        <f t="shared" si="9"/>
        <v>138.22211499999997</v>
      </c>
      <c r="H33" s="59">
        <v>0</v>
      </c>
      <c r="I33" s="59">
        <f t="shared" si="7"/>
        <v>152.04432649999998</v>
      </c>
      <c r="J33" s="59">
        <v>355</v>
      </c>
      <c r="K33" s="64">
        <v>0.75</v>
      </c>
      <c r="L33" s="64">
        <v>4</v>
      </c>
      <c r="M33" s="65">
        <v>1</v>
      </c>
      <c r="N33" s="65">
        <v>1.5</v>
      </c>
      <c r="O33" s="65">
        <v>1</v>
      </c>
      <c r="P33" s="65">
        <f t="shared" si="2"/>
        <v>184.5964102298075</v>
      </c>
      <c r="Q33" s="65">
        <v>0</v>
      </c>
      <c r="R33" s="65">
        <v>37.843914884167198</v>
      </c>
      <c r="S33" s="60">
        <f t="shared" si="8"/>
        <v>195.8885406321964</v>
      </c>
      <c r="T33" s="59">
        <f t="shared" si="10"/>
        <v>164.8903517235992</v>
      </c>
      <c r="U33" s="60">
        <f t="shared" si="4"/>
        <v>3.98004706603921</v>
      </c>
      <c r="V33" s="60">
        <f t="shared" si="5"/>
        <v>11.379045598390899</v>
      </c>
      <c r="W33" s="60">
        <f t="shared" si="0"/>
        <v>12.879045598390899</v>
      </c>
      <c r="X33" s="169">
        <v>16</v>
      </c>
      <c r="Y33" s="60" t="str">
        <f t="shared" si="6"/>
        <v>OK</v>
      </c>
      <c r="AD33" s="4">
        <f>AD32*355</f>
        <v>219.74999999999997</v>
      </c>
    </row>
    <row r="34" spans="1:30" ht="12" customHeight="1" x14ac:dyDescent="0.45">
      <c r="A34" s="58">
        <v>12</v>
      </c>
      <c r="B34" s="58" t="s">
        <v>132</v>
      </c>
      <c r="C34" s="58">
        <v>0</v>
      </c>
      <c r="D34" s="59">
        <v>0</v>
      </c>
      <c r="E34" s="59">
        <v>0</v>
      </c>
      <c r="F34" s="59">
        <f t="shared" si="1"/>
        <v>0</v>
      </c>
      <c r="G34" s="59">
        <f t="shared" si="9"/>
        <v>138.22211499999997</v>
      </c>
      <c r="H34" s="59">
        <v>0</v>
      </c>
      <c r="I34" s="59">
        <f t="shared" si="7"/>
        <v>152.04432649999998</v>
      </c>
      <c r="J34" s="59">
        <v>355</v>
      </c>
      <c r="K34" s="64">
        <v>0.75</v>
      </c>
      <c r="L34" s="64">
        <v>4</v>
      </c>
      <c r="M34" s="65">
        <v>1</v>
      </c>
      <c r="N34" s="65">
        <v>1.5</v>
      </c>
      <c r="O34" s="65">
        <v>1</v>
      </c>
      <c r="P34" s="65">
        <f t="shared" si="2"/>
        <v>184.5964102298075</v>
      </c>
      <c r="Q34" s="65">
        <v>0</v>
      </c>
      <c r="R34" s="65">
        <v>44.992306256688998</v>
      </c>
      <c r="S34" s="60">
        <f t="shared" si="8"/>
        <v>200.37154872041705</v>
      </c>
      <c r="T34" s="59">
        <f t="shared" si="10"/>
        <v>159.06244120891233</v>
      </c>
      <c r="U34" s="60">
        <f t="shared" si="4"/>
        <v>3.98004706603921</v>
      </c>
      <c r="V34" s="60">
        <f t="shared" si="5"/>
        <v>11.585629559341211</v>
      </c>
      <c r="W34" s="60">
        <f t="shared" si="0"/>
        <v>13.085629559341211</v>
      </c>
      <c r="X34" s="169">
        <v>16</v>
      </c>
      <c r="Y34" s="60" t="str">
        <f t="shared" si="6"/>
        <v>OK</v>
      </c>
    </row>
    <row r="35" spans="1:30" ht="12" customHeight="1" x14ac:dyDescent="0.45">
      <c r="A35" s="58">
        <v>13</v>
      </c>
      <c r="B35" s="58" t="s">
        <v>132</v>
      </c>
      <c r="C35" s="58">
        <v>0</v>
      </c>
      <c r="D35" s="59">
        <v>0</v>
      </c>
      <c r="E35" s="59">
        <v>0</v>
      </c>
      <c r="F35" s="59">
        <f t="shared" si="1"/>
        <v>0</v>
      </c>
      <c r="G35" s="59">
        <f t="shared" si="9"/>
        <v>138.22211499999997</v>
      </c>
      <c r="H35" s="59">
        <v>0</v>
      </c>
      <c r="I35" s="59">
        <f t="shared" si="7"/>
        <v>152.04432649999998</v>
      </c>
      <c r="J35" s="59">
        <v>355</v>
      </c>
      <c r="K35" s="64">
        <v>0.75</v>
      </c>
      <c r="L35" s="64">
        <v>4</v>
      </c>
      <c r="M35" s="65">
        <v>1</v>
      </c>
      <c r="N35" s="65">
        <v>1.5</v>
      </c>
      <c r="O35" s="65">
        <v>1</v>
      </c>
      <c r="P35" s="65">
        <f t="shared" si="2"/>
        <v>184.5964102298075</v>
      </c>
      <c r="Q35" s="65">
        <v>0</v>
      </c>
      <c r="R35" s="65">
        <v>62.584338075277103</v>
      </c>
      <c r="S35" s="60">
        <f t="shared" si="8"/>
        <v>214.07062569790634</v>
      </c>
      <c r="T35" s="59">
        <f t="shared" si="10"/>
        <v>141.25364113817628</v>
      </c>
      <c r="U35" s="60">
        <f t="shared" si="4"/>
        <v>3.98004706603921</v>
      </c>
      <c r="V35" s="60">
        <f t="shared" si="5"/>
        <v>12.294295124530853</v>
      </c>
      <c r="W35" s="60">
        <f t="shared" si="0"/>
        <v>13.794295124530853</v>
      </c>
      <c r="X35" s="169">
        <v>16</v>
      </c>
      <c r="Y35" s="60" t="str">
        <f t="shared" si="6"/>
        <v>OK</v>
      </c>
    </row>
    <row r="36" spans="1:30" ht="12" customHeight="1" x14ac:dyDescent="0.45">
      <c r="A36" s="58">
        <v>14</v>
      </c>
      <c r="B36" s="58" t="s">
        <v>132</v>
      </c>
      <c r="C36" s="58">
        <v>0</v>
      </c>
      <c r="D36" s="59">
        <v>0</v>
      </c>
      <c r="E36" s="59">
        <v>0</v>
      </c>
      <c r="F36" s="59">
        <f t="shared" si="1"/>
        <v>0</v>
      </c>
      <c r="G36" s="59">
        <f t="shared" si="9"/>
        <v>138.22211499999997</v>
      </c>
      <c r="H36" s="59">
        <v>0</v>
      </c>
      <c r="I36" s="59">
        <f t="shared" si="7"/>
        <v>152.04432649999998</v>
      </c>
      <c r="J36" s="59">
        <v>355</v>
      </c>
      <c r="K36" s="64">
        <v>0.75</v>
      </c>
      <c r="L36" s="64">
        <v>4</v>
      </c>
      <c r="M36" s="65">
        <v>1</v>
      </c>
      <c r="N36" s="65">
        <v>1.5</v>
      </c>
      <c r="O36" s="65">
        <v>1</v>
      </c>
      <c r="P36" s="65">
        <f t="shared" si="2"/>
        <v>184.5964102298075</v>
      </c>
      <c r="Q36" s="65">
        <v>0</v>
      </c>
      <c r="R36" s="65">
        <v>69.732729447798903</v>
      </c>
      <c r="S36" s="60">
        <f t="shared" si="8"/>
        <v>220.59872016503436</v>
      </c>
      <c r="T36" s="59">
        <f t="shared" si="10"/>
        <v>132.76711833090982</v>
      </c>
      <c r="U36" s="60">
        <f t="shared" si="4"/>
        <v>3.98004706603921</v>
      </c>
      <c r="V36" s="60">
        <f t="shared" si="5"/>
        <v>12.681137026848386</v>
      </c>
      <c r="W36" s="60">
        <f t="shared" si="0"/>
        <v>14.181137026848386</v>
      </c>
      <c r="X36" s="169">
        <v>16</v>
      </c>
      <c r="Y36" s="60" t="str">
        <f t="shared" si="6"/>
        <v>OK</v>
      </c>
    </row>
    <row r="37" spans="1:30" ht="12" customHeight="1" x14ac:dyDescent="0.45">
      <c r="A37" s="58">
        <v>15</v>
      </c>
      <c r="B37" s="58" t="s">
        <v>132</v>
      </c>
      <c r="C37" s="58">
        <v>0</v>
      </c>
      <c r="D37" s="59">
        <v>0</v>
      </c>
      <c r="E37" s="59">
        <v>0</v>
      </c>
      <c r="F37" s="59">
        <f t="shared" si="1"/>
        <v>0</v>
      </c>
      <c r="G37" s="59">
        <f t="shared" si="9"/>
        <v>138.22211499999997</v>
      </c>
      <c r="H37" s="59">
        <v>0</v>
      </c>
      <c r="I37" s="59">
        <f t="shared" si="7"/>
        <v>152.04432649999998</v>
      </c>
      <c r="J37" s="59">
        <v>355</v>
      </c>
      <c r="K37" s="64">
        <v>0.75</v>
      </c>
      <c r="L37" s="64">
        <v>4</v>
      </c>
      <c r="M37" s="65">
        <v>1</v>
      </c>
      <c r="N37" s="65">
        <v>1.5</v>
      </c>
      <c r="O37" s="65">
        <v>1</v>
      </c>
      <c r="P37" s="65">
        <f t="shared" si="2"/>
        <v>184.5964102298075</v>
      </c>
      <c r="Q37" s="65">
        <v>0</v>
      </c>
      <c r="R37" s="65">
        <v>87.324758550144196</v>
      </c>
      <c r="S37" s="60">
        <f t="shared" si="8"/>
        <v>238.6475959176089</v>
      </c>
      <c r="T37" s="59">
        <f t="shared" si="10"/>
        <v>109.30357985256293</v>
      </c>
      <c r="U37" s="60">
        <f t="shared" si="4"/>
        <v>3.98004706603921</v>
      </c>
      <c r="V37" s="60">
        <f t="shared" si="5"/>
        <v>13.976108610410122</v>
      </c>
      <c r="W37" s="60">
        <f t="shared" si="0"/>
        <v>15.476108610410122</v>
      </c>
      <c r="X37" s="169">
        <v>16</v>
      </c>
      <c r="Y37" s="60" t="str">
        <f t="shared" si="6"/>
        <v>OK</v>
      </c>
    </row>
    <row r="38" spans="1:30" ht="12" customHeight="1" x14ac:dyDescent="0.45">
      <c r="A38" s="58">
        <v>16</v>
      </c>
      <c r="B38" s="58" t="s">
        <v>132</v>
      </c>
      <c r="C38" s="58">
        <v>0</v>
      </c>
      <c r="D38" s="59">
        <v>0</v>
      </c>
      <c r="E38" s="59">
        <v>0</v>
      </c>
      <c r="F38" s="59">
        <f t="shared" si="1"/>
        <v>0</v>
      </c>
      <c r="G38" s="59">
        <f t="shared" si="9"/>
        <v>138.22211499999997</v>
      </c>
      <c r="H38" s="59">
        <v>0</v>
      </c>
      <c r="I38" s="59">
        <f t="shared" si="7"/>
        <v>152.04432649999998</v>
      </c>
      <c r="J38" s="59">
        <v>355</v>
      </c>
      <c r="K38" s="64">
        <v>0.75</v>
      </c>
      <c r="L38" s="64">
        <v>4</v>
      </c>
      <c r="M38" s="65">
        <v>1</v>
      </c>
      <c r="N38" s="65">
        <v>1.5</v>
      </c>
      <c r="O38" s="65">
        <v>1</v>
      </c>
      <c r="P38" s="65">
        <f t="shared" si="2"/>
        <v>184.5964102298075</v>
      </c>
      <c r="Q38" s="65">
        <v>0</v>
      </c>
      <c r="R38" s="65">
        <v>94.473147206423207</v>
      </c>
      <c r="S38" s="60">
        <f t="shared" si="8"/>
        <v>246.68068691932677</v>
      </c>
      <c r="T38" s="59">
        <f t="shared" si="10"/>
        <v>98.860561550329692</v>
      </c>
      <c r="U38" s="60">
        <f t="shared" si="4"/>
        <v>3.98004706603921</v>
      </c>
      <c r="V38" s="60">
        <f>15.8*M38*K38*SQRT(I38)/SQRT(T38*O38)</f>
        <v>14.695755690283111</v>
      </c>
      <c r="W38" s="60">
        <f t="shared" si="0"/>
        <v>16.195755690283111</v>
      </c>
      <c r="X38" s="169">
        <v>16</v>
      </c>
      <c r="Y38" s="60" t="str">
        <f t="shared" si="6"/>
        <v>OK</v>
      </c>
    </row>
    <row r="39" spans="1:30" ht="12" customHeight="1" x14ac:dyDescent="0.3">
      <c r="A39" s="82">
        <v>17</v>
      </c>
      <c r="B39" s="82" t="s">
        <v>182</v>
      </c>
      <c r="C39" s="82">
        <v>0</v>
      </c>
      <c r="D39" s="83">
        <v>0</v>
      </c>
      <c r="E39" s="83">
        <v>0</v>
      </c>
      <c r="F39" s="83">
        <f t="shared" si="1"/>
        <v>0</v>
      </c>
      <c r="G39" s="83">
        <f t="shared" si="9"/>
        <v>138.22211499999997</v>
      </c>
      <c r="H39" s="83">
        <v>0</v>
      </c>
      <c r="I39" s="83">
        <f t="shared" si="7"/>
        <v>152.04432649999998</v>
      </c>
      <c r="J39" s="83">
        <v>355</v>
      </c>
      <c r="K39" s="84">
        <v>0.7</v>
      </c>
      <c r="L39" s="84">
        <v>4</v>
      </c>
      <c r="M39" s="85">
        <v>1</v>
      </c>
      <c r="N39" s="85">
        <v>1.5</v>
      </c>
      <c r="O39" s="85">
        <v>1</v>
      </c>
      <c r="P39" s="85">
        <f>$M$11/ABS(($M$12/(C39-$M$13)))/1000</f>
        <v>184.5964102298075</v>
      </c>
      <c r="Q39" s="85">
        <v>0</v>
      </c>
      <c r="R39" s="85">
        <v>105.222523934292</v>
      </c>
      <c r="S39" s="86">
        <f>SQRT(P39^2+Q39^2-P39*Q39+3*R39^2)</f>
        <v>259.40542264771437</v>
      </c>
      <c r="T39" s="83">
        <f>MIN(J39/$F$7,1.3*(J39/$F$7-S39))</f>
        <v>82.318405103425818</v>
      </c>
      <c r="U39" s="86">
        <f>14.3*$F$8/SQRT(J39/$F$7)</f>
        <v>3.98004706603921</v>
      </c>
      <c r="V39" s="86">
        <f>15.8*M39*K39*SQRT(I39)/SQRT(T39*O39)</f>
        <v>15.031134565198045</v>
      </c>
      <c r="W39" s="86">
        <f t="shared" si="0"/>
        <v>16.531134565198045</v>
      </c>
      <c r="X39" s="164" ph="1">
        <v>16.5</v>
      </c>
      <c r="Y39" s="86" t="str">
        <f t="shared" si="6"/>
        <v>OK</v>
      </c>
      <c r="Z39" s="74"/>
      <c r="AA39" s="81"/>
      <c r="AB39" s="81"/>
    </row>
    <row r="40" spans="1:30" ht="12" customHeight="1" x14ac:dyDescent="0.3">
      <c r="A40" s="82">
        <v>18</v>
      </c>
      <c r="B40" s="82" t="s">
        <v>182</v>
      </c>
      <c r="C40" s="82">
        <v>0.35000001662410801</v>
      </c>
      <c r="D40" s="83">
        <v>0</v>
      </c>
      <c r="E40" s="83">
        <v>0</v>
      </c>
      <c r="F40" s="83">
        <f t="shared" si="1"/>
        <v>0</v>
      </c>
      <c r="G40" s="83">
        <f t="shared" si="9"/>
        <v>134.70277733284041</v>
      </c>
      <c r="H40" s="83">
        <v>0</v>
      </c>
      <c r="I40" s="83">
        <f t="shared" si="7"/>
        <v>148.17305506612448</v>
      </c>
      <c r="J40" s="83">
        <v>355</v>
      </c>
      <c r="K40" s="84">
        <v>0.7</v>
      </c>
      <c r="L40" s="84">
        <v>4</v>
      </c>
      <c r="M40" s="85">
        <v>1</v>
      </c>
      <c r="N40" s="85">
        <v>1.5</v>
      </c>
      <c r="O40" s="85">
        <v>1</v>
      </c>
      <c r="P40" s="85">
        <f t="shared" si="2"/>
        <v>167.03013871018186</v>
      </c>
      <c r="Q40" s="85">
        <v>0</v>
      </c>
      <c r="R40" s="85">
        <v>110.944690612324</v>
      </c>
      <c r="S40" s="86">
        <f t="shared" si="8"/>
        <v>254.60801315499768</v>
      </c>
      <c r="T40" s="83">
        <f t="shared" ref="T40:T96" si="11">MIN(J40/$F$7,1.3*(J40/$F$7-S40))</f>
        <v>88.555037443957517</v>
      </c>
      <c r="U40" s="86">
        <f t="shared" si="4"/>
        <v>3.98004706603921</v>
      </c>
      <c r="V40" s="86">
        <f t="shared" ref="V40:V96" si="12">15.8*M40*K40*SQRT(I40)/SQRT(T40*O40)</f>
        <v>14.306490444823616</v>
      </c>
      <c r="W40" s="86">
        <f t="shared" si="0"/>
        <v>15.806490444823616</v>
      </c>
      <c r="X40" s="164" ph="1">
        <v>16.5</v>
      </c>
      <c r="Y40" s="86" t="str">
        <f t="shared" si="6"/>
        <v>OK</v>
      </c>
    </row>
    <row r="41" spans="1:30" ht="12" customHeight="1" x14ac:dyDescent="0.3">
      <c r="A41" s="82">
        <v>19</v>
      </c>
      <c r="B41" s="82" t="s">
        <v>182</v>
      </c>
      <c r="C41" s="82">
        <v>0.70000003324821602</v>
      </c>
      <c r="D41" s="83">
        <v>0</v>
      </c>
      <c r="E41" s="83">
        <v>0</v>
      </c>
      <c r="F41" s="83">
        <f t="shared" si="1"/>
        <v>0</v>
      </c>
      <c r="G41" s="83">
        <f t="shared" si="9"/>
        <v>131.18343966568085</v>
      </c>
      <c r="H41" s="83">
        <v>0</v>
      </c>
      <c r="I41" s="83">
        <f t="shared" si="7"/>
        <v>144.30178363224894</v>
      </c>
      <c r="J41" s="83">
        <v>355</v>
      </c>
      <c r="K41" s="84">
        <v>0.7</v>
      </c>
      <c r="L41" s="84">
        <v>4</v>
      </c>
      <c r="M41" s="85">
        <v>1</v>
      </c>
      <c r="N41" s="85">
        <v>1.5</v>
      </c>
      <c r="O41" s="85">
        <v>1</v>
      </c>
      <c r="P41" s="85">
        <f t="shared" si="2"/>
        <v>149.46386719055616</v>
      </c>
      <c r="Q41" s="85">
        <v>0</v>
      </c>
      <c r="R41" s="85">
        <v>123.439614223013</v>
      </c>
      <c r="S41" s="86">
        <f t="shared" si="8"/>
        <v>260.86675271896002</v>
      </c>
      <c r="T41" s="83">
        <f t="shared" si="11"/>
        <v>80.418676010806479</v>
      </c>
      <c r="U41" s="86">
        <f t="shared" si="4"/>
        <v>3.98004706603921</v>
      </c>
      <c r="V41" s="86">
        <f t="shared" si="12"/>
        <v>14.815370516841519</v>
      </c>
      <c r="W41" s="86">
        <f t="shared" ref="W41:W96" si="13">MAX(U41,V41)+N41</f>
        <v>16.315370516841519</v>
      </c>
      <c r="X41" s="164" ph="1">
        <v>16.5</v>
      </c>
      <c r="Y41" s="86" t="str">
        <f t="shared" si="6"/>
        <v>OK</v>
      </c>
    </row>
    <row r="42" spans="1:30" ht="12" customHeight="1" x14ac:dyDescent="0.3">
      <c r="A42" s="82">
        <v>20</v>
      </c>
      <c r="B42" s="82" t="s">
        <v>182</v>
      </c>
      <c r="C42" s="82">
        <v>1.0500000498723201</v>
      </c>
      <c r="D42" s="83">
        <v>0</v>
      </c>
      <c r="E42" s="83">
        <v>0</v>
      </c>
      <c r="F42" s="83">
        <f t="shared" si="1"/>
        <v>0</v>
      </c>
      <c r="G42" s="83">
        <f t="shared" si="9"/>
        <v>127.66410199852135</v>
      </c>
      <c r="H42" s="83">
        <v>0</v>
      </c>
      <c r="I42" s="83">
        <f t="shared" si="7"/>
        <v>140.43051219837349</v>
      </c>
      <c r="J42" s="83">
        <v>355</v>
      </c>
      <c r="K42" s="84">
        <v>0.7</v>
      </c>
      <c r="L42" s="84">
        <v>4</v>
      </c>
      <c r="M42" s="85">
        <v>1</v>
      </c>
      <c r="N42" s="85">
        <v>1.5</v>
      </c>
      <c r="O42" s="85">
        <v>1</v>
      </c>
      <c r="P42" s="85">
        <f t="shared" si="2"/>
        <v>131.89759567093066</v>
      </c>
      <c r="Q42" s="85">
        <v>0</v>
      </c>
      <c r="R42" s="85">
        <v>127.895560541506</v>
      </c>
      <c r="S42" s="86">
        <f t="shared" si="8"/>
        <v>257.8154358498544</v>
      </c>
      <c r="T42" s="83">
        <f t="shared" si="11"/>
        <v>84.385387940643781</v>
      </c>
      <c r="U42" s="86">
        <f t="shared" si="4"/>
        <v>3.98004706603921</v>
      </c>
      <c r="V42" s="86">
        <f t="shared" si="12"/>
        <v>14.267643237241579</v>
      </c>
      <c r="W42" s="86">
        <f t="shared" si="13"/>
        <v>15.767643237241579</v>
      </c>
      <c r="X42" s="164" ph="1">
        <v>16.5</v>
      </c>
      <c r="Y42" s="86" t="str">
        <f t="shared" si="6"/>
        <v>OK</v>
      </c>
    </row>
    <row r="43" spans="1:30" ht="12" customHeight="1" x14ac:dyDescent="0.3">
      <c r="A43" s="82">
        <v>21</v>
      </c>
      <c r="B43" s="82" t="s">
        <v>182</v>
      </c>
      <c r="C43" s="82">
        <v>1.4000000664964301</v>
      </c>
      <c r="D43" s="83">
        <v>0</v>
      </c>
      <c r="E43" s="83">
        <v>0</v>
      </c>
      <c r="F43" s="83">
        <f t="shared" si="1"/>
        <v>0</v>
      </c>
      <c r="G43" s="83">
        <f t="shared" si="9"/>
        <v>124.14476433136176</v>
      </c>
      <c r="H43" s="83">
        <v>0</v>
      </c>
      <c r="I43" s="83">
        <f t="shared" si="7"/>
        <v>136.55924076449793</v>
      </c>
      <c r="J43" s="83">
        <v>355</v>
      </c>
      <c r="K43" s="84">
        <v>0.7</v>
      </c>
      <c r="L43" s="84">
        <v>4</v>
      </c>
      <c r="M43" s="85">
        <v>1</v>
      </c>
      <c r="N43" s="85">
        <v>1.5</v>
      </c>
      <c r="O43" s="85">
        <v>1</v>
      </c>
      <c r="P43" s="85">
        <f t="shared" si="2"/>
        <v>114.33132415130487</v>
      </c>
      <c r="Q43" s="85">
        <v>0</v>
      </c>
      <c r="R43" s="85">
        <v>136.22524461712601</v>
      </c>
      <c r="S43" s="86">
        <f t="shared" si="8"/>
        <v>262.19001410270795</v>
      </c>
      <c r="T43" s="83">
        <f t="shared" si="11"/>
        <v>78.698436211934165</v>
      </c>
      <c r="U43" s="86">
        <f t="shared" si="4"/>
        <v>3.98004706603921</v>
      </c>
      <c r="V43" s="86">
        <f t="shared" si="12"/>
        <v>14.569096582669715</v>
      </c>
      <c r="W43" s="86">
        <f t="shared" si="13"/>
        <v>16.069096582669715</v>
      </c>
      <c r="X43" s="164" ph="1">
        <v>16.5</v>
      </c>
      <c r="Y43" s="86" t="str">
        <f t="shared" si="6"/>
        <v>OK</v>
      </c>
    </row>
    <row r="44" spans="1:30" ht="12" customHeight="1" x14ac:dyDescent="0.3">
      <c r="A44" s="82">
        <v>22</v>
      </c>
      <c r="B44" s="82" t="s">
        <v>182</v>
      </c>
      <c r="C44" s="82">
        <v>1.75000008312054</v>
      </c>
      <c r="D44" s="83">
        <v>0</v>
      </c>
      <c r="E44" s="83">
        <v>0</v>
      </c>
      <c r="F44" s="83">
        <f t="shared" si="1"/>
        <v>0</v>
      </c>
      <c r="G44" s="83">
        <f t="shared" si="9"/>
        <v>120.62542666420218</v>
      </c>
      <c r="H44" s="83">
        <v>0</v>
      </c>
      <c r="I44" s="83">
        <f t="shared" si="7"/>
        <v>132.68796933062242</v>
      </c>
      <c r="J44" s="83">
        <v>355</v>
      </c>
      <c r="K44" s="84">
        <v>0.7</v>
      </c>
      <c r="L44" s="84">
        <v>4</v>
      </c>
      <c r="M44" s="85">
        <v>1</v>
      </c>
      <c r="N44" s="85">
        <v>1.5</v>
      </c>
      <c r="O44" s="85">
        <v>1</v>
      </c>
      <c r="P44" s="85">
        <f t="shared" si="2"/>
        <v>96.765052631679069</v>
      </c>
      <c r="Q44" s="85">
        <v>0</v>
      </c>
      <c r="R44" s="85">
        <v>139.41497057607901</v>
      </c>
      <c r="S44" s="86">
        <f t="shared" si="8"/>
        <v>260.14049564225587</v>
      </c>
      <c r="T44" s="83">
        <f t="shared" si="11"/>
        <v>81.362810210521872</v>
      </c>
      <c r="U44" s="86">
        <f t="shared" si="4"/>
        <v>3.98004706603921</v>
      </c>
      <c r="V44" s="86">
        <f t="shared" si="12"/>
        <v>14.124007210572911</v>
      </c>
      <c r="W44" s="86">
        <f t="shared" si="13"/>
        <v>15.624007210572911</v>
      </c>
      <c r="X44" s="164" ph="1">
        <v>16.5</v>
      </c>
      <c r="Y44" s="86" t="str">
        <f t="shared" si="6"/>
        <v>OK</v>
      </c>
    </row>
    <row r="45" spans="1:30" ht="12" customHeight="1" x14ac:dyDescent="0.3">
      <c r="A45" s="82">
        <v>23</v>
      </c>
      <c r="B45" s="82" t="s">
        <v>182</v>
      </c>
      <c r="C45" s="82">
        <v>2.10000009974465</v>
      </c>
      <c r="D45" s="83">
        <v>0</v>
      </c>
      <c r="E45" s="83">
        <v>0</v>
      </c>
      <c r="F45" s="83">
        <f t="shared" si="1"/>
        <v>0</v>
      </c>
      <c r="G45" s="83">
        <f t="shared" si="9"/>
        <v>117.1060889970426</v>
      </c>
      <c r="H45" s="83">
        <v>0</v>
      </c>
      <c r="I45" s="83">
        <f t="shared" si="7"/>
        <v>128.81669789674689</v>
      </c>
      <c r="J45" s="83">
        <v>355</v>
      </c>
      <c r="K45" s="84">
        <v>0.7</v>
      </c>
      <c r="L45" s="84">
        <v>4</v>
      </c>
      <c r="M45" s="85">
        <v>1</v>
      </c>
      <c r="N45" s="85">
        <v>1.5</v>
      </c>
      <c r="O45" s="85">
        <v>1</v>
      </c>
      <c r="P45" s="85">
        <f t="shared" si="2"/>
        <v>79.198781112053283</v>
      </c>
      <c r="Q45" s="85">
        <v>0</v>
      </c>
      <c r="R45" s="85">
        <v>144.906229577955</v>
      </c>
      <c r="S45" s="86">
        <f t="shared" si="8"/>
        <v>263.18414283754242</v>
      </c>
      <c r="T45" s="83">
        <f t="shared" si="11"/>
        <v>77.406068856649355</v>
      </c>
      <c r="U45" s="86">
        <f t="shared" si="4"/>
        <v>3.98004706603921</v>
      </c>
      <c r="V45" s="86">
        <f t="shared" si="12"/>
        <v>14.267691229521171</v>
      </c>
      <c r="W45" s="86">
        <f t="shared" si="13"/>
        <v>15.767691229521171</v>
      </c>
      <c r="X45" s="164" ph="1">
        <v>16.5</v>
      </c>
      <c r="Y45" s="86" t="str">
        <f t="shared" si="6"/>
        <v>OK</v>
      </c>
    </row>
    <row r="46" spans="1:30" ht="12" customHeight="1" x14ac:dyDescent="0.3">
      <c r="A46" s="82">
        <v>24</v>
      </c>
      <c r="B46" s="82" t="s">
        <v>182</v>
      </c>
      <c r="C46" s="82">
        <v>2.4500001163687601</v>
      </c>
      <c r="D46" s="83">
        <v>0</v>
      </c>
      <c r="E46" s="83">
        <v>0</v>
      </c>
      <c r="F46" s="83">
        <f t="shared" si="1"/>
        <v>0</v>
      </c>
      <c r="G46" s="83">
        <f t="shared" si="9"/>
        <v>113.586751329883</v>
      </c>
      <c r="H46" s="83">
        <v>0</v>
      </c>
      <c r="I46" s="83">
        <f t="shared" si="7"/>
        <v>124.94542646287131</v>
      </c>
      <c r="J46" s="83">
        <v>355</v>
      </c>
      <c r="K46" s="84">
        <v>0.7</v>
      </c>
      <c r="L46" s="84">
        <v>4</v>
      </c>
      <c r="M46" s="85">
        <v>1</v>
      </c>
      <c r="N46" s="85">
        <v>1.5</v>
      </c>
      <c r="O46" s="85">
        <v>1</v>
      </c>
      <c r="P46" s="85">
        <f t="shared" si="2"/>
        <v>61.632509592427489</v>
      </c>
      <c r="Q46" s="85">
        <v>0</v>
      </c>
      <c r="R46" s="85">
        <v>146.82973517736801</v>
      </c>
      <c r="S46" s="86">
        <f t="shared" si="8"/>
        <v>261.67819862462511</v>
      </c>
      <c r="T46" s="83">
        <f t="shared" si="11"/>
        <v>79.363796333441854</v>
      </c>
      <c r="U46" s="86">
        <f t="shared" si="4"/>
        <v>3.98004706603921</v>
      </c>
      <c r="V46" s="86">
        <f t="shared" si="12"/>
        <v>13.877271717012858</v>
      </c>
      <c r="W46" s="86">
        <f t="shared" si="13"/>
        <v>15.377271717012858</v>
      </c>
      <c r="X46" s="164" ph="1">
        <v>16.5</v>
      </c>
      <c r="Y46" s="86" t="str">
        <f t="shared" si="6"/>
        <v>OK</v>
      </c>
    </row>
    <row r="47" spans="1:30" ht="12" customHeight="1" x14ac:dyDescent="0.3">
      <c r="A47" s="82">
        <v>25</v>
      </c>
      <c r="B47" s="82" t="s">
        <v>182</v>
      </c>
      <c r="C47" s="82">
        <v>2.8000001329928601</v>
      </c>
      <c r="D47" s="83">
        <v>0</v>
      </c>
      <c r="E47" s="83">
        <v>0</v>
      </c>
      <c r="F47" s="83">
        <f t="shared" si="1"/>
        <v>0</v>
      </c>
      <c r="G47" s="83">
        <f t="shared" si="9"/>
        <v>110.06741366272354</v>
      </c>
      <c r="H47" s="83">
        <v>0</v>
      </c>
      <c r="I47" s="83">
        <f t="shared" si="7"/>
        <v>121.0741550289959</v>
      </c>
      <c r="J47" s="83">
        <v>355</v>
      </c>
      <c r="K47" s="84">
        <v>0.7</v>
      </c>
      <c r="L47" s="84">
        <v>4</v>
      </c>
      <c r="M47" s="85">
        <v>1</v>
      </c>
      <c r="N47" s="85">
        <v>1.5</v>
      </c>
      <c r="O47" s="85">
        <v>1</v>
      </c>
      <c r="P47" s="85">
        <f t="shared" si="2"/>
        <v>44.066238072802193</v>
      </c>
      <c r="Q47" s="85">
        <v>0</v>
      </c>
      <c r="R47" s="85">
        <v>148.90435379960601</v>
      </c>
      <c r="S47" s="86">
        <f t="shared" si="8"/>
        <v>261.64738309282512</v>
      </c>
      <c r="T47" s="83">
        <f t="shared" si="11"/>
        <v>79.403856524781844</v>
      </c>
      <c r="U47" s="86">
        <f t="shared" si="4"/>
        <v>3.98004706603921</v>
      </c>
      <c r="V47" s="86">
        <f t="shared" si="12"/>
        <v>13.657149150553193</v>
      </c>
      <c r="W47" s="86">
        <f t="shared" si="13"/>
        <v>15.157149150553193</v>
      </c>
      <c r="X47" s="164" ph="1">
        <v>15</v>
      </c>
      <c r="Y47" s="86" t="str">
        <f t="shared" si="6"/>
        <v>OK</v>
      </c>
    </row>
    <row r="48" spans="1:30" ht="12" customHeight="1" x14ac:dyDescent="0.3">
      <c r="A48" s="82">
        <v>26</v>
      </c>
      <c r="B48" s="82" t="s">
        <v>182</v>
      </c>
      <c r="C48" s="82">
        <v>2.9</v>
      </c>
      <c r="D48" s="83">
        <v>0</v>
      </c>
      <c r="E48" s="83">
        <v>0</v>
      </c>
      <c r="F48" s="83">
        <f t="shared" si="1"/>
        <v>0</v>
      </c>
      <c r="G48" s="83">
        <f t="shared" si="9"/>
        <v>109.06188999999999</v>
      </c>
      <c r="H48" s="83">
        <v>0</v>
      </c>
      <c r="I48" s="83">
        <f t="shared" si="7"/>
        <v>119.968079</v>
      </c>
      <c r="J48" s="83">
        <v>355</v>
      </c>
      <c r="K48" s="84">
        <v>0.7</v>
      </c>
      <c r="L48" s="84">
        <v>4</v>
      </c>
      <c r="M48" s="85">
        <v>1</v>
      </c>
      <c r="N48" s="85">
        <v>1.5</v>
      </c>
      <c r="O48" s="85">
        <v>1</v>
      </c>
      <c r="P48" s="85">
        <f t="shared" si="2"/>
        <v>39.047310266120249</v>
      </c>
      <c r="Q48" s="85">
        <v>0</v>
      </c>
      <c r="R48" s="85">
        <v>149.76146229529499</v>
      </c>
      <c r="S48" s="86">
        <f t="shared" si="8"/>
        <v>262.31694418297468</v>
      </c>
      <c r="T48" s="83">
        <f t="shared" si="11"/>
        <v>78.533427107587414</v>
      </c>
      <c r="U48" s="86">
        <f t="shared" si="4"/>
        <v>3.98004706603921</v>
      </c>
      <c r="V48" s="86">
        <f t="shared" si="12"/>
        <v>13.669754165037146</v>
      </c>
      <c r="W48" s="86">
        <f t="shared" si="13"/>
        <v>15.169754165037146</v>
      </c>
      <c r="X48" s="164" ph="1">
        <v>15</v>
      </c>
      <c r="Y48" s="86" t="str">
        <f t="shared" si="6"/>
        <v>OK</v>
      </c>
    </row>
    <row r="49" spans="1:25" ht="12" customHeight="1" x14ac:dyDescent="0.3">
      <c r="A49" s="82">
        <v>27</v>
      </c>
      <c r="B49" s="82" t="s">
        <v>182</v>
      </c>
      <c r="C49" s="82">
        <v>3.1500001496169698</v>
      </c>
      <c r="D49" s="83">
        <v>0</v>
      </c>
      <c r="E49" s="83">
        <v>0</v>
      </c>
      <c r="F49" s="83">
        <f t="shared" si="1"/>
        <v>0</v>
      </c>
      <c r="G49" s="83">
        <f t="shared" si="9"/>
        <v>106.54807599556395</v>
      </c>
      <c r="H49" s="83">
        <v>0</v>
      </c>
      <c r="I49" s="83">
        <f t="shared" si="7"/>
        <v>117.20288359512035</v>
      </c>
      <c r="J49" s="83">
        <v>355</v>
      </c>
      <c r="K49" s="84">
        <v>0.7</v>
      </c>
      <c r="L49" s="84">
        <v>4</v>
      </c>
      <c r="M49" s="85">
        <v>1</v>
      </c>
      <c r="N49" s="85">
        <v>1.5</v>
      </c>
      <c r="O49" s="85">
        <v>1</v>
      </c>
      <c r="P49" s="85">
        <f t="shared" si="2"/>
        <v>26.499966553176407</v>
      </c>
      <c r="Q49" s="85">
        <v>0</v>
      </c>
      <c r="R49" s="85">
        <v>150.41874753516899</v>
      </c>
      <c r="S49" s="86">
        <f t="shared" si="8"/>
        <v>261.87716024400862</v>
      </c>
      <c r="T49" s="83">
        <f t="shared" si="11"/>
        <v>79.105146228243299</v>
      </c>
      <c r="U49" s="86">
        <f t="shared" si="4"/>
        <v>3.98004706603921</v>
      </c>
      <c r="V49" s="86">
        <f t="shared" si="12"/>
        <v>13.462381905345612</v>
      </c>
      <c r="W49" s="86">
        <f t="shared" si="13"/>
        <v>14.962381905345612</v>
      </c>
      <c r="X49" s="164" ph="1">
        <v>15</v>
      </c>
      <c r="Y49" s="86" t="str">
        <f t="shared" si="6"/>
        <v>OK</v>
      </c>
    </row>
    <row r="50" spans="1:25" ht="12" customHeight="1" x14ac:dyDescent="0.3">
      <c r="A50" s="82">
        <v>28</v>
      </c>
      <c r="B50" s="82" t="s">
        <v>182</v>
      </c>
      <c r="C50" s="82">
        <v>3.50000016624108</v>
      </c>
      <c r="D50" s="83">
        <v>0</v>
      </c>
      <c r="E50" s="83">
        <v>0</v>
      </c>
      <c r="F50" s="83">
        <f t="shared" si="1"/>
        <v>0</v>
      </c>
      <c r="G50" s="83">
        <f t="shared" si="9"/>
        <v>103.02873832840437</v>
      </c>
      <c r="H50" s="83">
        <v>0</v>
      </c>
      <c r="I50" s="83">
        <f t="shared" si="7"/>
        <v>113.33161216124482</v>
      </c>
      <c r="J50" s="83">
        <v>355</v>
      </c>
      <c r="K50" s="84">
        <v>0.7</v>
      </c>
      <c r="L50" s="84">
        <v>4</v>
      </c>
      <c r="M50" s="85">
        <v>1</v>
      </c>
      <c r="N50" s="85">
        <v>1.5</v>
      </c>
      <c r="O50" s="85">
        <v>1</v>
      </c>
      <c r="P50" s="85">
        <f t="shared" si="2"/>
        <v>8.933695033550606</v>
      </c>
      <c r="Q50" s="85">
        <v>0</v>
      </c>
      <c r="R50" s="85">
        <v>150.79094276915001</v>
      </c>
      <c r="S50" s="86">
        <f t="shared" si="8"/>
        <v>261.33032003688299</v>
      </c>
      <c r="T50" s="83">
        <f t="shared" si="11"/>
        <v>79.816038497506611</v>
      </c>
      <c r="U50" s="86">
        <f t="shared" si="4"/>
        <v>3.98004706603921</v>
      </c>
      <c r="V50" s="86">
        <f t="shared" si="12"/>
        <v>13.179094618573643</v>
      </c>
      <c r="W50" s="86">
        <f t="shared" si="13"/>
        <v>14.679094618573643</v>
      </c>
      <c r="X50" s="164" ph="1">
        <v>15</v>
      </c>
      <c r="Y50" s="86" t="str">
        <f t="shared" si="6"/>
        <v>OK</v>
      </c>
    </row>
    <row r="51" spans="1:25" ht="12" customHeight="1" x14ac:dyDescent="0.3">
      <c r="A51" s="82">
        <v>29</v>
      </c>
      <c r="B51" s="82" t="s">
        <v>182</v>
      </c>
      <c r="C51" s="82">
        <v>3.8500001828651902</v>
      </c>
      <c r="D51" s="83">
        <v>0</v>
      </c>
      <c r="E51" s="83">
        <v>0</v>
      </c>
      <c r="F51" s="83">
        <f t="shared" si="1"/>
        <v>0</v>
      </c>
      <c r="G51" s="83">
        <f t="shared" si="9"/>
        <v>99.509400661244783</v>
      </c>
      <c r="H51" s="83">
        <v>0</v>
      </c>
      <c r="I51" s="83">
        <f t="shared" si="7"/>
        <v>109.46034072736927</v>
      </c>
      <c r="J51" s="83">
        <v>355</v>
      </c>
      <c r="K51" s="84">
        <v>0.7</v>
      </c>
      <c r="L51" s="84">
        <v>4</v>
      </c>
      <c r="M51" s="85">
        <v>1</v>
      </c>
      <c r="N51" s="85">
        <v>1.5</v>
      </c>
      <c r="O51" s="85">
        <v>1</v>
      </c>
      <c r="P51" s="85">
        <f t="shared" si="2"/>
        <v>8.6325764860751963</v>
      </c>
      <c r="Q51" s="85">
        <v>0</v>
      </c>
      <c r="R51" s="85">
        <v>150.79094276915001</v>
      </c>
      <c r="S51" s="86">
        <f t="shared" si="8"/>
        <v>261.3201994496697</v>
      </c>
      <c r="T51" s="83">
        <f t="shared" si="11"/>
        <v>79.829195260883893</v>
      </c>
      <c r="U51" s="86">
        <f t="shared" si="4"/>
        <v>3.98004706603921</v>
      </c>
      <c r="V51" s="86">
        <f t="shared" si="12"/>
        <v>12.950980491097326</v>
      </c>
      <c r="W51" s="86">
        <f t="shared" si="13"/>
        <v>14.450980491097326</v>
      </c>
      <c r="X51" s="164" ph="1">
        <v>15</v>
      </c>
      <c r="Y51" s="86" t="str">
        <f t="shared" si="6"/>
        <v>OK</v>
      </c>
    </row>
    <row r="52" spans="1:25" ht="12" customHeight="1" x14ac:dyDescent="0.3">
      <c r="A52" s="82">
        <v>30</v>
      </c>
      <c r="B52" s="82" t="s">
        <v>182</v>
      </c>
      <c r="C52" s="82">
        <v>4.2000001994892999</v>
      </c>
      <c r="D52" s="83">
        <v>0</v>
      </c>
      <c r="E52" s="83">
        <v>0</v>
      </c>
      <c r="F52" s="83">
        <f t="shared" si="1"/>
        <v>0</v>
      </c>
      <c r="G52" s="83">
        <f t="shared" si="9"/>
        <v>95.990062994085207</v>
      </c>
      <c r="H52" s="83">
        <v>0</v>
      </c>
      <c r="I52" s="83">
        <f t="shared" si="7"/>
        <v>105.58906929349374</v>
      </c>
      <c r="J52" s="83">
        <v>355</v>
      </c>
      <c r="K52" s="84">
        <v>0.7</v>
      </c>
      <c r="L52" s="84">
        <v>4</v>
      </c>
      <c r="M52" s="85">
        <v>1</v>
      </c>
      <c r="N52" s="85">
        <v>1.5</v>
      </c>
      <c r="O52" s="85">
        <v>1</v>
      </c>
      <c r="P52" s="85">
        <f t="shared" si="2"/>
        <v>26.198848005700981</v>
      </c>
      <c r="Q52" s="85">
        <v>0</v>
      </c>
      <c r="R52" s="85">
        <v>149.23671629895301</v>
      </c>
      <c r="S52" s="86">
        <f t="shared" si="8"/>
        <v>259.80987685595863</v>
      </c>
      <c r="T52" s="83">
        <f t="shared" si="11"/>
        <v>81.792614632708279</v>
      </c>
      <c r="U52" s="86">
        <f t="shared" si="4"/>
        <v>3.98004706603921</v>
      </c>
      <c r="V52" s="86">
        <f t="shared" si="12"/>
        <v>12.566304011622263</v>
      </c>
      <c r="W52" s="86">
        <f t="shared" si="13"/>
        <v>14.066304011622263</v>
      </c>
      <c r="X52" s="164" ph="1">
        <v>15</v>
      </c>
      <c r="Y52" s="86" t="str">
        <f t="shared" si="6"/>
        <v>OK</v>
      </c>
    </row>
    <row r="53" spans="1:25" ht="12" customHeight="1" x14ac:dyDescent="0.3">
      <c r="A53" s="82">
        <v>31</v>
      </c>
      <c r="B53" s="82" t="s">
        <v>182</v>
      </c>
      <c r="C53" s="82">
        <v>4.5500000997446497</v>
      </c>
      <c r="D53" s="83">
        <v>0</v>
      </c>
      <c r="E53" s="83">
        <v>0</v>
      </c>
      <c r="F53" s="83">
        <f t="shared" si="1"/>
        <v>0</v>
      </c>
      <c r="G53" s="83">
        <f t="shared" si="9"/>
        <v>92.470726497042605</v>
      </c>
      <c r="H53" s="83">
        <v>0</v>
      </c>
      <c r="I53" s="83">
        <f t="shared" si="7"/>
        <v>101.71779914674687</v>
      </c>
      <c r="J53" s="83">
        <v>355</v>
      </c>
      <c r="K53" s="84">
        <v>0.7</v>
      </c>
      <c r="L53" s="84">
        <v>4</v>
      </c>
      <c r="M53" s="85">
        <v>1</v>
      </c>
      <c r="N53" s="85">
        <v>1.5</v>
      </c>
      <c r="O53" s="85">
        <v>1</v>
      </c>
      <c r="P53" s="85">
        <f t="shared" si="2"/>
        <v>43.765113684854938</v>
      </c>
      <c r="Q53" s="85">
        <v>0</v>
      </c>
      <c r="R53" s="85">
        <v>147.99467151772399</v>
      </c>
      <c r="S53" s="86">
        <f t="shared" si="8"/>
        <v>260.04356090617847</v>
      </c>
      <c r="T53" s="83">
        <f t="shared" si="11"/>
        <v>81.488825367422493</v>
      </c>
      <c r="U53" s="86">
        <f t="shared" si="4"/>
        <v>3.98004706603921</v>
      </c>
      <c r="V53" s="86">
        <f t="shared" si="12"/>
        <v>12.356758973427825</v>
      </c>
      <c r="W53" s="86">
        <f t="shared" si="13"/>
        <v>13.856758973427825</v>
      </c>
      <c r="X53" s="164" ph="1">
        <v>15</v>
      </c>
      <c r="Y53" s="86" t="str">
        <f t="shared" si="6"/>
        <v>OK</v>
      </c>
    </row>
    <row r="54" spans="1:25" ht="12" customHeight="1" x14ac:dyDescent="0.3">
      <c r="A54" s="82">
        <v>32</v>
      </c>
      <c r="B54" s="82" t="s">
        <v>182</v>
      </c>
      <c r="C54" s="82">
        <v>4.9000000000000004</v>
      </c>
      <c r="D54" s="83">
        <v>0</v>
      </c>
      <c r="E54" s="83">
        <v>0</v>
      </c>
      <c r="F54" s="83">
        <f t="shared" si="1"/>
        <v>0</v>
      </c>
      <c r="G54" s="83">
        <f t="shared" si="9"/>
        <v>88.951389999999989</v>
      </c>
      <c r="H54" s="83">
        <v>0</v>
      </c>
      <c r="I54" s="83">
        <f t="shared" si="7"/>
        <v>97.84652899999999</v>
      </c>
      <c r="J54" s="83">
        <v>355</v>
      </c>
      <c r="K54" s="84">
        <v>0.7</v>
      </c>
      <c r="L54" s="84">
        <v>4</v>
      </c>
      <c r="M54" s="85">
        <v>1</v>
      </c>
      <c r="N54" s="85">
        <v>1.5</v>
      </c>
      <c r="O54" s="85">
        <v>1</v>
      </c>
      <c r="P54" s="85">
        <f t="shared" si="2"/>
        <v>61.331379364008953</v>
      </c>
      <c r="Q54" s="85">
        <v>0</v>
      </c>
      <c r="R54" s="85">
        <v>136.063863918729</v>
      </c>
      <c r="S54" s="86">
        <f t="shared" si="8"/>
        <v>243.51932836671341</v>
      </c>
      <c r="T54" s="83">
        <f t="shared" si="11"/>
        <v>102.97032766872707</v>
      </c>
      <c r="U54" s="86">
        <f t="shared" si="4"/>
        <v>3.98004706603921</v>
      </c>
      <c r="V54" s="86">
        <f t="shared" si="12"/>
        <v>10.781316404271228</v>
      </c>
      <c r="W54" s="86">
        <f t="shared" si="13"/>
        <v>12.281316404271228</v>
      </c>
      <c r="X54" s="164" ph="1">
        <v>15</v>
      </c>
      <c r="Y54" s="86" t="str">
        <f t="shared" si="6"/>
        <v>OK</v>
      </c>
    </row>
    <row r="55" spans="1:25" ht="12" customHeight="1" x14ac:dyDescent="0.3">
      <c r="A55" s="82">
        <v>33</v>
      </c>
      <c r="B55" s="82" t="s">
        <v>182</v>
      </c>
      <c r="C55" s="82">
        <v>5.2500000166241101</v>
      </c>
      <c r="D55" s="83">
        <v>0</v>
      </c>
      <c r="E55" s="83">
        <v>0</v>
      </c>
      <c r="F55" s="83">
        <f t="shared" si="1"/>
        <v>0</v>
      </c>
      <c r="G55" s="83">
        <f t="shared" si="9"/>
        <v>85.432052332840414</v>
      </c>
      <c r="H55" s="83">
        <v>0</v>
      </c>
      <c r="I55" s="83">
        <f t="shared" si="7"/>
        <v>93.975257566124469</v>
      </c>
      <c r="J55" s="83">
        <v>355</v>
      </c>
      <c r="K55" s="84">
        <v>0.7</v>
      </c>
      <c r="L55" s="84">
        <v>4</v>
      </c>
      <c r="M55" s="85">
        <v>1</v>
      </c>
      <c r="N55" s="85">
        <v>1.5</v>
      </c>
      <c r="O55" s="85">
        <v>1</v>
      </c>
      <c r="P55" s="85">
        <f t="shared" si="2"/>
        <v>78.897650883634725</v>
      </c>
      <c r="Q55" s="85">
        <v>0</v>
      </c>
      <c r="R55" s="85">
        <v>133.55559868074999</v>
      </c>
      <c r="S55" s="86">
        <f t="shared" si="8"/>
        <v>244.40976480467501</v>
      </c>
      <c r="T55" s="83">
        <f t="shared" si="11"/>
        <v>101.81276029937699</v>
      </c>
      <c r="U55" s="86">
        <f t="shared" si="4"/>
        <v>3.98004706603921</v>
      </c>
      <c r="V55" s="86">
        <f t="shared" si="12"/>
        <v>10.62577910559731</v>
      </c>
      <c r="W55" s="86">
        <f t="shared" si="13"/>
        <v>12.12577910559731</v>
      </c>
      <c r="X55" s="164" ph="1">
        <v>15</v>
      </c>
      <c r="Y55" s="86" t="str">
        <f t="shared" si="6"/>
        <v>OK</v>
      </c>
    </row>
    <row r="56" spans="1:25" ht="12" customHeight="1" x14ac:dyDescent="0.3">
      <c r="A56" s="82">
        <v>34</v>
      </c>
      <c r="B56" s="82" t="s">
        <v>182</v>
      </c>
      <c r="C56" s="82">
        <v>5.6000000332482198</v>
      </c>
      <c r="D56" s="83">
        <v>0</v>
      </c>
      <c r="E56" s="83">
        <v>0</v>
      </c>
      <c r="F56" s="83">
        <f t="shared" si="1"/>
        <v>0</v>
      </c>
      <c r="G56" s="83">
        <f t="shared" si="9"/>
        <v>81.912714665680824</v>
      </c>
      <c r="H56" s="83">
        <v>0</v>
      </c>
      <c r="I56" s="83">
        <f t="shared" si="7"/>
        <v>90.10398613224892</v>
      </c>
      <c r="J56" s="83">
        <v>355</v>
      </c>
      <c r="K56" s="84">
        <v>0.7</v>
      </c>
      <c r="L56" s="84">
        <v>4</v>
      </c>
      <c r="M56" s="85">
        <v>1</v>
      </c>
      <c r="N56" s="85">
        <v>1.5</v>
      </c>
      <c r="O56" s="85">
        <v>1</v>
      </c>
      <c r="P56" s="85">
        <f t="shared" si="2"/>
        <v>96.463922403260497</v>
      </c>
      <c r="Q56" s="85">
        <v>0</v>
      </c>
      <c r="R56" s="85">
        <v>127.312425280555</v>
      </c>
      <c r="S56" s="86">
        <f t="shared" si="8"/>
        <v>240.68786678574588</v>
      </c>
      <c r="T56" s="83">
        <f t="shared" si="11"/>
        <v>106.65122772398486</v>
      </c>
      <c r="U56" s="86">
        <f t="shared" si="4"/>
        <v>3.98004706603921</v>
      </c>
      <c r="V56" s="86">
        <f t="shared" si="12"/>
        <v>10.165861755609848</v>
      </c>
      <c r="W56" s="86">
        <f t="shared" si="13"/>
        <v>11.665861755609848</v>
      </c>
      <c r="X56" s="160" ph="1">
        <v>12</v>
      </c>
      <c r="Y56" s="86" t="str">
        <f t="shared" si="6"/>
        <v>OK</v>
      </c>
    </row>
    <row r="57" spans="1:25" ht="12" customHeight="1" x14ac:dyDescent="0.3">
      <c r="A57" s="82">
        <v>35</v>
      </c>
      <c r="B57" s="82" t="s">
        <v>182</v>
      </c>
      <c r="C57" s="82">
        <v>5.8</v>
      </c>
      <c r="D57" s="83">
        <v>0</v>
      </c>
      <c r="E57" s="83">
        <v>0</v>
      </c>
      <c r="F57" s="83">
        <f t="shared" si="1"/>
        <v>0</v>
      </c>
      <c r="G57" s="83">
        <f t="shared" si="9"/>
        <v>79.901664999999994</v>
      </c>
      <c r="H57" s="83">
        <v>0</v>
      </c>
      <c r="I57" s="83">
        <f t="shared" si="7"/>
        <v>87.891831499999995</v>
      </c>
      <c r="J57" s="83">
        <v>355</v>
      </c>
      <c r="K57" s="84">
        <v>0.7</v>
      </c>
      <c r="L57" s="84">
        <v>4</v>
      </c>
      <c r="M57" s="85">
        <v>1</v>
      </c>
      <c r="N57" s="85">
        <v>1.5</v>
      </c>
      <c r="O57" s="85">
        <v>1</v>
      </c>
      <c r="P57" s="85">
        <f t="shared" si="2"/>
        <v>106.50178969756705</v>
      </c>
      <c r="Q57" s="85">
        <v>0</v>
      </c>
      <c r="R57" s="85">
        <v>125.23310052969499</v>
      </c>
      <c r="S57" s="86">
        <f t="shared" si="8"/>
        <v>241.6456488613583</v>
      </c>
      <c r="T57" s="83">
        <f t="shared" si="11"/>
        <v>105.40611102568872</v>
      </c>
      <c r="U57" s="86">
        <f t="shared" si="4"/>
        <v>3.98004706603921</v>
      </c>
      <c r="V57" s="86">
        <f t="shared" si="12"/>
        <v>10.099421294680971</v>
      </c>
      <c r="W57" s="86">
        <f t="shared" si="13"/>
        <v>11.599421294680971</v>
      </c>
      <c r="X57" s="160" ph="1">
        <v>12</v>
      </c>
      <c r="Y57" s="86" t="str">
        <f t="shared" si="6"/>
        <v>OK</v>
      </c>
    </row>
    <row r="58" spans="1:25" ht="12" customHeight="1" x14ac:dyDescent="0.3">
      <c r="A58" s="82">
        <v>36</v>
      </c>
      <c r="B58" s="82" t="s">
        <v>182</v>
      </c>
      <c r="C58" s="82">
        <v>5.95</v>
      </c>
      <c r="D58" s="83">
        <v>0</v>
      </c>
      <c r="E58" s="83">
        <v>0</v>
      </c>
      <c r="F58" s="83">
        <f t="shared" si="1"/>
        <v>0</v>
      </c>
      <c r="G58" s="83">
        <f t="shared" si="9"/>
        <v>78.393377499999986</v>
      </c>
      <c r="H58" s="83">
        <v>0</v>
      </c>
      <c r="I58" s="83">
        <f t="shared" si="7"/>
        <v>86.232715249999984</v>
      </c>
      <c r="J58" s="83">
        <v>355</v>
      </c>
      <c r="K58" s="84">
        <v>0.7</v>
      </c>
      <c r="L58" s="84">
        <v>4</v>
      </c>
      <c r="M58" s="85">
        <v>1</v>
      </c>
      <c r="N58" s="85">
        <v>1.5</v>
      </c>
      <c r="O58" s="85">
        <v>1</v>
      </c>
      <c r="P58" s="85">
        <f t="shared" si="2"/>
        <v>114.03019141982676</v>
      </c>
      <c r="Q58" s="85">
        <v>0</v>
      </c>
      <c r="R58" s="85">
        <v>123.537940265979</v>
      </c>
      <c r="S58" s="86">
        <f t="shared" si="8"/>
        <v>242.46185805343512</v>
      </c>
      <c r="T58" s="83">
        <f t="shared" si="11"/>
        <v>104.34503907598884</v>
      </c>
      <c r="U58" s="86">
        <f t="shared" si="4"/>
        <v>3.98004706603921</v>
      </c>
      <c r="V58" s="86">
        <f t="shared" si="12"/>
        <v>10.054379059947333</v>
      </c>
      <c r="W58" s="86">
        <f t="shared" si="13"/>
        <v>11.554379059947333</v>
      </c>
      <c r="X58" s="160" ph="1">
        <v>12</v>
      </c>
      <c r="Y58" s="86" t="str">
        <f t="shared" si="6"/>
        <v>OK</v>
      </c>
    </row>
    <row r="59" spans="1:25" ht="12" customHeight="1" x14ac:dyDescent="0.3">
      <c r="A59" s="82">
        <v>37</v>
      </c>
      <c r="B59" s="82" t="s">
        <v>182</v>
      </c>
      <c r="C59" s="82">
        <v>6.2999999667517796</v>
      </c>
      <c r="D59" s="83">
        <v>0</v>
      </c>
      <c r="E59" s="83">
        <v>0</v>
      </c>
      <c r="F59" s="83">
        <f t="shared" si="1"/>
        <v>0</v>
      </c>
      <c r="G59" s="83">
        <f t="shared" si="9"/>
        <v>74.874040334319162</v>
      </c>
      <c r="H59" s="83">
        <v>0</v>
      </c>
      <c r="I59" s="83">
        <f t="shared" si="7"/>
        <v>82.361444367751091</v>
      </c>
      <c r="J59" s="83">
        <v>355</v>
      </c>
      <c r="K59" s="84">
        <v>0.7</v>
      </c>
      <c r="L59" s="84">
        <v>4</v>
      </c>
      <c r="M59" s="85">
        <v>1</v>
      </c>
      <c r="N59" s="85">
        <v>1.5</v>
      </c>
      <c r="O59" s="85">
        <v>1</v>
      </c>
      <c r="P59" s="85">
        <f>$M$11/ABS(($M$12/(C59-$M$13)))/1000</f>
        <v>131.59646043639296</v>
      </c>
      <c r="Q59" s="85">
        <v>0</v>
      </c>
      <c r="R59" s="85">
        <v>114.89273520276301</v>
      </c>
      <c r="S59" s="86">
        <f t="shared" si="8"/>
        <v>238.57629850113736</v>
      </c>
      <c r="T59" s="83">
        <f t="shared" si="11"/>
        <v>109.39626649397593</v>
      </c>
      <c r="U59" s="86">
        <f t="shared" si="4"/>
        <v>3.98004706603921</v>
      </c>
      <c r="V59" s="86">
        <f t="shared" si="12"/>
        <v>9.5965659849013392</v>
      </c>
      <c r="W59" s="86">
        <f t="shared" si="13"/>
        <v>11.096565984901339</v>
      </c>
      <c r="X59" s="160" ph="1">
        <v>12</v>
      </c>
      <c r="Y59" s="86" t="str">
        <f t="shared" si="6"/>
        <v>OK</v>
      </c>
    </row>
    <row r="60" spans="1:25" ht="12" customHeight="1" x14ac:dyDescent="0.3">
      <c r="A60" s="82">
        <v>38</v>
      </c>
      <c r="B60" s="82" t="s">
        <v>182</v>
      </c>
      <c r="C60" s="82">
        <v>6.6499999833758903</v>
      </c>
      <c r="D60" s="83">
        <v>0</v>
      </c>
      <c r="E60" s="83">
        <v>0</v>
      </c>
      <c r="F60" s="83">
        <f t="shared" si="1"/>
        <v>0</v>
      </c>
      <c r="G60" s="83">
        <f t="shared" si="9"/>
        <v>71.354702667159572</v>
      </c>
      <c r="H60" s="83">
        <v>0</v>
      </c>
      <c r="I60" s="83">
        <f t="shared" si="7"/>
        <v>78.490172933875542</v>
      </c>
      <c r="J60" s="83">
        <v>355</v>
      </c>
      <c r="K60" s="84">
        <v>0.7</v>
      </c>
      <c r="L60" s="84">
        <v>4</v>
      </c>
      <c r="M60" s="85">
        <v>1</v>
      </c>
      <c r="N60" s="85">
        <v>1.5</v>
      </c>
      <c r="O60" s="85">
        <v>1</v>
      </c>
      <c r="P60" s="85">
        <f>$M$11/ABS(($M$12/(C60-$M$13)))/1000</f>
        <v>149.16273195601877</v>
      </c>
      <c r="Q60" s="85">
        <v>0</v>
      </c>
      <c r="R60" s="85">
        <v>109.85202942612899</v>
      </c>
      <c r="S60" s="86">
        <f t="shared" si="8"/>
        <v>241.76833066326208</v>
      </c>
      <c r="T60" s="83">
        <f t="shared" si="11"/>
        <v>105.2466246832138</v>
      </c>
      <c r="U60" s="86">
        <f t="shared" si="4"/>
        <v>3.98004706603921</v>
      </c>
      <c r="V60" s="86">
        <f t="shared" si="12"/>
        <v>9.551216327582484</v>
      </c>
      <c r="W60" s="86">
        <f t="shared" si="13"/>
        <v>11.051216327582484</v>
      </c>
      <c r="X60" s="160" ph="1">
        <v>12</v>
      </c>
      <c r="Y60" s="86" t="str">
        <f t="shared" si="6"/>
        <v>OK</v>
      </c>
    </row>
    <row r="61" spans="1:25" ht="12" customHeight="1" x14ac:dyDescent="0.3">
      <c r="A61" s="110">
        <v>39</v>
      </c>
      <c r="B61" s="110" t="s">
        <v>140</v>
      </c>
      <c r="C61" s="110">
        <v>7</v>
      </c>
      <c r="D61" s="111">
        <v>0</v>
      </c>
      <c r="E61" s="111">
        <v>0</v>
      </c>
      <c r="F61" s="111">
        <f t="shared" si="1"/>
        <v>0</v>
      </c>
      <c r="G61" s="111">
        <f t="shared" si="9"/>
        <v>67.835364999999996</v>
      </c>
      <c r="H61" s="111">
        <v>0</v>
      </c>
      <c r="I61" s="111">
        <f t="shared" si="7"/>
        <v>74.618901500000007</v>
      </c>
      <c r="J61" s="111">
        <v>355</v>
      </c>
      <c r="K61" s="112">
        <v>0.75</v>
      </c>
      <c r="L61" s="112">
        <v>4</v>
      </c>
      <c r="M61" s="113">
        <v>1</v>
      </c>
      <c r="N61" s="113">
        <v>1.5</v>
      </c>
      <c r="O61" s="113">
        <v>1</v>
      </c>
      <c r="P61" s="113">
        <f t="shared" si="2"/>
        <v>166.72900347564453</v>
      </c>
      <c r="Q61" s="113">
        <v>0</v>
      </c>
      <c r="R61" s="113">
        <v>73.437101298332706</v>
      </c>
      <c r="S61" s="114">
        <f t="shared" si="8"/>
        <v>209.70833112035922</v>
      </c>
      <c r="T61" s="111">
        <f t="shared" si="11"/>
        <v>146.92462408898751</v>
      </c>
      <c r="U61" s="114">
        <f t="shared" si="4"/>
        <v>3.98004706603921</v>
      </c>
      <c r="V61" s="114">
        <f t="shared" si="12"/>
        <v>8.4449188739225924</v>
      </c>
      <c r="W61" s="114">
        <f t="shared" si="13"/>
        <v>9.9449188739225924</v>
      </c>
      <c r="X61" s="165" ph="1">
        <v>20</v>
      </c>
      <c r="Y61" s="114" t="str">
        <f t="shared" si="6"/>
        <v>OK</v>
      </c>
    </row>
    <row r="62" spans="1:25" ht="12" customHeight="1" x14ac:dyDescent="0.3">
      <c r="A62" s="110">
        <v>40</v>
      </c>
      <c r="B62" s="110" t="s">
        <v>140</v>
      </c>
      <c r="C62" s="110">
        <v>7</v>
      </c>
      <c r="D62" s="111">
        <v>0</v>
      </c>
      <c r="E62" s="111">
        <v>0</v>
      </c>
      <c r="F62" s="111">
        <f t="shared" si="1"/>
        <v>0</v>
      </c>
      <c r="G62" s="111">
        <f t="shared" si="9"/>
        <v>67.835364999999996</v>
      </c>
      <c r="H62" s="111">
        <v>0</v>
      </c>
      <c r="I62" s="111">
        <f t="shared" si="7"/>
        <v>74.618901500000007</v>
      </c>
      <c r="J62" s="111">
        <v>355</v>
      </c>
      <c r="K62" s="112">
        <v>0.75</v>
      </c>
      <c r="L62" s="112">
        <v>4</v>
      </c>
      <c r="M62" s="113">
        <v>1</v>
      </c>
      <c r="N62" s="113">
        <v>1.5</v>
      </c>
      <c r="O62" s="113">
        <v>1</v>
      </c>
      <c r="P62" s="113">
        <f t="shared" si="2"/>
        <v>166.72900347564453</v>
      </c>
      <c r="Q62" s="113">
        <v>0</v>
      </c>
      <c r="R62" s="113">
        <v>67.018846605881805</v>
      </c>
      <c r="S62" s="114">
        <f t="shared" si="8"/>
        <v>203.1579139515112</v>
      </c>
      <c r="T62" s="111">
        <f t="shared" si="11"/>
        <v>155.44016640848994</v>
      </c>
      <c r="U62" s="114">
        <f t="shared" si="4"/>
        <v>3.98004706603921</v>
      </c>
      <c r="V62" s="114">
        <f t="shared" si="12"/>
        <v>8.2103401433688212</v>
      </c>
      <c r="W62" s="114">
        <f t="shared" si="13"/>
        <v>9.7103401433688212</v>
      </c>
      <c r="X62" s="165" ph="1">
        <v>20</v>
      </c>
      <c r="Y62" s="114" t="str">
        <f t="shared" si="6"/>
        <v>OK</v>
      </c>
    </row>
    <row r="63" spans="1:25" ht="12" customHeight="1" x14ac:dyDescent="0.3">
      <c r="A63" s="110">
        <v>41</v>
      </c>
      <c r="B63" s="110" t="s">
        <v>140</v>
      </c>
      <c r="C63" s="110">
        <v>7</v>
      </c>
      <c r="D63" s="111">
        <v>0</v>
      </c>
      <c r="E63" s="111">
        <v>0</v>
      </c>
      <c r="F63" s="111">
        <f t="shared" si="1"/>
        <v>0</v>
      </c>
      <c r="G63" s="111">
        <f t="shared" si="9"/>
        <v>67.835364999999996</v>
      </c>
      <c r="H63" s="111">
        <v>0</v>
      </c>
      <c r="I63" s="111">
        <f t="shared" si="7"/>
        <v>74.618901500000007</v>
      </c>
      <c r="J63" s="111">
        <v>355</v>
      </c>
      <c r="K63" s="112">
        <v>0.75</v>
      </c>
      <c r="L63" s="112">
        <v>4</v>
      </c>
      <c r="M63" s="113">
        <v>1</v>
      </c>
      <c r="N63" s="113">
        <v>1.5</v>
      </c>
      <c r="O63" s="113">
        <v>1</v>
      </c>
      <c r="P63" s="113">
        <f t="shared" si="2"/>
        <v>166.72900347564453</v>
      </c>
      <c r="Q63" s="113">
        <v>0</v>
      </c>
      <c r="R63" s="113">
        <v>54.815324712648902</v>
      </c>
      <c r="S63" s="114">
        <f t="shared" si="8"/>
        <v>191.86641204244401</v>
      </c>
      <c r="T63" s="111">
        <f t="shared" si="11"/>
        <v>170.11911889027729</v>
      </c>
      <c r="U63" s="114">
        <f t="shared" si="4"/>
        <v>3.98004706603921</v>
      </c>
      <c r="V63" s="114">
        <f t="shared" si="12"/>
        <v>7.8481304585326965</v>
      </c>
      <c r="W63" s="114">
        <f t="shared" si="13"/>
        <v>9.3481304585326974</v>
      </c>
      <c r="X63" s="165" ph="1">
        <v>20</v>
      </c>
      <c r="Y63" s="114" t="str">
        <f t="shared" si="6"/>
        <v>OK</v>
      </c>
    </row>
    <row r="64" spans="1:25" ht="12" customHeight="1" x14ac:dyDescent="0.3">
      <c r="A64" s="110">
        <v>42</v>
      </c>
      <c r="B64" s="110" t="s">
        <v>140</v>
      </c>
      <c r="C64" s="110">
        <v>7</v>
      </c>
      <c r="D64" s="111">
        <v>0</v>
      </c>
      <c r="E64" s="111">
        <v>0</v>
      </c>
      <c r="F64" s="111">
        <f t="shared" si="1"/>
        <v>0</v>
      </c>
      <c r="G64" s="111">
        <f t="shared" si="9"/>
        <v>67.835364999999996</v>
      </c>
      <c r="H64" s="111">
        <v>0</v>
      </c>
      <c r="I64" s="111">
        <f t="shared" si="7"/>
        <v>74.618901500000007</v>
      </c>
      <c r="J64" s="111">
        <v>355</v>
      </c>
      <c r="K64" s="112">
        <v>0.75</v>
      </c>
      <c r="L64" s="112">
        <v>4</v>
      </c>
      <c r="M64" s="113">
        <v>1</v>
      </c>
      <c r="N64" s="113">
        <v>1.5</v>
      </c>
      <c r="O64" s="113">
        <v>1</v>
      </c>
      <c r="P64" s="113">
        <f t="shared" si="2"/>
        <v>166.72900347564453</v>
      </c>
      <c r="Q64" s="113">
        <v>0</v>
      </c>
      <c r="R64" s="113">
        <v>48.397070020198797</v>
      </c>
      <c r="S64" s="114">
        <f t="shared" si="8"/>
        <v>186.6156203526424</v>
      </c>
      <c r="T64" s="111">
        <f t="shared" si="11"/>
        <v>176.94514808701939</v>
      </c>
      <c r="U64" s="114">
        <f t="shared" si="4"/>
        <v>3.98004706603921</v>
      </c>
      <c r="V64" s="114">
        <f t="shared" si="12"/>
        <v>7.6952626359044203</v>
      </c>
      <c r="W64" s="114">
        <f t="shared" si="13"/>
        <v>9.1952626359044203</v>
      </c>
      <c r="X64" s="165" ph="1">
        <v>20</v>
      </c>
      <c r="Y64" s="114" t="str">
        <f t="shared" si="6"/>
        <v>OK</v>
      </c>
    </row>
    <row r="65" spans="1:25" ht="12" customHeight="1" x14ac:dyDescent="0.3">
      <c r="A65" s="110">
        <v>43</v>
      </c>
      <c r="B65" s="110" t="s">
        <v>140</v>
      </c>
      <c r="C65" s="110">
        <v>7</v>
      </c>
      <c r="D65" s="111">
        <v>0</v>
      </c>
      <c r="E65" s="111">
        <v>0</v>
      </c>
      <c r="F65" s="111">
        <f t="shared" si="1"/>
        <v>0</v>
      </c>
      <c r="G65" s="111">
        <f t="shared" si="9"/>
        <v>67.835364999999996</v>
      </c>
      <c r="H65" s="111">
        <v>0</v>
      </c>
      <c r="I65" s="111">
        <f t="shared" si="7"/>
        <v>74.618901500000007</v>
      </c>
      <c r="J65" s="111">
        <v>355</v>
      </c>
      <c r="K65" s="112">
        <v>0.75</v>
      </c>
      <c r="L65" s="112">
        <v>4</v>
      </c>
      <c r="M65" s="113">
        <v>1</v>
      </c>
      <c r="N65" s="113">
        <v>1.5</v>
      </c>
      <c r="O65" s="113">
        <v>1</v>
      </c>
      <c r="P65" s="113">
        <f t="shared" si="2"/>
        <v>166.72900347564453</v>
      </c>
      <c r="Q65" s="113">
        <v>0</v>
      </c>
      <c r="R65" s="113">
        <v>36.193548126965503</v>
      </c>
      <c r="S65" s="114">
        <f t="shared" si="8"/>
        <v>178.12489825411379</v>
      </c>
      <c r="T65" s="111">
        <f t="shared" si="11"/>
        <v>187.98308681510659</v>
      </c>
      <c r="U65" s="114">
        <f t="shared" si="4"/>
        <v>3.98004706603921</v>
      </c>
      <c r="V65" s="114">
        <f t="shared" si="12"/>
        <v>7.4659209562871363</v>
      </c>
      <c r="W65" s="114">
        <f t="shared" si="13"/>
        <v>8.9659209562871354</v>
      </c>
      <c r="X65" s="165" ph="1">
        <v>20</v>
      </c>
      <c r="Y65" s="114" t="str">
        <f t="shared" si="6"/>
        <v>OK</v>
      </c>
    </row>
    <row r="66" spans="1:25" ht="12" customHeight="1" x14ac:dyDescent="0.3">
      <c r="A66" s="110">
        <v>44</v>
      </c>
      <c r="B66" s="110" t="s">
        <v>140</v>
      </c>
      <c r="C66" s="110">
        <v>7</v>
      </c>
      <c r="D66" s="111">
        <v>0</v>
      </c>
      <c r="E66" s="111">
        <v>0</v>
      </c>
      <c r="F66" s="111">
        <f t="shared" si="1"/>
        <v>0</v>
      </c>
      <c r="G66" s="111">
        <f t="shared" si="9"/>
        <v>67.835364999999996</v>
      </c>
      <c r="H66" s="111">
        <v>0</v>
      </c>
      <c r="I66" s="111">
        <f t="shared" si="7"/>
        <v>74.618901500000007</v>
      </c>
      <c r="J66" s="111">
        <v>355</v>
      </c>
      <c r="K66" s="112">
        <v>0.75</v>
      </c>
      <c r="L66" s="112">
        <v>4</v>
      </c>
      <c r="M66" s="113">
        <v>1</v>
      </c>
      <c r="N66" s="113">
        <v>1.5</v>
      </c>
      <c r="O66" s="113">
        <v>1</v>
      </c>
      <c r="P66" s="113">
        <f t="shared" si="2"/>
        <v>166.72900347564453</v>
      </c>
      <c r="Q66" s="113">
        <v>0</v>
      </c>
      <c r="R66" s="113">
        <v>29.7752934345142</v>
      </c>
      <c r="S66" s="114">
        <f t="shared" si="8"/>
        <v>174.52296381082851</v>
      </c>
      <c r="T66" s="111">
        <f t="shared" si="11"/>
        <v>192.66560159137742</v>
      </c>
      <c r="U66" s="114">
        <f t="shared" si="4"/>
        <v>3.98004706603921</v>
      </c>
      <c r="V66" s="114">
        <f t="shared" si="12"/>
        <v>7.3746376206677153</v>
      </c>
      <c r="W66" s="114">
        <f t="shared" si="13"/>
        <v>8.8746376206677162</v>
      </c>
      <c r="X66" s="165" ph="1">
        <v>20</v>
      </c>
      <c r="Y66" s="114" t="str">
        <f t="shared" si="6"/>
        <v>OK</v>
      </c>
    </row>
    <row r="67" spans="1:25" ht="12" customHeight="1" x14ac:dyDescent="0.3">
      <c r="A67" s="110">
        <v>45</v>
      </c>
      <c r="B67" s="110" t="s">
        <v>140</v>
      </c>
      <c r="C67" s="110">
        <v>7</v>
      </c>
      <c r="D67" s="111">
        <v>0</v>
      </c>
      <c r="E67" s="111">
        <v>0</v>
      </c>
      <c r="F67" s="111">
        <f t="shared" si="1"/>
        <v>0</v>
      </c>
      <c r="G67" s="111">
        <f t="shared" si="9"/>
        <v>67.835364999999996</v>
      </c>
      <c r="H67" s="111">
        <v>0</v>
      </c>
      <c r="I67" s="111">
        <f t="shared" si="7"/>
        <v>74.618901500000007</v>
      </c>
      <c r="J67" s="111">
        <v>355</v>
      </c>
      <c r="K67" s="112">
        <v>0.75</v>
      </c>
      <c r="L67" s="112">
        <v>4</v>
      </c>
      <c r="M67" s="113">
        <v>1</v>
      </c>
      <c r="N67" s="113">
        <v>1.5</v>
      </c>
      <c r="O67" s="113">
        <v>1</v>
      </c>
      <c r="P67" s="113">
        <f t="shared" si="2"/>
        <v>166.72900347564453</v>
      </c>
      <c r="Q67" s="113">
        <v>0</v>
      </c>
      <c r="R67" s="113">
        <v>17.5717715412801</v>
      </c>
      <c r="S67" s="114">
        <f t="shared" si="8"/>
        <v>169.4841056420286</v>
      </c>
      <c r="T67" s="111">
        <f t="shared" si="11"/>
        <v>199.21611721081734</v>
      </c>
      <c r="U67" s="114">
        <f t="shared" si="4"/>
        <v>3.98004706603921</v>
      </c>
      <c r="V67" s="114">
        <f t="shared" si="12"/>
        <v>7.2523798125491634</v>
      </c>
      <c r="W67" s="114">
        <f t="shared" si="13"/>
        <v>8.7523798125491634</v>
      </c>
      <c r="X67" s="165" ph="1">
        <v>20</v>
      </c>
      <c r="Y67" s="114" t="str">
        <f t="shared" si="6"/>
        <v>OK</v>
      </c>
    </row>
    <row r="68" spans="1:25" ht="12" customHeight="1" x14ac:dyDescent="0.3">
      <c r="A68" s="110">
        <v>46</v>
      </c>
      <c r="B68" s="110" t="s">
        <v>140</v>
      </c>
      <c r="C68" s="110">
        <v>7</v>
      </c>
      <c r="D68" s="111">
        <v>0</v>
      </c>
      <c r="E68" s="111">
        <v>0</v>
      </c>
      <c r="F68" s="111">
        <f t="shared" si="1"/>
        <v>0</v>
      </c>
      <c r="G68" s="111">
        <f t="shared" si="9"/>
        <v>67.835364999999996</v>
      </c>
      <c r="H68" s="111">
        <v>0</v>
      </c>
      <c r="I68" s="111">
        <f t="shared" si="7"/>
        <v>74.618901500000007</v>
      </c>
      <c r="J68" s="111">
        <v>355</v>
      </c>
      <c r="K68" s="112">
        <v>0.75</v>
      </c>
      <c r="L68" s="112">
        <v>4</v>
      </c>
      <c r="M68" s="113">
        <v>1</v>
      </c>
      <c r="N68" s="113">
        <v>1.5</v>
      </c>
      <c r="O68" s="113">
        <v>1</v>
      </c>
      <c r="P68" s="113">
        <f t="shared" si="2"/>
        <v>166.72900347564453</v>
      </c>
      <c r="Q68" s="113">
        <v>0</v>
      </c>
      <c r="R68" s="113">
        <v>11.153516848828399</v>
      </c>
      <c r="S68" s="114">
        <f t="shared" si="8"/>
        <v>167.84446197081624</v>
      </c>
      <c r="T68" s="111">
        <f t="shared" si="11"/>
        <v>201.3476539833934</v>
      </c>
      <c r="U68" s="114">
        <f t="shared" si="4"/>
        <v>3.98004706603921</v>
      </c>
      <c r="V68" s="114">
        <f t="shared" si="12"/>
        <v>7.2138895575213748</v>
      </c>
      <c r="W68" s="114">
        <f t="shared" si="13"/>
        <v>8.7138895575213748</v>
      </c>
      <c r="X68" s="165" ph="1">
        <v>20</v>
      </c>
      <c r="Y68" s="114" t="str">
        <f t="shared" si="6"/>
        <v>OK</v>
      </c>
    </row>
    <row r="69" spans="1:25" ht="12" customHeight="1" x14ac:dyDescent="0.3">
      <c r="A69" s="110">
        <v>47</v>
      </c>
      <c r="B69" s="110" t="s">
        <v>140</v>
      </c>
      <c r="C69" s="110">
        <v>7</v>
      </c>
      <c r="D69" s="111">
        <v>0</v>
      </c>
      <c r="E69" s="111">
        <v>0</v>
      </c>
      <c r="F69" s="111">
        <f t="shared" si="1"/>
        <v>0</v>
      </c>
      <c r="G69" s="111">
        <f t="shared" si="9"/>
        <v>67.835364999999996</v>
      </c>
      <c r="H69" s="111">
        <v>0</v>
      </c>
      <c r="I69" s="111">
        <f t="shared" si="7"/>
        <v>74.618901500000007</v>
      </c>
      <c r="J69" s="111">
        <v>355</v>
      </c>
      <c r="K69" s="112">
        <v>0.75</v>
      </c>
      <c r="L69" s="112">
        <v>4</v>
      </c>
      <c r="M69" s="113">
        <v>1</v>
      </c>
      <c r="N69" s="113">
        <v>1.5</v>
      </c>
      <c r="O69" s="113">
        <v>1</v>
      </c>
      <c r="P69" s="113">
        <f t="shared" si="2"/>
        <v>166.72900347564453</v>
      </c>
      <c r="Q69" s="113">
        <v>0</v>
      </c>
      <c r="R69" s="113">
        <v>7.4682597368562504</v>
      </c>
      <c r="S69" s="114">
        <f t="shared" si="8"/>
        <v>167.23003710599639</v>
      </c>
      <c r="T69" s="111">
        <f t="shared" si="11"/>
        <v>202.14640630765919</v>
      </c>
      <c r="U69" s="114">
        <f t="shared" si="4"/>
        <v>3.98004706603921</v>
      </c>
      <c r="V69" s="114">
        <f t="shared" si="12"/>
        <v>7.1996231293734061</v>
      </c>
      <c r="W69" s="114">
        <f t="shared" si="13"/>
        <v>8.699623129373407</v>
      </c>
      <c r="X69" s="165" ph="1">
        <v>20</v>
      </c>
      <c r="Y69" s="114" t="str">
        <f t="shared" si="6"/>
        <v>OK</v>
      </c>
    </row>
    <row r="70" spans="1:25" ht="12" customHeight="1" x14ac:dyDescent="0.3">
      <c r="A70" s="110">
        <v>48</v>
      </c>
      <c r="B70" s="110" t="s">
        <v>140</v>
      </c>
      <c r="C70" s="110">
        <v>7</v>
      </c>
      <c r="D70" s="111">
        <v>0</v>
      </c>
      <c r="E70" s="111">
        <v>0</v>
      </c>
      <c r="F70" s="111">
        <f t="shared" si="1"/>
        <v>0</v>
      </c>
      <c r="G70" s="111">
        <f t="shared" si="9"/>
        <v>67.835364999999996</v>
      </c>
      <c r="H70" s="111">
        <v>0</v>
      </c>
      <c r="I70" s="111">
        <f t="shared" si="7"/>
        <v>74.618901500000007</v>
      </c>
      <c r="J70" s="111">
        <v>355</v>
      </c>
      <c r="K70" s="112">
        <v>0.75</v>
      </c>
      <c r="L70" s="112">
        <v>4</v>
      </c>
      <c r="M70" s="113">
        <v>1</v>
      </c>
      <c r="N70" s="113">
        <v>1.5</v>
      </c>
      <c r="O70" s="113">
        <v>1</v>
      </c>
      <c r="P70" s="113">
        <f t="shared" si="2"/>
        <v>166.72900347564453</v>
      </c>
      <c r="Q70" s="113">
        <v>0</v>
      </c>
      <c r="R70" s="113">
        <v>13.8865144293068</v>
      </c>
      <c r="S70" s="114">
        <f t="shared" si="8"/>
        <v>168.45493892720251</v>
      </c>
      <c r="T70" s="111">
        <f t="shared" si="11"/>
        <v>200.55403394009124</v>
      </c>
      <c r="U70" s="114">
        <f t="shared" si="4"/>
        <v>3.98004706603921</v>
      </c>
      <c r="V70" s="114">
        <f t="shared" si="12"/>
        <v>7.2281486443832996</v>
      </c>
      <c r="W70" s="114">
        <f t="shared" si="13"/>
        <v>8.7281486443832996</v>
      </c>
      <c r="X70" s="165" ph="1">
        <v>20</v>
      </c>
      <c r="Y70" s="114" t="str">
        <f t="shared" si="6"/>
        <v>OK</v>
      </c>
    </row>
    <row r="71" spans="1:25" ht="12" customHeight="1" x14ac:dyDescent="0.3">
      <c r="A71" s="110">
        <v>49</v>
      </c>
      <c r="B71" s="110" t="s">
        <v>140</v>
      </c>
      <c r="C71" s="110">
        <v>7</v>
      </c>
      <c r="D71" s="111">
        <v>0</v>
      </c>
      <c r="E71" s="111">
        <v>0</v>
      </c>
      <c r="F71" s="111">
        <f t="shared" si="1"/>
        <v>0</v>
      </c>
      <c r="G71" s="111">
        <f>1.025*9.81*(($F$10+0.76)-C71)+25</f>
        <v>67.835364999999996</v>
      </c>
      <c r="H71" s="111">
        <v>0</v>
      </c>
      <c r="I71" s="111">
        <f t="shared" si="7"/>
        <v>74.618901500000007</v>
      </c>
      <c r="J71" s="111">
        <v>355</v>
      </c>
      <c r="K71" s="112">
        <v>0.75</v>
      </c>
      <c r="L71" s="112">
        <v>4</v>
      </c>
      <c r="M71" s="113">
        <v>1</v>
      </c>
      <c r="N71" s="113">
        <v>1.5</v>
      </c>
      <c r="O71" s="113">
        <v>1</v>
      </c>
      <c r="P71" s="113">
        <f>$M$11/ABS(($M$12/(C71-$M$13)))/1000</f>
        <v>166.72900347564453</v>
      </c>
      <c r="Q71" s="113">
        <v>0</v>
      </c>
      <c r="R71" s="113">
        <v>26.090036322542002</v>
      </c>
      <c r="S71" s="114">
        <f t="shared" si="8"/>
        <v>172.74440826236943</v>
      </c>
      <c r="T71" s="111">
        <f t="shared" si="11"/>
        <v>194.97772380437425</v>
      </c>
      <c r="U71" s="114">
        <f t="shared" si="4"/>
        <v>3.98004706603921</v>
      </c>
      <c r="V71" s="114">
        <f t="shared" si="12"/>
        <v>7.3307815466836299</v>
      </c>
      <c r="W71" s="114">
        <f t="shared" si="13"/>
        <v>8.8307815466836299</v>
      </c>
      <c r="X71" s="165" ph="1">
        <v>20</v>
      </c>
      <c r="Y71" s="114" t="str">
        <f t="shared" si="6"/>
        <v>OK</v>
      </c>
    </row>
    <row r="72" spans="1:25" ht="12" customHeight="1" x14ac:dyDescent="0.3">
      <c r="A72" s="110">
        <v>50</v>
      </c>
      <c r="B72" s="110" t="s">
        <v>140</v>
      </c>
      <c r="C72" s="110">
        <v>7</v>
      </c>
      <c r="D72" s="111">
        <v>0</v>
      </c>
      <c r="E72" s="111">
        <v>0</v>
      </c>
      <c r="F72" s="111">
        <f t="shared" si="1"/>
        <v>0</v>
      </c>
      <c r="G72" s="111">
        <f>1.025*9.81*(($F$10+0.76)-C72)+25</f>
        <v>67.835364999999996</v>
      </c>
      <c r="H72" s="111">
        <v>0</v>
      </c>
      <c r="I72" s="111">
        <f t="shared" si="7"/>
        <v>74.618901500000007</v>
      </c>
      <c r="J72" s="111">
        <v>355</v>
      </c>
      <c r="K72" s="112">
        <v>0.75</v>
      </c>
      <c r="L72" s="112">
        <v>4</v>
      </c>
      <c r="M72" s="113">
        <v>1</v>
      </c>
      <c r="N72" s="113">
        <v>1.5</v>
      </c>
      <c r="O72" s="113">
        <v>1</v>
      </c>
      <c r="P72" s="113">
        <f t="shared" ref="P72:P84" si="14">$M$11/ABS(($M$12/(C72-$M$13)))/1000</f>
        <v>166.72900347564453</v>
      </c>
      <c r="Q72" s="113">
        <v>0</v>
      </c>
      <c r="R72" s="113">
        <v>32.508291014992302</v>
      </c>
      <c r="S72" s="114">
        <f t="shared" si="8"/>
        <v>175.9799066772334</v>
      </c>
      <c r="T72" s="111">
        <f t="shared" si="11"/>
        <v>190.77157586505109</v>
      </c>
      <c r="U72" s="114">
        <f t="shared" si="4"/>
        <v>3.98004706603921</v>
      </c>
      <c r="V72" s="114">
        <f t="shared" si="12"/>
        <v>7.4111557852713599</v>
      </c>
      <c r="W72" s="114">
        <f t="shared" si="13"/>
        <v>8.9111557852713599</v>
      </c>
      <c r="X72" s="165" ph="1">
        <v>20</v>
      </c>
      <c r="Y72" s="114" t="str">
        <f t="shared" si="6"/>
        <v>OK</v>
      </c>
    </row>
    <row r="73" spans="1:25" ht="12" customHeight="1" x14ac:dyDescent="0.3">
      <c r="A73" s="110">
        <v>51</v>
      </c>
      <c r="B73" s="110" t="s">
        <v>140</v>
      </c>
      <c r="C73" s="110">
        <v>7</v>
      </c>
      <c r="D73" s="111">
        <v>0</v>
      </c>
      <c r="E73" s="111">
        <v>0</v>
      </c>
      <c r="F73" s="111">
        <f t="shared" si="1"/>
        <v>0</v>
      </c>
      <c r="G73" s="111">
        <f t="shared" ref="G73:G96" si="15">1.025*9.81*(($F$10+0.76)-C73)+25</f>
        <v>67.835364999999996</v>
      </c>
      <c r="H73" s="111">
        <v>0</v>
      </c>
      <c r="I73" s="111">
        <f t="shared" si="7"/>
        <v>74.618901500000007</v>
      </c>
      <c r="J73" s="111">
        <v>355</v>
      </c>
      <c r="K73" s="112">
        <v>0.75</v>
      </c>
      <c r="L73" s="112">
        <v>4</v>
      </c>
      <c r="M73" s="113">
        <v>1</v>
      </c>
      <c r="N73" s="113">
        <v>1.5</v>
      </c>
      <c r="O73" s="113">
        <v>1</v>
      </c>
      <c r="P73" s="113">
        <f t="shared" si="14"/>
        <v>166.72900347564453</v>
      </c>
      <c r="Q73" s="113">
        <v>0</v>
      </c>
      <c r="R73" s="113">
        <v>44.711812908226797</v>
      </c>
      <c r="S73" s="114">
        <f t="shared" si="8"/>
        <v>183.83688215535619</v>
      </c>
      <c r="T73" s="111">
        <f t="shared" si="11"/>
        <v>180.55750774349144</v>
      </c>
      <c r="U73" s="114">
        <f t="shared" si="4"/>
        <v>3.98004706603921</v>
      </c>
      <c r="V73" s="114">
        <f t="shared" si="12"/>
        <v>7.6178953141358248</v>
      </c>
      <c r="W73" s="114">
        <f t="shared" si="13"/>
        <v>9.1178953141358257</v>
      </c>
      <c r="X73" s="165" ph="1">
        <v>20</v>
      </c>
      <c r="Y73" s="114" t="str">
        <f t="shared" si="6"/>
        <v>OK</v>
      </c>
    </row>
    <row r="74" spans="1:25" ht="12" customHeight="1" x14ac:dyDescent="0.3">
      <c r="A74" s="110">
        <v>52</v>
      </c>
      <c r="B74" s="110" t="s">
        <v>140</v>
      </c>
      <c r="C74" s="110">
        <v>7</v>
      </c>
      <c r="D74" s="111">
        <v>0</v>
      </c>
      <c r="E74" s="111">
        <v>0</v>
      </c>
      <c r="F74" s="111">
        <f t="shared" si="1"/>
        <v>0</v>
      </c>
      <c r="G74" s="111">
        <f t="shared" si="15"/>
        <v>67.835364999999996</v>
      </c>
      <c r="H74" s="111">
        <v>0</v>
      </c>
      <c r="I74" s="111">
        <f t="shared" si="7"/>
        <v>74.618901500000007</v>
      </c>
      <c r="J74" s="111">
        <v>355</v>
      </c>
      <c r="K74" s="112">
        <v>0.75</v>
      </c>
      <c r="L74" s="112">
        <v>4</v>
      </c>
      <c r="M74" s="113">
        <v>1</v>
      </c>
      <c r="N74" s="113">
        <v>1.5</v>
      </c>
      <c r="O74" s="113">
        <v>1</v>
      </c>
      <c r="P74" s="113">
        <f t="shared" si="14"/>
        <v>166.72900347564453</v>
      </c>
      <c r="Q74" s="113">
        <v>0</v>
      </c>
      <c r="R74" s="113">
        <v>51.1300676006774</v>
      </c>
      <c r="S74" s="114">
        <f t="shared" si="8"/>
        <v>188.78933242779107</v>
      </c>
      <c r="T74" s="111">
        <f t="shared" si="11"/>
        <v>174.11932238932613</v>
      </c>
      <c r="U74" s="114">
        <f t="shared" si="4"/>
        <v>3.98004706603921</v>
      </c>
      <c r="V74" s="114">
        <f t="shared" si="12"/>
        <v>7.7574554793139203</v>
      </c>
      <c r="W74" s="114">
        <f t="shared" si="13"/>
        <v>9.2574554793139203</v>
      </c>
      <c r="X74" s="165" ph="1">
        <v>20</v>
      </c>
      <c r="Y74" s="114" t="str">
        <f t="shared" si="6"/>
        <v>OK</v>
      </c>
    </row>
    <row r="75" spans="1:25" ht="12" customHeight="1" x14ac:dyDescent="0.3">
      <c r="A75" s="110">
        <v>53</v>
      </c>
      <c r="B75" s="110" t="s">
        <v>140</v>
      </c>
      <c r="C75" s="110">
        <v>7</v>
      </c>
      <c r="D75" s="111">
        <v>0</v>
      </c>
      <c r="E75" s="111">
        <v>0</v>
      </c>
      <c r="F75" s="111">
        <f t="shared" si="1"/>
        <v>0</v>
      </c>
      <c r="G75" s="111">
        <f t="shared" si="15"/>
        <v>67.835364999999996</v>
      </c>
      <c r="H75" s="111">
        <v>0</v>
      </c>
      <c r="I75" s="111">
        <f t="shared" si="7"/>
        <v>74.618901500000007</v>
      </c>
      <c r="J75" s="111">
        <v>355</v>
      </c>
      <c r="K75" s="112">
        <v>0.75</v>
      </c>
      <c r="L75" s="112">
        <v>4</v>
      </c>
      <c r="M75" s="113">
        <v>1</v>
      </c>
      <c r="N75" s="113">
        <v>1.5</v>
      </c>
      <c r="O75" s="113">
        <v>1</v>
      </c>
      <c r="P75" s="113">
        <f t="shared" si="14"/>
        <v>166.72900347564453</v>
      </c>
      <c r="Q75" s="113">
        <v>0</v>
      </c>
      <c r="R75" s="113">
        <v>63.333587055105298</v>
      </c>
      <c r="S75" s="114">
        <f t="shared" si="8"/>
        <v>199.57953389007926</v>
      </c>
      <c r="T75" s="111">
        <f t="shared" si="11"/>
        <v>160.09206048835145</v>
      </c>
      <c r="U75" s="114">
        <f t="shared" si="4"/>
        <v>3.98004706603921</v>
      </c>
      <c r="V75" s="114">
        <f t="shared" si="12"/>
        <v>8.0901743075301962</v>
      </c>
      <c r="W75" s="114">
        <f t="shared" si="13"/>
        <v>9.5901743075301962</v>
      </c>
      <c r="X75" s="165" ph="1">
        <v>20</v>
      </c>
      <c r="Y75" s="114" t="str">
        <f t="shared" si="6"/>
        <v>OK</v>
      </c>
    </row>
    <row r="76" spans="1:25" ht="12" customHeight="1" x14ac:dyDescent="0.3">
      <c r="A76" s="110">
        <v>54</v>
      </c>
      <c r="B76" s="110" t="s">
        <v>140</v>
      </c>
      <c r="C76" s="110">
        <v>7</v>
      </c>
      <c r="D76" s="111">
        <v>0</v>
      </c>
      <c r="E76" s="111">
        <v>0</v>
      </c>
      <c r="F76" s="111">
        <f t="shared" si="1"/>
        <v>0</v>
      </c>
      <c r="G76" s="111">
        <f t="shared" si="15"/>
        <v>67.835364999999996</v>
      </c>
      <c r="H76" s="111">
        <v>0</v>
      </c>
      <c r="I76" s="111">
        <f t="shared" si="7"/>
        <v>74.618901500000007</v>
      </c>
      <c r="J76" s="111">
        <v>355</v>
      </c>
      <c r="K76" s="112">
        <v>0.75</v>
      </c>
      <c r="L76" s="112">
        <v>4</v>
      </c>
      <c r="M76" s="113">
        <v>1</v>
      </c>
      <c r="N76" s="113">
        <v>1.5</v>
      </c>
      <c r="O76" s="113">
        <v>1</v>
      </c>
      <c r="P76" s="113">
        <f t="shared" si="14"/>
        <v>166.72900347564453</v>
      </c>
      <c r="Q76" s="113">
        <v>0</v>
      </c>
      <c r="R76" s="113">
        <v>69.751839308750107</v>
      </c>
      <c r="S76" s="114">
        <f t="shared" si="8"/>
        <v>205.89929057877441</v>
      </c>
      <c r="T76" s="111">
        <f t="shared" si="11"/>
        <v>151.87637679304777</v>
      </c>
      <c r="U76" s="114">
        <f t="shared" si="4"/>
        <v>3.98004706603921</v>
      </c>
      <c r="V76" s="114">
        <f t="shared" si="12"/>
        <v>8.3061096890032342</v>
      </c>
      <c r="W76" s="114">
        <f t="shared" si="13"/>
        <v>9.8061096890032342</v>
      </c>
      <c r="X76" s="165" ph="1">
        <v>20</v>
      </c>
      <c r="Y76" s="114" t="str">
        <f t="shared" si="6"/>
        <v>OK</v>
      </c>
    </row>
    <row r="77" spans="1:25" ht="12" customHeight="1" x14ac:dyDescent="0.3">
      <c r="A77" s="82">
        <v>57</v>
      </c>
      <c r="B77" s="82" t="s">
        <v>141</v>
      </c>
      <c r="C77" s="82">
        <v>0</v>
      </c>
      <c r="D77" s="83">
        <v>0</v>
      </c>
      <c r="E77" s="83">
        <v>0</v>
      </c>
      <c r="F77" s="83">
        <f t="shared" si="1"/>
        <v>0</v>
      </c>
      <c r="G77" s="83">
        <f t="shared" si="15"/>
        <v>138.22211499999997</v>
      </c>
      <c r="H77" s="83">
        <v>0</v>
      </c>
      <c r="I77" s="83">
        <f t="shared" si="7"/>
        <v>152.04432649999998</v>
      </c>
      <c r="J77" s="83">
        <v>355</v>
      </c>
      <c r="K77" s="84">
        <v>0.7</v>
      </c>
      <c r="L77" s="84">
        <v>4</v>
      </c>
      <c r="M77" s="85">
        <v>1</v>
      </c>
      <c r="N77" s="85">
        <v>1.5</v>
      </c>
      <c r="O77" s="85">
        <v>1</v>
      </c>
      <c r="P77" s="85">
        <f t="shared" si="14"/>
        <v>184.5964102298075</v>
      </c>
      <c r="Q77" s="85">
        <v>0</v>
      </c>
      <c r="R77" s="85">
        <v>117.963187790492</v>
      </c>
      <c r="S77" s="86">
        <f t="shared" si="8"/>
        <v>275.35754155427816</v>
      </c>
      <c r="T77" s="83">
        <f t="shared" si="11"/>
        <v>61.580650524892896</v>
      </c>
      <c r="U77" s="86">
        <f t="shared" si="4"/>
        <v>3.98004706603921</v>
      </c>
      <c r="V77" s="86">
        <f t="shared" si="12"/>
        <v>17.378732576848794</v>
      </c>
      <c r="W77" s="86">
        <f t="shared" si="13"/>
        <v>18.878732576848794</v>
      </c>
      <c r="X77" s="164" ph="1">
        <v>20</v>
      </c>
      <c r="Y77" s="86" t="str">
        <f t="shared" si="6"/>
        <v>OK</v>
      </c>
    </row>
    <row r="78" spans="1:25" ht="12" customHeight="1" x14ac:dyDescent="0.3">
      <c r="A78" s="82">
        <v>58</v>
      </c>
      <c r="B78" s="82" t="s">
        <v>141</v>
      </c>
      <c r="C78" s="82">
        <v>0.35000001662410801</v>
      </c>
      <c r="D78" s="83">
        <v>0</v>
      </c>
      <c r="E78" s="83">
        <v>0</v>
      </c>
      <c r="F78" s="83">
        <f t="shared" si="1"/>
        <v>0</v>
      </c>
      <c r="G78" s="83">
        <f t="shared" si="15"/>
        <v>134.70277733284041</v>
      </c>
      <c r="H78" s="83">
        <v>0</v>
      </c>
      <c r="I78" s="83">
        <f t="shared" si="7"/>
        <v>148.17305506612448</v>
      </c>
      <c r="J78" s="83">
        <v>355</v>
      </c>
      <c r="K78" s="84">
        <v>0.7</v>
      </c>
      <c r="L78" s="84">
        <v>4</v>
      </c>
      <c r="M78" s="85">
        <v>1</v>
      </c>
      <c r="N78" s="85">
        <v>1.5</v>
      </c>
      <c r="O78" s="85">
        <v>1</v>
      </c>
      <c r="P78" s="85">
        <f t="shared" si="14"/>
        <v>167.03013871018186</v>
      </c>
      <c r="Q78" s="85">
        <v>0</v>
      </c>
      <c r="R78" s="85">
        <v>123.685354468524</v>
      </c>
      <c r="S78" s="86">
        <f t="shared" si="8"/>
        <v>271.64916338460512</v>
      </c>
      <c r="T78" s="83">
        <f t="shared" si="11"/>
        <v>66.401542145467843</v>
      </c>
      <c r="U78" s="86">
        <f t="shared" si="4"/>
        <v>3.98004706603921</v>
      </c>
      <c r="V78" s="86">
        <f t="shared" si="12"/>
        <v>16.521545157879974</v>
      </c>
      <c r="W78" s="86">
        <f t="shared" si="13"/>
        <v>18.021545157879974</v>
      </c>
      <c r="X78" s="164" ph="1">
        <v>20</v>
      </c>
      <c r="Y78" s="86" t="str">
        <f t="shared" si="6"/>
        <v>OK</v>
      </c>
    </row>
    <row r="79" spans="1:25" ht="12" customHeight="1" x14ac:dyDescent="0.3">
      <c r="A79" s="82">
        <v>59</v>
      </c>
      <c r="B79" s="82" t="s">
        <v>141</v>
      </c>
      <c r="C79" s="82">
        <v>0.70000003324821602</v>
      </c>
      <c r="D79" s="83">
        <v>0</v>
      </c>
      <c r="E79" s="83">
        <v>0</v>
      </c>
      <c r="F79" s="83">
        <f t="shared" si="1"/>
        <v>0</v>
      </c>
      <c r="G79" s="83">
        <f t="shared" si="15"/>
        <v>131.18343966568085</v>
      </c>
      <c r="H79" s="83">
        <v>0</v>
      </c>
      <c r="I79" s="83">
        <f t="shared" si="7"/>
        <v>144.30178363224894</v>
      </c>
      <c r="J79" s="83">
        <v>355</v>
      </c>
      <c r="K79" s="84">
        <v>0.7</v>
      </c>
      <c r="L79" s="84">
        <v>4</v>
      </c>
      <c r="M79" s="85">
        <v>1</v>
      </c>
      <c r="N79" s="85">
        <v>1.5</v>
      </c>
      <c r="O79" s="85">
        <v>1</v>
      </c>
      <c r="P79" s="85">
        <f t="shared" si="14"/>
        <v>149.46386719055616</v>
      </c>
      <c r="Q79" s="85">
        <v>0</v>
      </c>
      <c r="R79" s="85">
        <v>128.77441096678601</v>
      </c>
      <c r="S79" s="86">
        <f t="shared" si="8"/>
        <v>268.49207503217724</v>
      </c>
      <c r="T79" s="83">
        <f t="shared" si="11"/>
        <v>70.505757003624083</v>
      </c>
      <c r="U79" s="86">
        <f t="shared" si="4"/>
        <v>3.98004706603921</v>
      </c>
      <c r="V79" s="86">
        <f t="shared" si="12"/>
        <v>15.822630512673813</v>
      </c>
      <c r="W79" s="86">
        <f t="shared" si="13"/>
        <v>17.322630512673811</v>
      </c>
      <c r="X79" s="164" ph="1">
        <v>20</v>
      </c>
      <c r="Y79" s="86" t="str">
        <f t="shared" si="6"/>
        <v>OK</v>
      </c>
    </row>
    <row r="80" spans="1:25" ht="12" customHeight="1" x14ac:dyDescent="0.3">
      <c r="A80" s="82">
        <v>60</v>
      </c>
      <c r="B80" s="82" t="s">
        <v>141</v>
      </c>
      <c r="C80" s="82">
        <v>1.0500000498723201</v>
      </c>
      <c r="D80" s="83">
        <v>0</v>
      </c>
      <c r="E80" s="83">
        <v>0</v>
      </c>
      <c r="F80" s="83">
        <f t="shared" si="1"/>
        <v>0</v>
      </c>
      <c r="G80" s="83">
        <f t="shared" si="15"/>
        <v>127.66410199852135</v>
      </c>
      <c r="H80" s="83">
        <v>0</v>
      </c>
      <c r="I80" s="83">
        <f t="shared" si="7"/>
        <v>140.43051219837349</v>
      </c>
      <c r="J80" s="83">
        <v>355</v>
      </c>
      <c r="K80" s="84">
        <v>0.7</v>
      </c>
      <c r="L80" s="84">
        <v>4</v>
      </c>
      <c r="M80" s="85">
        <v>1</v>
      </c>
      <c r="N80" s="85">
        <v>1.5</v>
      </c>
      <c r="O80" s="85">
        <v>1</v>
      </c>
      <c r="P80" s="85">
        <f t="shared" si="14"/>
        <v>131.89759567093066</v>
      </c>
      <c r="Q80" s="85">
        <v>0</v>
      </c>
      <c r="R80" s="85">
        <v>133.23035728527901</v>
      </c>
      <c r="S80" s="86">
        <f t="shared" si="8"/>
        <v>265.79683980600976</v>
      </c>
      <c r="T80" s="83">
        <f t="shared" si="11"/>
        <v>74.00956279764182</v>
      </c>
      <c r="U80" s="86">
        <f t="shared" si="4"/>
        <v>3.98004706603921</v>
      </c>
      <c r="V80" s="86">
        <f t="shared" si="12"/>
        <v>15.234982074459598</v>
      </c>
      <c r="W80" s="86">
        <f t="shared" si="13"/>
        <v>16.734982074459598</v>
      </c>
      <c r="X80" s="164" ph="1">
        <v>20</v>
      </c>
      <c r="Y80" s="86" t="str">
        <f t="shared" si="6"/>
        <v>OK</v>
      </c>
    </row>
    <row r="81" spans="1:25" ht="12" customHeight="1" x14ac:dyDescent="0.3">
      <c r="A81" s="82">
        <v>61</v>
      </c>
      <c r="B81" s="82" t="s">
        <v>141</v>
      </c>
      <c r="C81" s="82">
        <v>1.4000000664964301</v>
      </c>
      <c r="D81" s="83">
        <v>0</v>
      </c>
      <c r="E81" s="83">
        <v>0</v>
      </c>
      <c r="F81" s="83">
        <f t="shared" si="1"/>
        <v>0</v>
      </c>
      <c r="G81" s="83">
        <f t="shared" si="15"/>
        <v>124.14476433136176</v>
      </c>
      <c r="H81" s="83">
        <v>0</v>
      </c>
      <c r="I81" s="83">
        <f t="shared" si="7"/>
        <v>136.55924076449793</v>
      </c>
      <c r="J81" s="83">
        <v>355</v>
      </c>
      <c r="K81" s="84">
        <v>0.7</v>
      </c>
      <c r="L81" s="84">
        <v>4</v>
      </c>
      <c r="M81" s="85">
        <v>1</v>
      </c>
      <c r="N81" s="85">
        <v>1.5</v>
      </c>
      <c r="O81" s="85">
        <v>1</v>
      </c>
      <c r="P81" s="85">
        <f t="shared" si="14"/>
        <v>114.33132415130487</v>
      </c>
      <c r="Q81" s="85">
        <v>0</v>
      </c>
      <c r="R81" s="85">
        <v>137.05319342400199</v>
      </c>
      <c r="S81" s="86">
        <f t="shared" si="8"/>
        <v>263.48128048372138</v>
      </c>
      <c r="T81" s="83">
        <f t="shared" si="11"/>
        <v>77.019789916616716</v>
      </c>
      <c r="U81" s="86">
        <f t="shared" si="4"/>
        <v>3.98004706603921</v>
      </c>
      <c r="V81" s="86">
        <f t="shared" si="12"/>
        <v>14.727007530757531</v>
      </c>
      <c r="W81" s="86">
        <f t="shared" si="13"/>
        <v>16.227007530757533</v>
      </c>
      <c r="X81" s="164" ph="1">
        <v>20</v>
      </c>
      <c r="Y81" s="86" t="str">
        <f t="shared" si="6"/>
        <v>OK</v>
      </c>
    </row>
    <row r="82" spans="1:25" ht="12" customHeight="1" x14ac:dyDescent="0.3">
      <c r="A82" s="82">
        <v>62</v>
      </c>
      <c r="B82" s="82" t="s">
        <v>141</v>
      </c>
      <c r="C82" s="82">
        <v>1.75000008312054</v>
      </c>
      <c r="D82" s="83">
        <v>0</v>
      </c>
      <c r="E82" s="83">
        <v>0</v>
      </c>
      <c r="F82" s="83">
        <f t="shared" si="1"/>
        <v>0</v>
      </c>
      <c r="G82" s="83">
        <f t="shared" si="15"/>
        <v>120.62542666420218</v>
      </c>
      <c r="H82" s="83">
        <v>0</v>
      </c>
      <c r="I82" s="83">
        <f t="shared" si="7"/>
        <v>132.68796933062242</v>
      </c>
      <c r="J82" s="83">
        <v>355</v>
      </c>
      <c r="K82" s="84">
        <v>0.7</v>
      </c>
      <c r="L82" s="84">
        <v>4</v>
      </c>
      <c r="M82" s="85">
        <v>1</v>
      </c>
      <c r="N82" s="85">
        <v>1.5</v>
      </c>
      <c r="O82" s="85">
        <v>1</v>
      </c>
      <c r="P82" s="85">
        <f t="shared" si="14"/>
        <v>96.765052631679069</v>
      </c>
      <c r="Q82" s="85">
        <v>0</v>
      </c>
      <c r="R82" s="85">
        <v>140.24291938295499</v>
      </c>
      <c r="S82" s="86">
        <f t="shared" si="8"/>
        <v>261.47218728188597</v>
      </c>
      <c r="T82" s="83">
        <f t="shared" si="11"/>
        <v>79.631611079002752</v>
      </c>
      <c r="U82" s="86">
        <f t="shared" si="4"/>
        <v>3.98004706603921</v>
      </c>
      <c r="V82" s="86">
        <f t="shared" si="12"/>
        <v>14.276710386985929</v>
      </c>
      <c r="W82" s="86">
        <f t="shared" si="13"/>
        <v>15.776710386985929</v>
      </c>
      <c r="X82" s="164" ph="1">
        <v>20</v>
      </c>
      <c r="Y82" s="86" t="str">
        <f t="shared" si="6"/>
        <v>OK</v>
      </c>
    </row>
    <row r="83" spans="1:25" ht="12" customHeight="1" x14ac:dyDescent="0.3">
      <c r="A83" s="82">
        <v>63</v>
      </c>
      <c r="B83" s="82" t="s">
        <v>141</v>
      </c>
      <c r="C83" s="82">
        <v>2.10000009974465</v>
      </c>
      <c r="D83" s="83">
        <v>0</v>
      </c>
      <c r="E83" s="83">
        <v>0</v>
      </c>
      <c r="F83" s="83">
        <f t="shared" si="1"/>
        <v>0</v>
      </c>
      <c r="G83" s="83">
        <f t="shared" si="15"/>
        <v>117.1060889970426</v>
      </c>
      <c r="H83" s="83">
        <v>0</v>
      </c>
      <c r="I83" s="83">
        <f t="shared" si="7"/>
        <v>128.81669789674689</v>
      </c>
      <c r="J83" s="83">
        <v>355</v>
      </c>
      <c r="K83" s="84">
        <v>0.7</v>
      </c>
      <c r="L83" s="84">
        <v>4</v>
      </c>
      <c r="M83" s="85">
        <v>1</v>
      </c>
      <c r="N83" s="85">
        <v>1.5</v>
      </c>
      <c r="O83" s="85">
        <v>1</v>
      </c>
      <c r="P83" s="85">
        <f t="shared" si="14"/>
        <v>79.198781112053283</v>
      </c>
      <c r="Q83" s="85">
        <v>0</v>
      </c>
      <c r="R83" s="85">
        <v>142.799535162138</v>
      </c>
      <c r="S83" s="86">
        <f t="shared" si="8"/>
        <v>259.70669736686227</v>
      </c>
      <c r="T83" s="83">
        <f t="shared" si="11"/>
        <v>81.926747968533547</v>
      </c>
      <c r="U83" s="86">
        <f t="shared" si="4"/>
        <v>3.98004706603921</v>
      </c>
      <c r="V83" s="86">
        <f t="shared" si="12"/>
        <v>13.868463568559335</v>
      </c>
      <c r="W83" s="86">
        <f t="shared" si="13"/>
        <v>15.368463568559335</v>
      </c>
      <c r="X83" s="164" ph="1">
        <v>20</v>
      </c>
      <c r="Y83" s="86" t="str">
        <f t="shared" si="6"/>
        <v>OK</v>
      </c>
    </row>
    <row r="84" spans="1:25" ht="12" customHeight="1" x14ac:dyDescent="0.3">
      <c r="A84" s="82">
        <v>64</v>
      </c>
      <c r="B84" s="82" t="s">
        <v>141</v>
      </c>
      <c r="C84" s="82">
        <v>2.4500001163687601</v>
      </c>
      <c r="D84" s="83">
        <v>0</v>
      </c>
      <c r="E84" s="83">
        <v>0</v>
      </c>
      <c r="F84" s="83">
        <f t="shared" si="1"/>
        <v>0</v>
      </c>
      <c r="G84" s="83">
        <f t="shared" si="15"/>
        <v>113.586751329883</v>
      </c>
      <c r="H84" s="83">
        <v>0</v>
      </c>
      <c r="I84" s="83">
        <f t="shared" si="7"/>
        <v>124.94542646287131</v>
      </c>
      <c r="J84" s="83">
        <v>355</v>
      </c>
      <c r="K84" s="84">
        <v>0.7</v>
      </c>
      <c r="L84" s="84">
        <v>4</v>
      </c>
      <c r="M84" s="85">
        <v>1</v>
      </c>
      <c r="N84" s="85">
        <v>1.5</v>
      </c>
      <c r="O84" s="85">
        <v>1</v>
      </c>
      <c r="P84" s="85">
        <f t="shared" si="14"/>
        <v>61.632509592427489</v>
      </c>
      <c r="Q84" s="85">
        <v>0</v>
      </c>
      <c r="R84" s="85">
        <v>144.723040761551</v>
      </c>
      <c r="S84" s="86">
        <f t="shared" si="8"/>
        <v>258.13337990362527</v>
      </c>
      <c r="T84" s="83">
        <f t="shared" si="11"/>
        <v>83.972060670741655</v>
      </c>
      <c r="U84" s="86">
        <f t="shared" si="4"/>
        <v>3.98004706603921</v>
      </c>
      <c r="V84" s="86">
        <f t="shared" si="12"/>
        <v>13.491116835901455</v>
      </c>
      <c r="W84" s="86">
        <f t="shared" si="13"/>
        <v>14.991116835901455</v>
      </c>
      <c r="X84" s="164" ph="1">
        <v>20</v>
      </c>
      <c r="Y84" s="86" t="str">
        <f t="shared" si="6"/>
        <v>OK</v>
      </c>
    </row>
    <row r="85" spans="1:25" ht="12" customHeight="1" x14ac:dyDescent="0.3">
      <c r="A85" s="82">
        <v>65</v>
      </c>
      <c r="B85" s="82" t="s">
        <v>141</v>
      </c>
      <c r="C85" s="82">
        <v>2.8000001329928601</v>
      </c>
      <c r="D85" s="83">
        <v>0</v>
      </c>
      <c r="E85" s="83">
        <v>0</v>
      </c>
      <c r="F85" s="83">
        <f t="shared" si="1"/>
        <v>0</v>
      </c>
      <c r="G85" s="83">
        <f t="shared" si="15"/>
        <v>110.06741366272354</v>
      </c>
      <c r="H85" s="83">
        <v>0</v>
      </c>
      <c r="I85" s="83">
        <f t="shared" si="7"/>
        <v>121.0741550289959</v>
      </c>
      <c r="J85" s="83">
        <v>355</v>
      </c>
      <c r="K85" s="84">
        <v>0.7</v>
      </c>
      <c r="L85" s="84">
        <v>4</v>
      </c>
      <c r="M85" s="85">
        <v>1</v>
      </c>
      <c r="N85" s="85">
        <v>1.5</v>
      </c>
      <c r="O85" s="85">
        <v>1</v>
      </c>
      <c r="P85" s="85">
        <f t="shared" ref="P85:P95" si="16">$M$11/ABS(($M$12/(C85-$M$13)))/1000</f>
        <v>44.066238072802193</v>
      </c>
      <c r="Q85" s="85">
        <v>0</v>
      </c>
      <c r="R85" s="85">
        <v>146.013436181195</v>
      </c>
      <c r="S85" s="86">
        <f t="shared" si="8"/>
        <v>256.71307713906708</v>
      </c>
      <c r="T85" s="83">
        <f t="shared" si="11"/>
        <v>85.818454264667295</v>
      </c>
      <c r="U85" s="86">
        <f t="shared" si="4"/>
        <v>3.98004706603921</v>
      </c>
      <c r="V85" s="86">
        <f t="shared" si="12"/>
        <v>13.136827778583536</v>
      </c>
      <c r="W85" s="86">
        <f t="shared" si="13"/>
        <v>14.636827778583536</v>
      </c>
      <c r="X85" s="164" ph="1">
        <v>20</v>
      </c>
      <c r="Y85" s="86" t="str">
        <f t="shared" si="6"/>
        <v>OK</v>
      </c>
    </row>
    <row r="86" spans="1:25" ht="12" customHeight="1" x14ac:dyDescent="0.3">
      <c r="A86" s="82">
        <v>66</v>
      </c>
      <c r="B86" s="82" t="s">
        <v>141</v>
      </c>
      <c r="C86" s="82">
        <v>3.1500001496169698</v>
      </c>
      <c r="D86" s="83">
        <v>0</v>
      </c>
      <c r="E86" s="83">
        <v>0</v>
      </c>
      <c r="F86" s="83">
        <f t="shared" ref="F86:F96" si="17">D86*$F$18+E86*$F$17</f>
        <v>0</v>
      </c>
      <c r="G86" s="83">
        <f t="shared" si="15"/>
        <v>106.54807599556395</v>
      </c>
      <c r="H86" s="83">
        <v>0</v>
      </c>
      <c r="I86" s="83">
        <f t="shared" si="7"/>
        <v>117.20288359512035</v>
      </c>
      <c r="J86" s="83">
        <v>355</v>
      </c>
      <c r="K86" s="84">
        <v>0.7</v>
      </c>
      <c r="L86" s="84">
        <v>4</v>
      </c>
      <c r="M86" s="85">
        <v>1</v>
      </c>
      <c r="N86" s="85">
        <v>1.5</v>
      </c>
      <c r="O86" s="85">
        <v>1</v>
      </c>
      <c r="P86" s="85">
        <f t="shared" si="16"/>
        <v>26.499966553176407</v>
      </c>
      <c r="Q86" s="85">
        <v>0</v>
      </c>
      <c r="R86" s="85">
        <v>146.670721421069</v>
      </c>
      <c r="S86" s="86">
        <f t="shared" si="8"/>
        <v>255.41955640445772</v>
      </c>
      <c r="T86" s="83">
        <f t="shared" si="11"/>
        <v>87.500031219659462</v>
      </c>
      <c r="U86" s="86">
        <f t="shared" ref="U86:U96" si="18">14.3*$F$8/SQRT(J86/$F$7)</f>
        <v>3.98004706603921</v>
      </c>
      <c r="V86" s="86">
        <f t="shared" si="12"/>
        <v>12.800300682391015</v>
      </c>
      <c r="W86" s="86">
        <f t="shared" si="13"/>
        <v>14.300300682391015</v>
      </c>
      <c r="X86" s="164" ph="1">
        <v>20</v>
      </c>
      <c r="Y86" s="86" t="str">
        <f t="shared" ref="Y86:Y96" si="19">IF(MROUND(W86,0.5)&lt;=X86,"OK","N.G")</f>
        <v>OK</v>
      </c>
    </row>
    <row r="87" spans="1:25" ht="12" customHeight="1" x14ac:dyDescent="0.3">
      <c r="A87" s="82">
        <v>67</v>
      </c>
      <c r="B87" s="82" t="s">
        <v>141</v>
      </c>
      <c r="C87" s="82">
        <v>3.50000016624108</v>
      </c>
      <c r="D87" s="83">
        <v>0</v>
      </c>
      <c r="E87" s="83">
        <v>0</v>
      </c>
      <c r="F87" s="83">
        <f t="shared" si="17"/>
        <v>0</v>
      </c>
      <c r="G87" s="83">
        <f t="shared" si="15"/>
        <v>103.02873832840437</v>
      </c>
      <c r="H87" s="83">
        <v>0</v>
      </c>
      <c r="I87" s="83">
        <f t="shared" ref="I87:I96" si="20">G87*$F$18+H87*$F$17</f>
        <v>113.33161216124482</v>
      </c>
      <c r="J87" s="83">
        <v>355</v>
      </c>
      <c r="K87" s="84">
        <v>0.7</v>
      </c>
      <c r="L87" s="84">
        <v>4</v>
      </c>
      <c r="M87" s="85">
        <v>1</v>
      </c>
      <c r="N87" s="85">
        <v>1.5</v>
      </c>
      <c r="O87" s="85">
        <v>1</v>
      </c>
      <c r="P87" s="85">
        <f t="shared" si="16"/>
        <v>8.933695033550606</v>
      </c>
      <c r="Q87" s="85">
        <v>0</v>
      </c>
      <c r="R87" s="85">
        <v>146.69489648117201</v>
      </c>
      <c r="S87" s="86">
        <f t="shared" si="8"/>
        <v>254.24002215980434</v>
      </c>
      <c r="T87" s="83">
        <f t="shared" si="11"/>
        <v>89.033425737708853</v>
      </c>
      <c r="U87" s="86">
        <f t="shared" si="18"/>
        <v>3.98004706603921</v>
      </c>
      <c r="V87" s="86">
        <f t="shared" si="12"/>
        <v>12.478262524380504</v>
      </c>
      <c r="W87" s="86">
        <f t="shared" si="13"/>
        <v>13.978262524380504</v>
      </c>
      <c r="X87" s="164" ph="1">
        <v>20</v>
      </c>
      <c r="Y87" s="86" t="str">
        <f t="shared" si="19"/>
        <v>OK</v>
      </c>
    </row>
    <row r="88" spans="1:25" ht="12" customHeight="1" x14ac:dyDescent="0.3">
      <c r="A88" s="82">
        <v>68</v>
      </c>
      <c r="B88" s="82" t="s">
        <v>141</v>
      </c>
      <c r="C88" s="82">
        <v>3.8500001828651902</v>
      </c>
      <c r="D88" s="83">
        <v>0</v>
      </c>
      <c r="E88" s="83">
        <v>0</v>
      </c>
      <c r="F88" s="83">
        <f t="shared" si="17"/>
        <v>0</v>
      </c>
      <c r="G88" s="83">
        <f t="shared" si="15"/>
        <v>99.509400661244783</v>
      </c>
      <c r="H88" s="83">
        <v>0</v>
      </c>
      <c r="I88" s="83">
        <f t="shared" si="20"/>
        <v>109.46034072736927</v>
      </c>
      <c r="J88" s="83">
        <v>355</v>
      </c>
      <c r="K88" s="84">
        <v>0.7</v>
      </c>
      <c r="L88" s="84">
        <v>4</v>
      </c>
      <c r="M88" s="85">
        <v>1</v>
      </c>
      <c r="N88" s="85">
        <v>1.5</v>
      </c>
      <c r="O88" s="85">
        <v>1</v>
      </c>
      <c r="P88" s="85">
        <f t="shared" si="16"/>
        <v>8.6325764860751963</v>
      </c>
      <c r="Q88" s="85">
        <v>0</v>
      </c>
      <c r="R88" s="85">
        <v>146.69489648117201</v>
      </c>
      <c r="S88" s="86">
        <f t="shared" ref="S88:S96" si="21">SQRT(P88^2+Q88^2-P88*Q88+3*R88^2)</f>
        <v>254.22961931618678</v>
      </c>
      <c r="T88" s="83">
        <f t="shared" si="11"/>
        <v>89.046949434411687</v>
      </c>
      <c r="U88" s="86">
        <f t="shared" si="18"/>
        <v>3.98004706603921</v>
      </c>
      <c r="V88" s="86">
        <f t="shared" si="12"/>
        <v>12.262358298694849</v>
      </c>
      <c r="W88" s="86">
        <f t="shared" si="13"/>
        <v>13.762358298694849</v>
      </c>
      <c r="X88" s="164" ph="1">
        <v>20</v>
      </c>
      <c r="Y88" s="86" t="str">
        <f t="shared" si="19"/>
        <v>OK</v>
      </c>
    </row>
    <row r="89" spans="1:25" ht="12" customHeight="1" x14ac:dyDescent="0.3">
      <c r="A89" s="82">
        <v>69</v>
      </c>
      <c r="B89" s="82" t="s">
        <v>141</v>
      </c>
      <c r="C89" s="82">
        <v>4.2000001994892999</v>
      </c>
      <c r="D89" s="83">
        <v>0</v>
      </c>
      <c r="E89" s="83">
        <v>0</v>
      </c>
      <c r="F89" s="83">
        <f t="shared" si="17"/>
        <v>0</v>
      </c>
      <c r="G89" s="83">
        <f t="shared" si="15"/>
        <v>95.990062994085207</v>
      </c>
      <c r="H89" s="83">
        <v>0</v>
      </c>
      <c r="I89" s="83">
        <f t="shared" si="20"/>
        <v>105.58906929349374</v>
      </c>
      <c r="J89" s="83">
        <v>355</v>
      </c>
      <c r="K89" s="84">
        <v>0.7</v>
      </c>
      <c r="L89" s="84">
        <v>4</v>
      </c>
      <c r="M89" s="85">
        <v>1</v>
      </c>
      <c r="N89" s="85">
        <v>1.5</v>
      </c>
      <c r="O89" s="85">
        <v>1</v>
      </c>
      <c r="P89" s="85">
        <f t="shared" si="16"/>
        <v>26.198848005700981</v>
      </c>
      <c r="Q89" s="85">
        <v>0</v>
      </c>
      <c r="R89" s="85">
        <v>146.085961361507</v>
      </c>
      <c r="S89" s="86">
        <f t="shared" si="21"/>
        <v>254.38102122126361</v>
      </c>
      <c r="T89" s="83">
        <f t="shared" si="11"/>
        <v>88.85012695781181</v>
      </c>
      <c r="U89" s="86">
        <f t="shared" si="18"/>
        <v>3.98004706603921</v>
      </c>
      <c r="V89" s="86">
        <f t="shared" si="12"/>
        <v>12.056897852649543</v>
      </c>
      <c r="W89" s="86">
        <f t="shared" si="13"/>
        <v>13.556897852649543</v>
      </c>
      <c r="X89" s="164" ph="1">
        <v>20</v>
      </c>
      <c r="Y89" s="86" t="str">
        <f t="shared" si="19"/>
        <v>OK</v>
      </c>
    </row>
    <row r="90" spans="1:25" ht="12" customHeight="1" x14ac:dyDescent="0.3">
      <c r="A90" s="82">
        <v>70</v>
      </c>
      <c r="B90" s="82" t="s">
        <v>141</v>
      </c>
      <c r="C90" s="82">
        <v>4.5500002161133999</v>
      </c>
      <c r="D90" s="83">
        <v>0</v>
      </c>
      <c r="E90" s="83">
        <v>0</v>
      </c>
      <c r="F90" s="83">
        <f t="shared" si="17"/>
        <v>0</v>
      </c>
      <c r="G90" s="83">
        <f t="shared" si="15"/>
        <v>92.470725326925731</v>
      </c>
      <c r="H90" s="83">
        <v>0</v>
      </c>
      <c r="I90" s="83">
        <f t="shared" si="20"/>
        <v>101.71779785961832</v>
      </c>
      <c r="J90" s="83">
        <v>355</v>
      </c>
      <c r="K90" s="84">
        <v>0.7</v>
      </c>
      <c r="L90" s="84">
        <v>4</v>
      </c>
      <c r="M90" s="85">
        <v>1</v>
      </c>
      <c r="N90" s="85">
        <v>1.5</v>
      </c>
      <c r="O90" s="85">
        <v>1</v>
      </c>
      <c r="P90" s="85">
        <f t="shared" si="16"/>
        <v>43.76511952532627</v>
      </c>
      <c r="Q90" s="85">
        <v>0</v>
      </c>
      <c r="R90" s="85">
        <v>144.843916062071</v>
      </c>
      <c r="S90" s="86">
        <f t="shared" si="21"/>
        <v>254.66579226047401</v>
      </c>
      <c r="T90" s="83">
        <f t="shared" si="11"/>
        <v>88.479924606838296</v>
      </c>
      <c r="U90" s="86">
        <f t="shared" si="18"/>
        <v>3.98004706603921</v>
      </c>
      <c r="V90" s="86">
        <f t="shared" si="12"/>
        <v>11.858540186989149</v>
      </c>
      <c r="W90" s="86">
        <f t="shared" si="13"/>
        <v>13.358540186989149</v>
      </c>
      <c r="X90" s="164" ph="1">
        <v>20</v>
      </c>
      <c r="Y90" s="86" t="str">
        <f t="shared" si="19"/>
        <v>OK</v>
      </c>
    </row>
    <row r="91" spans="1:25" ht="12" customHeight="1" x14ac:dyDescent="0.3">
      <c r="A91" s="82">
        <v>71</v>
      </c>
      <c r="B91" s="82" t="s">
        <v>141</v>
      </c>
      <c r="C91" s="82">
        <v>4.9000002327375096</v>
      </c>
      <c r="D91" s="83">
        <v>0</v>
      </c>
      <c r="E91" s="83">
        <v>0</v>
      </c>
      <c r="F91" s="83">
        <f t="shared" si="17"/>
        <v>0</v>
      </c>
      <c r="G91" s="83">
        <f t="shared" si="15"/>
        <v>88.951387659766141</v>
      </c>
      <c r="H91" s="83">
        <v>0</v>
      </c>
      <c r="I91" s="83">
        <f t="shared" si="20"/>
        <v>97.846526425742766</v>
      </c>
      <c r="J91" s="83">
        <v>355</v>
      </c>
      <c r="K91" s="84">
        <v>0.7</v>
      </c>
      <c r="L91" s="84">
        <v>4</v>
      </c>
      <c r="M91" s="85">
        <v>1</v>
      </c>
      <c r="N91" s="85">
        <v>1.5</v>
      </c>
      <c r="O91" s="85">
        <v>1</v>
      </c>
      <c r="P91" s="85">
        <f t="shared" si="16"/>
        <v>61.331391044952049</v>
      </c>
      <c r="Q91" s="85">
        <v>0</v>
      </c>
      <c r="R91" s="85">
        <v>138.009232902088</v>
      </c>
      <c r="S91" s="86">
        <f t="shared" si="21"/>
        <v>246.78165374714777</v>
      </c>
      <c r="T91" s="83">
        <f t="shared" si="11"/>
        <v>98.729304674162393</v>
      </c>
      <c r="U91" s="86">
        <f t="shared" si="18"/>
        <v>3.98004706603921</v>
      </c>
      <c r="V91" s="86">
        <f t="shared" si="12"/>
        <v>11.010443029639315</v>
      </c>
      <c r="W91" s="86">
        <f t="shared" si="13"/>
        <v>12.510443029639315</v>
      </c>
      <c r="X91" s="164" ph="1">
        <v>20</v>
      </c>
      <c r="Y91" s="86" t="str">
        <f t="shared" si="19"/>
        <v>OK</v>
      </c>
    </row>
    <row r="92" spans="1:25" ht="12" customHeight="1" x14ac:dyDescent="0.3">
      <c r="A92" s="82">
        <v>72</v>
      </c>
      <c r="B92" s="82" t="s">
        <v>141</v>
      </c>
      <c r="C92" s="82">
        <v>5.2500002493616202</v>
      </c>
      <c r="D92" s="83">
        <v>0</v>
      </c>
      <c r="E92" s="83">
        <v>0</v>
      </c>
      <c r="F92" s="83">
        <f t="shared" si="17"/>
        <v>0</v>
      </c>
      <c r="G92" s="83">
        <f t="shared" si="15"/>
        <v>85.432049992606551</v>
      </c>
      <c r="H92" s="83">
        <v>0</v>
      </c>
      <c r="I92" s="83">
        <f t="shared" si="20"/>
        <v>93.975254991867217</v>
      </c>
      <c r="J92" s="83">
        <v>355</v>
      </c>
      <c r="K92" s="84">
        <v>0.7</v>
      </c>
      <c r="L92" s="84">
        <v>4</v>
      </c>
      <c r="M92" s="85">
        <v>1</v>
      </c>
      <c r="N92" s="85">
        <v>1.5</v>
      </c>
      <c r="O92" s="85">
        <v>1</v>
      </c>
      <c r="P92" s="85">
        <f t="shared" si="16"/>
        <v>78.897662564577885</v>
      </c>
      <c r="Q92" s="85">
        <v>0</v>
      </c>
      <c r="R92" s="85">
        <v>135.500967243112</v>
      </c>
      <c r="S92" s="86">
        <f t="shared" si="21"/>
        <v>247.60124702757605</v>
      </c>
      <c r="T92" s="83">
        <f t="shared" si="11"/>
        <v>97.66383340960563</v>
      </c>
      <c r="U92" s="86">
        <f t="shared" si="18"/>
        <v>3.98004706603921</v>
      </c>
      <c r="V92" s="86">
        <f t="shared" si="12"/>
        <v>10.849132168124756</v>
      </c>
      <c r="W92" s="86">
        <f t="shared" si="13"/>
        <v>12.349132168124756</v>
      </c>
      <c r="X92" s="164" ph="1">
        <v>20</v>
      </c>
      <c r="Y92" s="86" t="str">
        <f t="shared" si="19"/>
        <v>OK</v>
      </c>
    </row>
    <row r="93" spans="1:25" ht="12" customHeight="1" x14ac:dyDescent="0.3">
      <c r="A93" s="82">
        <v>73</v>
      </c>
      <c r="B93" s="82" t="s">
        <v>141</v>
      </c>
      <c r="C93" s="82">
        <v>5.60000026598573</v>
      </c>
      <c r="D93" s="83">
        <v>0</v>
      </c>
      <c r="E93" s="83">
        <v>0</v>
      </c>
      <c r="F93" s="83">
        <f t="shared" si="17"/>
        <v>0</v>
      </c>
      <c r="G93" s="83">
        <f t="shared" si="15"/>
        <v>81.912712325446989</v>
      </c>
      <c r="H93" s="83">
        <v>0</v>
      </c>
      <c r="I93" s="83">
        <f t="shared" si="20"/>
        <v>90.103983557991697</v>
      </c>
      <c r="J93" s="83">
        <v>355</v>
      </c>
      <c r="K93" s="84">
        <v>0.7</v>
      </c>
      <c r="L93" s="84">
        <v>4</v>
      </c>
      <c r="M93" s="85">
        <v>1</v>
      </c>
      <c r="N93" s="85">
        <v>1.5</v>
      </c>
      <c r="O93" s="85">
        <v>1</v>
      </c>
      <c r="P93" s="85">
        <f t="shared" si="16"/>
        <v>96.463934084203643</v>
      </c>
      <c r="Q93" s="85">
        <v>0</v>
      </c>
      <c r="R93" s="85">
        <v>132.35959140436699</v>
      </c>
      <c r="S93" s="86">
        <f t="shared" si="21"/>
        <v>248.72168158243571</v>
      </c>
      <c r="T93" s="83">
        <f t="shared" si="11"/>
        <v>96.207268488288079</v>
      </c>
      <c r="U93" s="86">
        <f t="shared" si="18"/>
        <v>3.98004706603921</v>
      </c>
      <c r="V93" s="86">
        <f t="shared" si="12"/>
        <v>10.703435115882565</v>
      </c>
      <c r="W93" s="86">
        <f t="shared" si="13"/>
        <v>12.203435115882565</v>
      </c>
      <c r="X93" s="164" ph="1">
        <v>20</v>
      </c>
      <c r="Y93" s="86" t="str">
        <f t="shared" si="19"/>
        <v>OK</v>
      </c>
    </row>
    <row r="94" spans="1:25" ht="12" customHeight="1" x14ac:dyDescent="0.3">
      <c r="A94" s="82">
        <v>74</v>
      </c>
      <c r="B94" s="82" t="s">
        <v>141</v>
      </c>
      <c r="C94" s="82">
        <v>5.9500002826098397</v>
      </c>
      <c r="D94" s="83">
        <v>0</v>
      </c>
      <c r="E94" s="83">
        <v>0</v>
      </c>
      <c r="F94" s="83">
        <f t="shared" si="17"/>
        <v>0</v>
      </c>
      <c r="G94" s="83">
        <f t="shared" si="15"/>
        <v>78.393374658287399</v>
      </c>
      <c r="H94" s="83">
        <v>0</v>
      </c>
      <c r="I94" s="83">
        <f t="shared" si="20"/>
        <v>86.232712124116148</v>
      </c>
      <c r="J94" s="83">
        <v>355</v>
      </c>
      <c r="K94" s="84">
        <v>0.7</v>
      </c>
      <c r="L94" s="84">
        <v>4</v>
      </c>
      <c r="M94" s="85">
        <v>1</v>
      </c>
      <c r="N94" s="85">
        <v>1.5</v>
      </c>
      <c r="O94" s="85">
        <v>1</v>
      </c>
      <c r="P94" s="85">
        <f t="shared" si="16"/>
        <v>114.03020560382944</v>
      </c>
      <c r="Q94" s="85">
        <v>0</v>
      </c>
      <c r="R94" s="85">
        <v>128.58510538585099</v>
      </c>
      <c r="S94" s="86">
        <f t="shared" si="21"/>
        <v>250.21046295333622</v>
      </c>
      <c r="T94" s="83">
        <f t="shared" si="11"/>
        <v>94.271852706117414</v>
      </c>
      <c r="U94" s="86">
        <f t="shared" si="18"/>
        <v>3.98004706603921</v>
      </c>
      <c r="V94" s="86">
        <f t="shared" si="12"/>
        <v>10.577916355732615</v>
      </c>
      <c r="W94" s="86">
        <f t="shared" si="13"/>
        <v>12.077916355732615</v>
      </c>
      <c r="X94" s="164" ph="1">
        <v>20</v>
      </c>
      <c r="Y94" s="86" t="str">
        <f t="shared" si="19"/>
        <v>OK</v>
      </c>
    </row>
    <row r="95" spans="1:25" ht="12" customHeight="1" x14ac:dyDescent="0.3">
      <c r="A95" s="82">
        <v>75</v>
      </c>
      <c r="B95" s="82" t="s">
        <v>141</v>
      </c>
      <c r="C95" s="82">
        <v>6.3000002992339397</v>
      </c>
      <c r="D95" s="83">
        <v>0</v>
      </c>
      <c r="E95" s="83">
        <v>0</v>
      </c>
      <c r="F95" s="83">
        <f t="shared" si="17"/>
        <v>0</v>
      </c>
      <c r="G95" s="83">
        <f t="shared" si="15"/>
        <v>74.874036991127923</v>
      </c>
      <c r="H95" s="83">
        <v>0</v>
      </c>
      <c r="I95" s="83">
        <f t="shared" si="20"/>
        <v>82.361440690240727</v>
      </c>
      <c r="J95" s="83">
        <v>355</v>
      </c>
      <c r="K95" s="84">
        <v>0.7</v>
      </c>
      <c r="L95" s="84">
        <v>4</v>
      </c>
      <c r="M95" s="85">
        <v>1</v>
      </c>
      <c r="N95" s="85">
        <v>1.5</v>
      </c>
      <c r="O95" s="85">
        <v>1</v>
      </c>
      <c r="P95" s="85">
        <f t="shared" si="16"/>
        <v>131.59647712345472</v>
      </c>
      <c r="Q95" s="85">
        <v>0</v>
      </c>
      <c r="R95" s="85">
        <v>124.177509187566</v>
      </c>
      <c r="S95" s="86">
        <f t="shared" si="21"/>
        <v>252.14637446409589</v>
      </c>
      <c r="T95" s="83">
        <f t="shared" si="11"/>
        <v>91.755167742129856</v>
      </c>
      <c r="U95" s="86">
        <f t="shared" si="18"/>
        <v>3.98004706603921</v>
      </c>
      <c r="V95" s="86">
        <f t="shared" si="12"/>
        <v>10.478565383540831</v>
      </c>
      <c r="W95" s="86">
        <f t="shared" si="13"/>
        <v>11.978565383540831</v>
      </c>
      <c r="X95" s="164" ph="1">
        <v>20</v>
      </c>
      <c r="Y95" s="86" t="str">
        <f t="shared" si="19"/>
        <v>OK</v>
      </c>
    </row>
    <row r="96" spans="1:25" ht="12" customHeight="1" x14ac:dyDescent="0.3">
      <c r="A96" s="82">
        <v>76</v>
      </c>
      <c r="B96" s="82" t="s">
        <v>141</v>
      </c>
      <c r="C96" s="82">
        <v>6.6500001496169698</v>
      </c>
      <c r="D96" s="83">
        <v>0</v>
      </c>
      <c r="E96" s="83">
        <v>0</v>
      </c>
      <c r="F96" s="83">
        <f t="shared" si="17"/>
        <v>0</v>
      </c>
      <c r="G96" s="83">
        <f t="shared" si="15"/>
        <v>71.35470099556396</v>
      </c>
      <c r="H96" s="83">
        <v>0</v>
      </c>
      <c r="I96" s="83">
        <f t="shared" si="20"/>
        <v>78.49017109512036</v>
      </c>
      <c r="J96" s="83">
        <v>355</v>
      </c>
      <c r="K96" s="84">
        <v>0.7</v>
      </c>
      <c r="L96" s="84">
        <v>4</v>
      </c>
      <c r="M96" s="85">
        <v>1</v>
      </c>
      <c r="N96" s="85">
        <v>1.5</v>
      </c>
      <c r="O96" s="85">
        <v>1</v>
      </c>
      <c r="P96" s="85">
        <f t="shared" ref="P96" si="22">$M$11/ABS(($M$12/(C96-$M$13)))/1000</f>
        <v>149.16274029954963</v>
      </c>
      <c r="Q96" s="85">
        <v>0</v>
      </c>
      <c r="R96" s="85">
        <v>119.136805354073</v>
      </c>
      <c r="S96" s="86">
        <f t="shared" si="21"/>
        <v>254.61786713346279</v>
      </c>
      <c r="T96" s="83">
        <f t="shared" si="11"/>
        <v>88.542227271952868</v>
      </c>
      <c r="U96" s="86">
        <f t="shared" si="18"/>
        <v>3.98004706603921</v>
      </c>
      <c r="V96" s="86">
        <f t="shared" si="12"/>
        <v>10.413279939201177</v>
      </c>
      <c r="W96" s="86">
        <f t="shared" si="13"/>
        <v>11.913279939201177</v>
      </c>
      <c r="X96" s="164" ph="1">
        <v>20</v>
      </c>
      <c r="Y96" s="86" t="str">
        <f t="shared" si="19"/>
        <v>OK</v>
      </c>
    </row>
    <row r="98" spans="1:1" ht="12" customHeight="1" x14ac:dyDescent="0.45">
      <c r="A98" s="4" t="s">
        <v>142</v>
      </c>
    </row>
    <row r="99" spans="1:1" ht="12" customHeight="1" x14ac:dyDescent="0.45">
      <c r="A99" s="4" t="s">
        <v>143</v>
      </c>
    </row>
    <row r="100" spans="1:1" ht="12" customHeight="1" x14ac:dyDescent="0.45">
      <c r="A100" s="4" t="s">
        <v>144</v>
      </c>
    </row>
    <row r="111" spans="1:1" ht="15" customHeight="1" x14ac:dyDescent="0.45"/>
    <row r="112" spans="1:1" ht="15" customHeight="1" x14ac:dyDescent="0.45"/>
    <row r="113" spans="1:14" ht="15" customHeight="1" x14ac:dyDescent="0.45"/>
    <row r="114" spans="1:14" ht="15" customHeight="1" x14ac:dyDescent="0.45"/>
    <row r="115" spans="1:14" ht="15" customHeight="1" x14ac:dyDescent="0.45"/>
    <row r="116" spans="1:14" ht="15" customHeight="1" x14ac:dyDescent="0.45"/>
    <row r="117" spans="1:14" ht="15" customHeight="1" x14ac:dyDescent="0.45"/>
    <row r="118" spans="1:14" ht="15" customHeight="1" x14ac:dyDescent="0.45"/>
    <row r="119" spans="1:14" ht="15" customHeight="1" x14ac:dyDescent="0.45"/>
    <row r="120" spans="1:14" ht="15" customHeight="1" x14ac:dyDescent="0.45"/>
    <row r="121" spans="1:14" ht="15" customHeight="1" x14ac:dyDescent="0.45"/>
    <row r="122" spans="1:14" ht="15" customHeight="1" x14ac:dyDescent="0.45"/>
    <row r="123" spans="1:14" ht="15" customHeight="1" x14ac:dyDescent="0.45"/>
    <row r="124" spans="1:14" ht="15" customHeight="1" x14ac:dyDescent="0.45"/>
    <row r="125" spans="1:14" ht="15" customHeight="1" x14ac:dyDescent="0.45"/>
    <row r="126" spans="1:14" ht="15" customHeight="1" x14ac:dyDescent="0.45"/>
    <row r="127" spans="1:14" ht="15" customHeight="1" x14ac:dyDescent="0.45"/>
    <row r="128" spans="1:14" ht="15" customHeight="1" x14ac:dyDescent="0.45">
      <c r="A128" s="16">
        <v>1</v>
      </c>
      <c r="B128" s="17" t="s">
        <v>145</v>
      </c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9"/>
      <c r="N128" s="9"/>
    </row>
    <row r="129" spans="1:14" ht="15" customHeight="1" x14ac:dyDescent="0.45">
      <c r="A129" s="20" t="s">
        <v>146</v>
      </c>
      <c r="B129" s="21" t="s">
        <v>147</v>
      </c>
      <c r="C129" s="22" t="s">
        <v>148</v>
      </c>
      <c r="D129" s="22"/>
      <c r="E129" s="23" t="s">
        <v>149</v>
      </c>
      <c r="F129" s="21" t="s">
        <v>150</v>
      </c>
      <c r="G129" s="24" t="s">
        <v>151</v>
      </c>
      <c r="H129" s="24" t="s">
        <v>152</v>
      </c>
      <c r="I129" s="24" t="s">
        <v>153</v>
      </c>
      <c r="J129" s="24" t="s">
        <v>154</v>
      </c>
      <c r="K129" s="24" t="s">
        <v>155</v>
      </c>
      <c r="L129" s="24"/>
      <c r="M129" s="25" t="s">
        <v>156</v>
      </c>
      <c r="N129" s="9"/>
    </row>
    <row r="130" spans="1:14" ht="15" customHeight="1" x14ac:dyDescent="0.45">
      <c r="A130" s="26">
        <v>355</v>
      </c>
      <c r="B130" s="27">
        <v>1.1000000000000001</v>
      </c>
      <c r="C130" s="28">
        <v>0</v>
      </c>
      <c r="D130" s="28"/>
      <c r="E130" s="29">
        <v>191</v>
      </c>
      <c r="F130" s="30">
        <v>171.24545454545449</v>
      </c>
      <c r="G130" s="27">
        <v>0.75</v>
      </c>
      <c r="H130" s="27">
        <v>7</v>
      </c>
      <c r="I130" s="27">
        <v>1</v>
      </c>
      <c r="J130" s="27">
        <v>1</v>
      </c>
      <c r="K130" s="27">
        <v>1</v>
      </c>
      <c r="L130" s="29"/>
      <c r="M130" s="31">
        <v>5.5720658924548943</v>
      </c>
      <c r="N130" s="37"/>
    </row>
    <row r="131" spans="1:14" ht="15" customHeight="1" x14ac:dyDescent="0.45">
      <c r="A131" s="32" t="s">
        <v>157</v>
      </c>
      <c r="B131" s="33"/>
      <c r="C131" s="22"/>
      <c r="D131" s="22"/>
      <c r="E131" s="24"/>
      <c r="F131" s="34"/>
      <c r="G131" s="35"/>
      <c r="H131" s="36" t="s">
        <v>158</v>
      </c>
      <c r="I131" s="33"/>
      <c r="J131" s="35"/>
      <c r="K131" s="37"/>
      <c r="L131" s="9"/>
      <c r="M131" s="38"/>
      <c r="N131" s="9"/>
    </row>
    <row r="132" spans="1:14" ht="15" customHeight="1" x14ac:dyDescent="0.45">
      <c r="A132" s="39" t="s">
        <v>159</v>
      </c>
      <c r="B132" s="22"/>
      <c r="C132" s="22"/>
      <c r="D132" s="22"/>
      <c r="E132" s="22" t="s">
        <v>160</v>
      </c>
      <c r="F132" s="22" t="s">
        <v>161</v>
      </c>
      <c r="G132" s="40" t="s">
        <v>162</v>
      </c>
      <c r="H132" s="41" t="s">
        <v>160</v>
      </c>
      <c r="I132" s="22" t="s">
        <v>161</v>
      </c>
      <c r="J132" s="42" t="s">
        <v>163</v>
      </c>
      <c r="K132" s="24" t="s">
        <v>164</v>
      </c>
      <c r="L132" s="24"/>
      <c r="M132" s="25" t="s">
        <v>165</v>
      </c>
      <c r="N132" s="9"/>
    </row>
    <row r="133" spans="1:14" ht="15" customHeight="1" x14ac:dyDescent="0.45">
      <c r="A133" s="43" t="s">
        <v>166</v>
      </c>
      <c r="B133" s="28"/>
      <c r="C133" s="28"/>
      <c r="D133" s="28"/>
      <c r="E133" s="44">
        <v>43.137022499999993</v>
      </c>
      <c r="F133" s="45">
        <v>61.966966861816026</v>
      </c>
      <c r="G133" s="46">
        <v>105.10398936181602</v>
      </c>
      <c r="H133" s="47">
        <v>130.58012500000001</v>
      </c>
      <c r="I133" s="29">
        <v>0</v>
      </c>
      <c r="J133" s="48">
        <v>130.58012500000001</v>
      </c>
      <c r="K133" s="30">
        <v>130.58012500000001</v>
      </c>
      <c r="L133" s="27"/>
      <c r="M133" s="31">
        <v>11.347784223428096</v>
      </c>
      <c r="N133" s="37"/>
    </row>
    <row r="134" spans="1:14" ht="15" customHeight="1" x14ac:dyDescent="0.45">
      <c r="A134" s="16">
        <v>2</v>
      </c>
      <c r="B134" s="17" t="s">
        <v>167</v>
      </c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9"/>
      <c r="N134" s="9"/>
    </row>
    <row r="135" spans="1:14" ht="15" customHeight="1" x14ac:dyDescent="0.45">
      <c r="A135" s="20" t="s">
        <v>146</v>
      </c>
      <c r="B135" s="21" t="s">
        <v>147</v>
      </c>
      <c r="C135" s="22" t="s">
        <v>148</v>
      </c>
      <c r="D135" s="22"/>
      <c r="E135" s="23" t="s">
        <v>149</v>
      </c>
      <c r="F135" s="21" t="s">
        <v>150</v>
      </c>
      <c r="G135" s="24" t="s">
        <v>151</v>
      </c>
      <c r="H135" s="24" t="s">
        <v>152</v>
      </c>
      <c r="I135" s="24" t="s">
        <v>153</v>
      </c>
      <c r="J135" s="24" t="s">
        <v>154</v>
      </c>
      <c r="K135" s="24" t="s">
        <v>155</v>
      </c>
      <c r="L135" s="24"/>
      <c r="M135" s="25" t="s">
        <v>156</v>
      </c>
      <c r="N135" s="9"/>
    </row>
    <row r="136" spans="1:14" ht="15" customHeight="1" x14ac:dyDescent="0.45">
      <c r="A136" s="26">
        <v>355</v>
      </c>
      <c r="B136" s="27">
        <v>1.1000000000000001</v>
      </c>
      <c r="C136" s="28">
        <v>0</v>
      </c>
      <c r="D136" s="28"/>
      <c r="E136" s="29">
        <v>191</v>
      </c>
      <c r="F136" s="30">
        <v>171.24545454545449</v>
      </c>
      <c r="G136" s="27">
        <v>0.7</v>
      </c>
      <c r="H136" s="27">
        <v>4.2140000000000004</v>
      </c>
      <c r="I136" s="27">
        <v>1</v>
      </c>
      <c r="J136" s="27">
        <v>1</v>
      </c>
      <c r="K136" s="27">
        <v>1</v>
      </c>
      <c r="L136" s="29"/>
      <c r="M136" s="31">
        <v>5.5720658924548943</v>
      </c>
      <c r="N136" s="37"/>
    </row>
    <row r="137" spans="1:14" ht="15" customHeight="1" x14ac:dyDescent="0.45">
      <c r="A137" s="32" t="s">
        <v>157</v>
      </c>
      <c r="B137" s="33"/>
      <c r="C137" s="22"/>
      <c r="D137" s="22"/>
      <c r="E137" s="24"/>
      <c r="F137" s="34"/>
      <c r="G137" s="35"/>
      <c r="H137" s="36" t="s">
        <v>158</v>
      </c>
      <c r="I137" s="33"/>
      <c r="J137" s="35"/>
      <c r="K137" s="37"/>
      <c r="L137" s="9"/>
      <c r="M137" s="38"/>
      <c r="N137" s="9"/>
    </row>
    <row r="138" spans="1:14" ht="15" customHeight="1" x14ac:dyDescent="0.45">
      <c r="A138" s="39" t="s">
        <v>159</v>
      </c>
      <c r="B138" s="22"/>
      <c r="C138" s="22"/>
      <c r="D138" s="22"/>
      <c r="E138" s="22" t="s">
        <v>160</v>
      </c>
      <c r="F138" s="22" t="s">
        <v>161</v>
      </c>
      <c r="G138" s="40" t="s">
        <v>162</v>
      </c>
      <c r="H138" s="41" t="s">
        <v>160</v>
      </c>
      <c r="I138" s="22" t="s">
        <v>161</v>
      </c>
      <c r="J138" s="42" t="s">
        <v>163</v>
      </c>
      <c r="K138" s="24" t="s">
        <v>164</v>
      </c>
      <c r="L138" s="24"/>
      <c r="M138" s="25" t="s">
        <v>165</v>
      </c>
      <c r="N138" s="9"/>
    </row>
    <row r="139" spans="1:14" ht="15" customHeight="1" x14ac:dyDescent="0.45">
      <c r="A139" s="43" t="s">
        <v>168</v>
      </c>
      <c r="B139" s="28"/>
      <c r="C139" s="28"/>
      <c r="D139" s="28"/>
      <c r="E139" s="44">
        <v>43.137022499999993</v>
      </c>
      <c r="F139" s="45">
        <v>61.966966861816026</v>
      </c>
      <c r="G139" s="46">
        <v>105.10398936181602</v>
      </c>
      <c r="H139" s="47">
        <v>130.58012500000001</v>
      </c>
      <c r="I139" s="29">
        <v>0</v>
      </c>
      <c r="J139" s="48">
        <v>130.58012500000001</v>
      </c>
      <c r="K139" s="30">
        <v>130.58012500000001</v>
      </c>
      <c r="L139" s="27"/>
      <c r="M139" s="31">
        <v>10.657931941866222</v>
      </c>
      <c r="N139" s="37"/>
    </row>
    <row r="140" spans="1:14" ht="15" customHeight="1" x14ac:dyDescent="0.45">
      <c r="A140" s="16">
        <v>3</v>
      </c>
      <c r="B140" s="17" t="s">
        <v>169</v>
      </c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9"/>
      <c r="N140" s="9"/>
    </row>
    <row r="141" spans="1:14" ht="15" customHeight="1" x14ac:dyDescent="0.45">
      <c r="A141" s="20" t="s">
        <v>146</v>
      </c>
      <c r="B141" s="21" t="s">
        <v>147</v>
      </c>
      <c r="C141" s="22" t="s">
        <v>148</v>
      </c>
      <c r="D141" s="22"/>
      <c r="E141" s="23" t="s">
        <v>149</v>
      </c>
      <c r="F141" s="21" t="s">
        <v>150</v>
      </c>
      <c r="G141" s="24" t="s">
        <v>151</v>
      </c>
      <c r="H141" s="24" t="s">
        <v>152</v>
      </c>
      <c r="I141" s="24" t="s">
        <v>153</v>
      </c>
      <c r="J141" s="24" t="s">
        <v>154</v>
      </c>
      <c r="K141" s="24" t="s">
        <v>155</v>
      </c>
      <c r="L141" s="24"/>
      <c r="M141" s="25" t="s">
        <v>156</v>
      </c>
      <c r="N141" s="9"/>
    </row>
    <row r="142" spans="1:14" ht="15" customHeight="1" x14ac:dyDescent="0.45">
      <c r="A142" s="26">
        <v>355</v>
      </c>
      <c r="B142" s="27">
        <v>1.1000000000000001</v>
      </c>
      <c r="C142" s="28">
        <v>2.9</v>
      </c>
      <c r="D142" s="28"/>
      <c r="E142" s="29">
        <v>85.6</v>
      </c>
      <c r="F142" s="30">
        <v>308.26545454545453</v>
      </c>
      <c r="G142" s="27">
        <v>0.7</v>
      </c>
      <c r="H142" s="27">
        <v>4.2140000000000004</v>
      </c>
      <c r="I142" s="27">
        <v>1</v>
      </c>
      <c r="J142" s="27">
        <v>1</v>
      </c>
      <c r="K142" s="27">
        <v>1</v>
      </c>
      <c r="L142" s="29"/>
      <c r="M142" s="31">
        <v>5.5720658924548943</v>
      </c>
      <c r="N142" s="37"/>
    </row>
    <row r="143" spans="1:14" ht="15" customHeight="1" x14ac:dyDescent="0.45">
      <c r="A143" s="32" t="s">
        <v>157</v>
      </c>
      <c r="B143" s="33"/>
      <c r="C143" s="22"/>
      <c r="D143" s="22"/>
      <c r="E143" s="24"/>
      <c r="F143" s="34"/>
      <c r="G143" s="35"/>
      <c r="H143" s="36" t="s">
        <v>158</v>
      </c>
      <c r="I143" s="33"/>
      <c r="J143" s="35"/>
      <c r="K143" s="37"/>
      <c r="L143" s="9"/>
      <c r="M143" s="38"/>
      <c r="N143" s="9"/>
    </row>
    <row r="144" spans="1:14" ht="15" customHeight="1" x14ac:dyDescent="0.45">
      <c r="A144" s="39" t="s">
        <v>159</v>
      </c>
      <c r="B144" s="22"/>
      <c r="C144" s="22"/>
      <c r="D144" s="22"/>
      <c r="E144" s="22" t="s">
        <v>160</v>
      </c>
      <c r="F144" s="22" t="s">
        <v>161</v>
      </c>
      <c r="G144" s="40" t="s">
        <v>162</v>
      </c>
      <c r="H144" s="41" t="s">
        <v>160</v>
      </c>
      <c r="I144" s="22" t="s">
        <v>161</v>
      </c>
      <c r="J144" s="42" t="s">
        <v>163</v>
      </c>
      <c r="K144" s="24" t="s">
        <v>164</v>
      </c>
      <c r="L144" s="24"/>
      <c r="M144" s="25" t="s">
        <v>165</v>
      </c>
      <c r="N144" s="9"/>
    </row>
    <row r="145" spans="1:14" ht="15" customHeight="1" x14ac:dyDescent="0.45">
      <c r="A145" s="43" t="s">
        <v>170</v>
      </c>
      <c r="B145" s="28"/>
      <c r="C145" s="28"/>
      <c r="D145" s="28"/>
      <c r="E145" s="44">
        <v>13.9767975</v>
      </c>
      <c r="F145" s="45">
        <v>86.836910943515008</v>
      </c>
      <c r="G145" s="46">
        <v>100.81370844351501</v>
      </c>
      <c r="H145" s="47">
        <v>101.41989999999998</v>
      </c>
      <c r="I145" s="29">
        <v>0</v>
      </c>
      <c r="J145" s="48">
        <v>101.41989999999998</v>
      </c>
      <c r="K145" s="30">
        <v>101.41989999999998</v>
      </c>
      <c r="L145" s="27"/>
      <c r="M145" s="31">
        <v>7.3438701735973515</v>
      </c>
      <c r="N145" s="37"/>
    </row>
    <row r="146" spans="1:14" ht="15" customHeight="1" x14ac:dyDescent="0.45">
      <c r="A146" s="16">
        <v>4</v>
      </c>
      <c r="B146" s="17" t="s">
        <v>171</v>
      </c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9"/>
      <c r="N146" s="9"/>
    </row>
    <row r="147" spans="1:14" ht="15" customHeight="1" x14ac:dyDescent="0.45">
      <c r="A147" s="20" t="s">
        <v>146</v>
      </c>
      <c r="B147" s="21" t="s">
        <v>147</v>
      </c>
      <c r="C147" s="22" t="s">
        <v>148</v>
      </c>
      <c r="D147" s="22"/>
      <c r="E147" s="23" t="s">
        <v>149</v>
      </c>
      <c r="F147" s="21" t="s">
        <v>150</v>
      </c>
      <c r="G147" s="24" t="s">
        <v>151</v>
      </c>
      <c r="H147" s="24" t="s">
        <v>152</v>
      </c>
      <c r="I147" s="24" t="s">
        <v>153</v>
      </c>
      <c r="J147" s="24" t="s">
        <v>154</v>
      </c>
      <c r="K147" s="24" t="s">
        <v>155</v>
      </c>
      <c r="L147" s="24"/>
      <c r="M147" s="25" t="s">
        <v>156</v>
      </c>
      <c r="N147" s="9"/>
    </row>
    <row r="148" spans="1:14" ht="15" customHeight="1" x14ac:dyDescent="0.45">
      <c r="A148" s="26">
        <v>355</v>
      </c>
      <c r="B148" s="27">
        <v>1.1000000000000001</v>
      </c>
      <c r="C148" s="28">
        <v>5.8</v>
      </c>
      <c r="D148" s="28"/>
      <c r="E148" s="29">
        <v>191</v>
      </c>
      <c r="F148" s="30">
        <v>171.24545454545449</v>
      </c>
      <c r="G148" s="27">
        <v>0.7</v>
      </c>
      <c r="H148" s="27">
        <v>4.2140000000000004</v>
      </c>
      <c r="I148" s="27">
        <v>1</v>
      </c>
      <c r="J148" s="27">
        <v>1</v>
      </c>
      <c r="K148" s="27">
        <v>1</v>
      </c>
      <c r="L148" s="29"/>
      <c r="M148" s="31">
        <v>5.5720658924548943</v>
      </c>
      <c r="N148" s="37"/>
    </row>
    <row r="149" spans="1:14" ht="15" customHeight="1" x14ac:dyDescent="0.45">
      <c r="A149" s="32" t="s">
        <v>157</v>
      </c>
      <c r="B149" s="33"/>
      <c r="C149" s="22"/>
      <c r="D149" s="22"/>
      <c r="E149" s="24"/>
      <c r="F149" s="34"/>
      <c r="G149" s="35"/>
      <c r="H149" s="36" t="s">
        <v>158</v>
      </c>
      <c r="I149" s="33"/>
      <c r="J149" s="35"/>
      <c r="K149" s="37"/>
      <c r="L149" s="9"/>
      <c r="M149" s="38"/>
      <c r="N149" s="9"/>
    </row>
    <row r="150" spans="1:14" ht="15" customHeight="1" x14ac:dyDescent="0.45">
      <c r="A150" s="39" t="s">
        <v>159</v>
      </c>
      <c r="B150" s="22"/>
      <c r="C150" s="22"/>
      <c r="D150" s="22"/>
      <c r="E150" s="22" t="s">
        <v>160</v>
      </c>
      <c r="F150" s="22" t="s">
        <v>161</v>
      </c>
      <c r="G150" s="40" t="s">
        <v>162</v>
      </c>
      <c r="H150" s="41" t="s">
        <v>160</v>
      </c>
      <c r="I150" s="22" t="s">
        <v>161</v>
      </c>
      <c r="J150" s="42" t="s">
        <v>163</v>
      </c>
      <c r="K150" s="24" t="s">
        <v>164</v>
      </c>
      <c r="L150" s="24"/>
      <c r="M150" s="25" t="s">
        <v>165</v>
      </c>
      <c r="N150" s="9"/>
    </row>
    <row r="151" spans="1:14" ht="15" customHeight="1" x14ac:dyDescent="0.45">
      <c r="A151" s="43" t="s">
        <v>172</v>
      </c>
      <c r="B151" s="28"/>
      <c r="C151" s="28"/>
      <c r="D151" s="28"/>
      <c r="E151" s="44">
        <v>0</v>
      </c>
      <c r="F151" s="45">
        <v>81.583270874999982</v>
      </c>
      <c r="G151" s="46">
        <v>81.583270874999982</v>
      </c>
      <c r="H151" s="47">
        <v>72.259674999999987</v>
      </c>
      <c r="I151" s="29">
        <v>0</v>
      </c>
      <c r="J151" s="48">
        <v>72.259674999999987</v>
      </c>
      <c r="K151" s="30">
        <v>81.583270874999982</v>
      </c>
      <c r="L151" s="27"/>
      <c r="M151" s="31">
        <v>8.6338945626591972</v>
      </c>
      <c r="N151" s="37"/>
    </row>
    <row r="152" spans="1:14" ht="15" customHeight="1" x14ac:dyDescent="0.45">
      <c r="A152" s="16">
        <v>5</v>
      </c>
      <c r="B152" s="17" t="s">
        <v>173</v>
      </c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9"/>
      <c r="N152" s="9"/>
    </row>
    <row r="153" spans="1:14" ht="15" customHeight="1" x14ac:dyDescent="0.45">
      <c r="A153" s="20" t="s">
        <v>146</v>
      </c>
      <c r="B153" s="21" t="s">
        <v>147</v>
      </c>
      <c r="C153" s="22" t="s">
        <v>148</v>
      </c>
      <c r="D153" s="22"/>
      <c r="E153" s="23" t="s">
        <v>149</v>
      </c>
      <c r="F153" s="21" t="s">
        <v>150</v>
      </c>
      <c r="G153" s="24" t="s">
        <v>151</v>
      </c>
      <c r="H153" s="24" t="s">
        <v>152</v>
      </c>
      <c r="I153" s="24" t="s">
        <v>153</v>
      </c>
      <c r="J153" s="24" t="s">
        <v>154</v>
      </c>
      <c r="K153" s="24" t="s">
        <v>155</v>
      </c>
      <c r="L153" s="24"/>
      <c r="M153" s="25" t="s">
        <v>156</v>
      </c>
      <c r="N153" s="9"/>
    </row>
    <row r="154" spans="1:14" ht="15" customHeight="1" x14ac:dyDescent="0.45">
      <c r="A154" s="26">
        <v>355</v>
      </c>
      <c r="B154" s="27">
        <v>1.1000000000000001</v>
      </c>
      <c r="C154" s="28">
        <v>10.5</v>
      </c>
      <c r="D154" s="28"/>
      <c r="E154" s="29">
        <v>191</v>
      </c>
      <c r="F154" s="30">
        <v>171.24545454545449</v>
      </c>
      <c r="G154" s="27">
        <v>0.75</v>
      </c>
      <c r="H154" s="27">
        <v>4.2140000000000004</v>
      </c>
      <c r="I154" s="27">
        <v>1</v>
      </c>
      <c r="J154" s="27">
        <v>1</v>
      </c>
      <c r="K154" s="27">
        <v>1</v>
      </c>
      <c r="L154" s="29"/>
      <c r="M154" s="31">
        <v>5.5720658924548943</v>
      </c>
      <c r="N154" s="37"/>
    </row>
    <row r="155" spans="1:14" ht="15" customHeight="1" x14ac:dyDescent="0.45">
      <c r="A155" s="32" t="s">
        <v>157</v>
      </c>
      <c r="B155" s="33"/>
      <c r="C155" s="22"/>
      <c r="D155" s="22"/>
      <c r="E155" s="24"/>
      <c r="F155" s="34"/>
      <c r="G155" s="35"/>
      <c r="H155" s="36" t="s">
        <v>158</v>
      </c>
      <c r="I155" s="33"/>
      <c r="J155" s="35"/>
      <c r="K155" s="37"/>
      <c r="L155" s="9"/>
      <c r="M155" s="38"/>
      <c r="N155" s="9"/>
    </row>
    <row r="156" spans="1:14" ht="15" customHeight="1" x14ac:dyDescent="0.45">
      <c r="A156" s="39" t="s">
        <v>159</v>
      </c>
      <c r="B156" s="22"/>
      <c r="C156" s="22"/>
      <c r="D156" s="22"/>
      <c r="E156" s="22" t="s">
        <v>160</v>
      </c>
      <c r="F156" s="22" t="s">
        <v>161</v>
      </c>
      <c r="G156" s="40" t="s">
        <v>162</v>
      </c>
      <c r="H156" s="41" t="s">
        <v>160</v>
      </c>
      <c r="I156" s="22" t="s">
        <v>161</v>
      </c>
      <c r="J156" s="42" t="s">
        <v>163</v>
      </c>
      <c r="K156" s="24" t="s">
        <v>164</v>
      </c>
      <c r="L156" s="24"/>
      <c r="M156" s="25" t="s">
        <v>165</v>
      </c>
      <c r="N156" s="9"/>
    </row>
    <row r="157" spans="1:14" ht="15" customHeight="1" x14ac:dyDescent="0.45">
      <c r="A157" s="43" t="s">
        <v>174</v>
      </c>
      <c r="B157" s="28"/>
      <c r="C157" s="28"/>
      <c r="D157" s="28"/>
      <c r="E157" s="44">
        <v>0</v>
      </c>
      <c r="F157" s="45">
        <v>17.782709624999981</v>
      </c>
      <c r="G157" s="46">
        <v>17.782709624999981</v>
      </c>
      <c r="H157" s="47">
        <v>25</v>
      </c>
      <c r="I157" s="29">
        <v>0</v>
      </c>
      <c r="J157" s="48">
        <v>25</v>
      </c>
      <c r="K157" s="30">
        <v>25</v>
      </c>
      <c r="L157" s="27"/>
      <c r="M157" s="31">
        <v>6.5720658924548943</v>
      </c>
      <c r="N157" s="37"/>
    </row>
    <row r="158" spans="1:14" ht="15" customHeight="1" x14ac:dyDescent="0.45">
      <c r="A158" s="16">
        <v>6</v>
      </c>
      <c r="B158" s="17" t="s">
        <v>175</v>
      </c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9"/>
      <c r="N158" s="9"/>
    </row>
    <row r="159" spans="1:14" ht="15" customHeight="1" x14ac:dyDescent="0.45">
      <c r="A159" s="20" t="s">
        <v>146</v>
      </c>
      <c r="B159" s="21" t="s">
        <v>147</v>
      </c>
      <c r="C159" s="22" t="s">
        <v>148</v>
      </c>
      <c r="D159" s="22"/>
      <c r="E159" s="23" t="s">
        <v>149</v>
      </c>
      <c r="F159" s="21" t="s">
        <v>150</v>
      </c>
      <c r="G159" s="24" t="s">
        <v>151</v>
      </c>
      <c r="H159" s="24" t="s">
        <v>152</v>
      </c>
      <c r="I159" s="24" t="s">
        <v>153</v>
      </c>
      <c r="J159" s="24" t="s">
        <v>154</v>
      </c>
      <c r="K159" s="24" t="s">
        <v>155</v>
      </c>
      <c r="L159" s="24"/>
      <c r="M159" s="25" t="s">
        <v>156</v>
      </c>
      <c r="N159" s="9"/>
    </row>
    <row r="160" spans="1:14" ht="15" customHeight="1" x14ac:dyDescent="0.45">
      <c r="A160" s="26">
        <v>355</v>
      </c>
      <c r="B160" s="27">
        <v>1.1000000000000001</v>
      </c>
      <c r="C160" s="28">
        <v>7</v>
      </c>
      <c r="D160" s="28"/>
      <c r="E160" s="29">
        <v>127</v>
      </c>
      <c r="F160" s="30">
        <v>254.44545454545451</v>
      </c>
      <c r="G160" s="27">
        <v>0.75</v>
      </c>
      <c r="H160" s="27">
        <v>4</v>
      </c>
      <c r="I160" s="27">
        <v>1</v>
      </c>
      <c r="J160" s="27">
        <v>1</v>
      </c>
      <c r="K160" s="27">
        <v>1</v>
      </c>
      <c r="L160" s="29"/>
      <c r="M160" s="31">
        <v>5.5720658924548943</v>
      </c>
      <c r="N160" s="37"/>
    </row>
    <row r="161" spans="1:14" ht="15" customHeight="1" x14ac:dyDescent="0.45">
      <c r="A161" s="32" t="s">
        <v>157</v>
      </c>
      <c r="B161" s="33"/>
      <c r="C161" s="22"/>
      <c r="D161" s="22"/>
      <c r="E161" s="24"/>
      <c r="F161" s="34"/>
      <c r="G161" s="35"/>
      <c r="H161" s="36" t="s">
        <v>158</v>
      </c>
      <c r="I161" s="33"/>
      <c r="J161" s="35"/>
      <c r="K161" s="37"/>
      <c r="L161" s="9"/>
      <c r="M161" s="38"/>
      <c r="N161" s="9"/>
    </row>
    <row r="162" spans="1:14" ht="15" customHeight="1" x14ac:dyDescent="0.45">
      <c r="A162" s="39" t="s">
        <v>159</v>
      </c>
      <c r="B162" s="22"/>
      <c r="C162" s="22"/>
      <c r="D162" s="22"/>
      <c r="E162" s="22" t="s">
        <v>160</v>
      </c>
      <c r="F162" s="22" t="s">
        <v>161</v>
      </c>
      <c r="G162" s="40" t="s">
        <v>162</v>
      </c>
      <c r="H162" s="41" t="s">
        <v>160</v>
      </c>
      <c r="I162" s="22" t="s">
        <v>161</v>
      </c>
      <c r="J162" s="42" t="s">
        <v>163</v>
      </c>
      <c r="K162" s="24" t="s">
        <v>164</v>
      </c>
      <c r="L162" s="24"/>
      <c r="M162" s="25" t="s">
        <v>165</v>
      </c>
      <c r="N162" s="9"/>
    </row>
    <row r="163" spans="1:14" ht="15" customHeight="1" x14ac:dyDescent="0.45">
      <c r="A163" s="43" t="s">
        <v>176</v>
      </c>
      <c r="B163" s="28"/>
      <c r="C163" s="28"/>
      <c r="D163" s="28"/>
      <c r="E163" s="44">
        <v>0</v>
      </c>
      <c r="F163" s="45">
        <v>65.293765874999991</v>
      </c>
      <c r="G163" s="46">
        <v>65.293765874999991</v>
      </c>
      <c r="H163" s="47">
        <v>60.193374999999996</v>
      </c>
      <c r="I163" s="29">
        <v>0</v>
      </c>
      <c r="J163" s="48">
        <v>60.193374999999996</v>
      </c>
      <c r="K163" s="30">
        <v>65.293765874999991</v>
      </c>
      <c r="L163" s="27"/>
      <c r="M163" s="31">
        <v>7.0028412837538214</v>
      </c>
      <c r="N163" s="37"/>
    </row>
    <row r="164" spans="1:14" ht="15" customHeight="1" x14ac:dyDescent="0.45">
      <c r="A164" s="16">
        <v>7</v>
      </c>
      <c r="B164" s="17" t="s">
        <v>177</v>
      </c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9"/>
      <c r="N164" s="9"/>
    </row>
    <row r="165" spans="1:14" ht="15" customHeight="1" x14ac:dyDescent="0.45">
      <c r="A165" s="20" t="s">
        <v>146</v>
      </c>
      <c r="B165" s="21" t="s">
        <v>147</v>
      </c>
      <c r="C165" s="22" t="s">
        <v>148</v>
      </c>
      <c r="D165" s="22"/>
      <c r="E165" s="23" t="s">
        <v>149</v>
      </c>
      <c r="F165" s="21" t="s">
        <v>150</v>
      </c>
      <c r="G165" s="24" t="s">
        <v>151</v>
      </c>
      <c r="H165" s="24" t="s">
        <v>152</v>
      </c>
      <c r="I165" s="24" t="s">
        <v>153</v>
      </c>
      <c r="J165" s="24" t="s">
        <v>154</v>
      </c>
      <c r="K165" s="24" t="s">
        <v>155</v>
      </c>
      <c r="L165" s="24"/>
      <c r="M165" s="25" t="s">
        <v>156</v>
      </c>
      <c r="N165" s="9"/>
    </row>
    <row r="166" spans="1:14" ht="15" customHeight="1" x14ac:dyDescent="0.45">
      <c r="A166" s="26">
        <v>355</v>
      </c>
      <c r="B166" s="27">
        <v>1.1000000000000001</v>
      </c>
      <c r="C166" s="28">
        <v>0</v>
      </c>
      <c r="D166" s="28"/>
      <c r="E166" s="29">
        <v>191</v>
      </c>
      <c r="F166" s="30">
        <v>171.24545454545449</v>
      </c>
      <c r="G166" s="27">
        <v>0.75</v>
      </c>
      <c r="H166" s="27">
        <v>4</v>
      </c>
      <c r="I166" s="27">
        <v>1</v>
      </c>
      <c r="J166" s="27">
        <v>1</v>
      </c>
      <c r="K166" s="27">
        <v>1</v>
      </c>
      <c r="L166" s="29"/>
      <c r="M166" s="31">
        <v>5.5720658924548943</v>
      </c>
      <c r="N166" s="37"/>
    </row>
    <row r="167" spans="1:14" ht="15" customHeight="1" x14ac:dyDescent="0.45">
      <c r="A167" s="32" t="s">
        <v>157</v>
      </c>
      <c r="B167" s="33"/>
      <c r="C167" s="22"/>
      <c r="D167" s="22"/>
      <c r="E167" s="24"/>
      <c r="F167" s="34"/>
      <c r="G167" s="35"/>
      <c r="H167" s="36" t="s">
        <v>158</v>
      </c>
      <c r="I167" s="33"/>
      <c r="J167" s="35"/>
      <c r="K167" s="37"/>
      <c r="L167" s="9"/>
      <c r="M167" s="38"/>
      <c r="N167" s="9"/>
    </row>
    <row r="168" spans="1:14" ht="15" customHeight="1" x14ac:dyDescent="0.45">
      <c r="A168" s="39" t="s">
        <v>159</v>
      </c>
      <c r="B168" s="22"/>
      <c r="C168" s="22"/>
      <c r="D168" s="22"/>
      <c r="E168" s="22" t="s">
        <v>160</v>
      </c>
      <c r="F168" s="22" t="s">
        <v>161</v>
      </c>
      <c r="G168" s="40" t="s">
        <v>162</v>
      </c>
      <c r="H168" s="41" t="s">
        <v>160</v>
      </c>
      <c r="I168" s="22" t="s">
        <v>161</v>
      </c>
      <c r="J168" s="42" t="s">
        <v>163</v>
      </c>
      <c r="K168" s="24" t="s">
        <v>164</v>
      </c>
      <c r="L168" s="24"/>
      <c r="M168" s="25" t="s">
        <v>165</v>
      </c>
      <c r="N168" s="9"/>
    </row>
    <row r="169" spans="1:14" ht="15" customHeight="1" x14ac:dyDescent="0.45">
      <c r="A169" s="43" t="s">
        <v>168</v>
      </c>
      <c r="B169" s="28"/>
      <c r="C169" s="28"/>
      <c r="D169" s="28"/>
      <c r="E169" s="44">
        <v>43.137022499999993</v>
      </c>
      <c r="F169" s="45">
        <v>61.966966861816026</v>
      </c>
      <c r="G169" s="46">
        <v>105.10398936181602</v>
      </c>
      <c r="H169" s="47">
        <v>0</v>
      </c>
      <c r="I169" s="29">
        <v>0</v>
      </c>
      <c r="J169" s="48">
        <v>0</v>
      </c>
      <c r="K169" s="30">
        <v>105.10398936181602</v>
      </c>
      <c r="L169" s="27"/>
      <c r="M169" s="31">
        <v>10.283642848058932</v>
      </c>
      <c r="N169" s="37"/>
    </row>
    <row r="170" spans="1:14" ht="15" customHeight="1" x14ac:dyDescent="0.45">
      <c r="A170" s="16">
        <v>8</v>
      </c>
      <c r="B170" s="17" t="s">
        <v>178</v>
      </c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9"/>
      <c r="N170" s="9"/>
    </row>
    <row r="171" spans="1:14" ht="15" customHeight="1" x14ac:dyDescent="0.45">
      <c r="A171" s="20" t="s">
        <v>146</v>
      </c>
      <c r="B171" s="21" t="s">
        <v>147</v>
      </c>
      <c r="C171" s="22" t="s">
        <v>148</v>
      </c>
      <c r="D171" s="22"/>
      <c r="E171" s="23" t="s">
        <v>149</v>
      </c>
      <c r="F171" s="21" t="s">
        <v>150</v>
      </c>
      <c r="G171" s="24" t="s">
        <v>151</v>
      </c>
      <c r="H171" s="24" t="s">
        <v>152</v>
      </c>
      <c r="I171" s="24" t="s">
        <v>153</v>
      </c>
      <c r="J171" s="24" t="s">
        <v>154</v>
      </c>
      <c r="K171" s="24" t="s">
        <v>155</v>
      </c>
      <c r="L171" s="24"/>
      <c r="M171" s="25" t="s">
        <v>156</v>
      </c>
      <c r="N171" s="9"/>
    </row>
    <row r="172" spans="1:14" ht="15" customHeight="1" x14ac:dyDescent="0.45">
      <c r="A172" s="26">
        <v>355</v>
      </c>
      <c r="B172" s="27">
        <v>1.1000000000000001</v>
      </c>
      <c r="C172" s="28">
        <v>0</v>
      </c>
      <c r="D172" s="28"/>
      <c r="E172" s="29">
        <v>191</v>
      </c>
      <c r="F172" s="30">
        <v>171.24545454545449</v>
      </c>
      <c r="G172" s="27">
        <v>0.7</v>
      </c>
      <c r="H172" s="27">
        <v>4</v>
      </c>
      <c r="I172" s="27">
        <v>1</v>
      </c>
      <c r="J172" s="27">
        <v>1</v>
      </c>
      <c r="K172" s="27">
        <v>1</v>
      </c>
      <c r="L172" s="29"/>
      <c r="M172" s="31">
        <v>5.5720658924548943</v>
      </c>
      <c r="N172" s="37"/>
    </row>
    <row r="173" spans="1:14" ht="15" customHeight="1" x14ac:dyDescent="0.45">
      <c r="A173" s="32" t="s">
        <v>157</v>
      </c>
      <c r="B173" s="33"/>
      <c r="C173" s="22"/>
      <c r="D173" s="22"/>
      <c r="E173" s="24"/>
      <c r="F173" s="34"/>
      <c r="G173" s="35"/>
      <c r="H173" s="36" t="s">
        <v>158</v>
      </c>
      <c r="I173" s="33"/>
      <c r="J173" s="35"/>
      <c r="K173" s="37"/>
      <c r="L173" s="9"/>
      <c r="M173" s="38"/>
      <c r="N173" s="9"/>
    </row>
    <row r="174" spans="1:14" ht="15" customHeight="1" x14ac:dyDescent="0.45">
      <c r="A174" s="39" t="s">
        <v>159</v>
      </c>
      <c r="B174" s="22"/>
      <c r="C174" s="22"/>
      <c r="D174" s="22"/>
      <c r="E174" s="22" t="s">
        <v>160</v>
      </c>
      <c r="F174" s="22" t="s">
        <v>161</v>
      </c>
      <c r="G174" s="40" t="s">
        <v>162</v>
      </c>
      <c r="H174" s="41" t="s">
        <v>160</v>
      </c>
      <c r="I174" s="22" t="s">
        <v>161</v>
      </c>
      <c r="J174" s="42" t="s">
        <v>163</v>
      </c>
      <c r="K174" s="24" t="s">
        <v>164</v>
      </c>
      <c r="L174" s="24"/>
      <c r="M174" s="25" t="s">
        <v>165</v>
      </c>
      <c r="N174" s="9"/>
    </row>
    <row r="175" spans="1:14" ht="15" customHeight="1" x14ac:dyDescent="0.45">
      <c r="A175" s="43" t="s">
        <v>168</v>
      </c>
      <c r="B175" s="28"/>
      <c r="C175" s="28"/>
      <c r="D175" s="28"/>
      <c r="E175" s="44">
        <v>43.137022499999993</v>
      </c>
      <c r="F175" s="45">
        <v>61.966966861816026</v>
      </c>
      <c r="G175" s="46">
        <v>105.10398936181602</v>
      </c>
      <c r="H175" s="47">
        <v>0</v>
      </c>
      <c r="I175" s="29">
        <v>0</v>
      </c>
      <c r="J175" s="48">
        <v>0</v>
      </c>
      <c r="K175" s="30">
        <v>105.10398936181602</v>
      </c>
      <c r="L175" s="27"/>
      <c r="M175" s="31">
        <v>9.6647333248550016</v>
      </c>
      <c r="N175" s="37"/>
    </row>
    <row r="176" spans="1:14" ht="15" customHeight="1" x14ac:dyDescent="0.45">
      <c r="A176" s="16">
        <v>9</v>
      </c>
      <c r="B176" s="17" t="s">
        <v>179</v>
      </c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9"/>
      <c r="N176" s="9"/>
    </row>
    <row r="177" spans="1:14" ht="15" customHeight="1" x14ac:dyDescent="0.45">
      <c r="A177" s="20" t="s">
        <v>146</v>
      </c>
      <c r="B177" s="21" t="s">
        <v>147</v>
      </c>
      <c r="C177" s="22" t="s">
        <v>148</v>
      </c>
      <c r="D177" s="22"/>
      <c r="E177" s="23" t="s">
        <v>149</v>
      </c>
      <c r="F177" s="21" t="s">
        <v>150</v>
      </c>
      <c r="G177" s="24" t="s">
        <v>151</v>
      </c>
      <c r="H177" s="24" t="s">
        <v>152</v>
      </c>
      <c r="I177" s="24" t="s">
        <v>153</v>
      </c>
      <c r="J177" s="24" t="s">
        <v>154</v>
      </c>
      <c r="K177" s="24" t="s">
        <v>155</v>
      </c>
      <c r="L177" s="24"/>
      <c r="M177" s="25" t="s">
        <v>156</v>
      </c>
      <c r="N177" s="9"/>
    </row>
    <row r="178" spans="1:14" ht="15" customHeight="1" x14ac:dyDescent="0.45">
      <c r="A178" s="26">
        <v>355</v>
      </c>
      <c r="B178" s="27">
        <v>1.1000000000000001</v>
      </c>
      <c r="C178" s="28">
        <v>2.9</v>
      </c>
      <c r="D178" s="28"/>
      <c r="E178" s="29">
        <v>85.6</v>
      </c>
      <c r="F178" s="30">
        <v>308.26545454545453</v>
      </c>
      <c r="G178" s="27">
        <v>0.7</v>
      </c>
      <c r="H178" s="27">
        <v>4</v>
      </c>
      <c r="I178" s="27">
        <v>1</v>
      </c>
      <c r="J178" s="27">
        <v>1</v>
      </c>
      <c r="K178" s="27">
        <v>1</v>
      </c>
      <c r="L178" s="29"/>
      <c r="M178" s="31">
        <v>5.5720658924548943</v>
      </c>
      <c r="N178" s="37"/>
    </row>
    <row r="179" spans="1:14" ht="15" customHeight="1" x14ac:dyDescent="0.45">
      <c r="A179" s="32" t="s">
        <v>157</v>
      </c>
      <c r="B179" s="33"/>
      <c r="C179" s="22"/>
      <c r="D179" s="22"/>
      <c r="E179" s="24"/>
      <c r="F179" s="34"/>
      <c r="G179" s="35"/>
      <c r="H179" s="36" t="s">
        <v>158</v>
      </c>
      <c r="I179" s="33"/>
      <c r="J179" s="35"/>
      <c r="K179" s="37"/>
      <c r="L179" s="9"/>
      <c r="M179" s="38"/>
      <c r="N179" s="9"/>
    </row>
    <row r="180" spans="1:14" ht="15" customHeight="1" x14ac:dyDescent="0.45">
      <c r="A180" s="39" t="s">
        <v>159</v>
      </c>
      <c r="B180" s="22"/>
      <c r="C180" s="22"/>
      <c r="D180" s="22"/>
      <c r="E180" s="22" t="s">
        <v>160</v>
      </c>
      <c r="F180" s="22" t="s">
        <v>161</v>
      </c>
      <c r="G180" s="40" t="s">
        <v>162</v>
      </c>
      <c r="H180" s="41" t="s">
        <v>160</v>
      </c>
      <c r="I180" s="22" t="s">
        <v>161</v>
      </c>
      <c r="J180" s="42" t="s">
        <v>163</v>
      </c>
      <c r="K180" s="24" t="s">
        <v>164</v>
      </c>
      <c r="L180" s="24"/>
      <c r="M180" s="25" t="s">
        <v>165</v>
      </c>
      <c r="N180" s="9"/>
    </row>
    <row r="181" spans="1:14" ht="15" customHeight="1" x14ac:dyDescent="0.45">
      <c r="A181" s="43" t="s">
        <v>170</v>
      </c>
      <c r="B181" s="28"/>
      <c r="C181" s="28"/>
      <c r="D181" s="28"/>
      <c r="E181" s="44">
        <v>13.9767975</v>
      </c>
      <c r="F181" s="45">
        <v>86.836910943515008</v>
      </c>
      <c r="G181" s="46">
        <v>100.81370844351501</v>
      </c>
      <c r="H181" s="47">
        <v>0</v>
      </c>
      <c r="I181" s="29">
        <v>0</v>
      </c>
      <c r="J181" s="48">
        <v>0</v>
      </c>
      <c r="K181" s="30">
        <v>100.81370844351501</v>
      </c>
      <c r="L181" s="27"/>
      <c r="M181" s="31">
        <v>7.3248829526161403</v>
      </c>
      <c r="N181" s="37"/>
    </row>
    <row r="182" spans="1:14" ht="15" customHeight="1" x14ac:dyDescent="0.45">
      <c r="A182" s="16">
        <v>10</v>
      </c>
      <c r="B182" s="17" t="s">
        <v>180</v>
      </c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9"/>
      <c r="N182" s="9"/>
    </row>
    <row r="183" spans="1:14" ht="15" customHeight="1" x14ac:dyDescent="0.45">
      <c r="A183" s="20" t="s">
        <v>146</v>
      </c>
      <c r="B183" s="21" t="s">
        <v>147</v>
      </c>
      <c r="C183" s="22" t="s">
        <v>148</v>
      </c>
      <c r="D183" s="22"/>
      <c r="E183" s="23" t="s">
        <v>149</v>
      </c>
      <c r="F183" s="21" t="s">
        <v>150</v>
      </c>
      <c r="G183" s="24" t="s">
        <v>151</v>
      </c>
      <c r="H183" s="24" t="s">
        <v>152</v>
      </c>
      <c r="I183" s="24" t="s">
        <v>153</v>
      </c>
      <c r="J183" s="24" t="s">
        <v>154</v>
      </c>
      <c r="K183" s="24" t="s">
        <v>155</v>
      </c>
      <c r="L183" s="24"/>
      <c r="M183" s="25" t="s">
        <v>156</v>
      </c>
      <c r="N183" s="9"/>
    </row>
    <row r="184" spans="1:14" ht="15" customHeight="1" x14ac:dyDescent="0.45">
      <c r="A184" s="26">
        <v>355</v>
      </c>
      <c r="B184" s="27">
        <v>1.1000000000000001</v>
      </c>
      <c r="C184" s="28">
        <v>5.8</v>
      </c>
      <c r="D184" s="28"/>
      <c r="E184" s="29">
        <v>127</v>
      </c>
      <c r="F184" s="30">
        <v>254.44545454545451</v>
      </c>
      <c r="G184" s="27">
        <v>0.7</v>
      </c>
      <c r="H184" s="27">
        <v>4</v>
      </c>
      <c r="I184" s="27">
        <v>1</v>
      </c>
      <c r="J184" s="27">
        <v>1</v>
      </c>
      <c r="K184" s="27">
        <v>1</v>
      </c>
      <c r="L184" s="29"/>
      <c r="M184" s="31">
        <v>5.5720658924548943</v>
      </c>
      <c r="N184" s="37"/>
    </row>
    <row r="185" spans="1:14" ht="15" customHeight="1" x14ac:dyDescent="0.45">
      <c r="A185" s="32" t="s">
        <v>157</v>
      </c>
      <c r="B185" s="33"/>
      <c r="C185" s="22"/>
      <c r="D185" s="22"/>
      <c r="E185" s="24"/>
      <c r="F185" s="34"/>
      <c r="G185" s="35"/>
      <c r="H185" s="36" t="s">
        <v>158</v>
      </c>
      <c r="I185" s="33"/>
      <c r="J185" s="35"/>
      <c r="K185" s="37"/>
      <c r="L185" s="9"/>
      <c r="M185" s="38"/>
      <c r="N185" s="9"/>
    </row>
    <row r="186" spans="1:14" ht="15" customHeight="1" x14ac:dyDescent="0.45">
      <c r="A186" s="39" t="s">
        <v>159</v>
      </c>
      <c r="B186" s="22"/>
      <c r="C186" s="22"/>
      <c r="D186" s="22"/>
      <c r="E186" s="22" t="s">
        <v>160</v>
      </c>
      <c r="F186" s="22" t="s">
        <v>161</v>
      </c>
      <c r="G186" s="40" t="s">
        <v>162</v>
      </c>
      <c r="H186" s="41" t="s">
        <v>160</v>
      </c>
      <c r="I186" s="22" t="s">
        <v>161</v>
      </c>
      <c r="J186" s="42" t="s">
        <v>163</v>
      </c>
      <c r="K186" s="24" t="s">
        <v>164</v>
      </c>
      <c r="L186" s="24"/>
      <c r="M186" s="25" t="s">
        <v>165</v>
      </c>
      <c r="N186" s="9"/>
    </row>
    <row r="187" spans="1:14" ht="15" customHeight="1" x14ac:dyDescent="0.45">
      <c r="A187" s="43" t="s">
        <v>172</v>
      </c>
      <c r="B187" s="28"/>
      <c r="C187" s="28"/>
      <c r="D187" s="28"/>
      <c r="E187" s="44">
        <v>0</v>
      </c>
      <c r="F187" s="45">
        <v>81.583270874999982</v>
      </c>
      <c r="G187" s="46">
        <v>81.583270874999982</v>
      </c>
      <c r="H187" s="47">
        <v>0</v>
      </c>
      <c r="I187" s="29">
        <v>0</v>
      </c>
      <c r="J187" s="48">
        <v>0</v>
      </c>
      <c r="K187" s="30">
        <v>81.583270874999982</v>
      </c>
      <c r="L187" s="27"/>
      <c r="M187" s="31">
        <v>7.2626527990297367</v>
      </c>
      <c r="N187" s="37"/>
    </row>
    <row r="188" spans="1:14" ht="15" customHeight="1" x14ac:dyDescent="0.45">
      <c r="A188" s="16">
        <v>11</v>
      </c>
      <c r="B188" s="17" t="s">
        <v>181</v>
      </c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9"/>
      <c r="N188" s="9"/>
    </row>
    <row r="189" spans="1:14" ht="15" customHeight="1" x14ac:dyDescent="0.45">
      <c r="A189" s="20" t="s">
        <v>146</v>
      </c>
      <c r="B189" s="21" t="s">
        <v>147</v>
      </c>
      <c r="C189" s="22" t="s">
        <v>148</v>
      </c>
      <c r="D189" s="22"/>
      <c r="E189" s="23" t="s">
        <v>149</v>
      </c>
      <c r="F189" s="21" t="s">
        <v>150</v>
      </c>
      <c r="G189" s="24" t="s">
        <v>151</v>
      </c>
      <c r="H189" s="24" t="s">
        <v>152</v>
      </c>
      <c r="I189" s="24" t="s">
        <v>153</v>
      </c>
      <c r="J189" s="24" t="s">
        <v>154</v>
      </c>
      <c r="K189" s="24" t="s">
        <v>155</v>
      </c>
      <c r="L189" s="24"/>
      <c r="M189" s="25" t="s">
        <v>156</v>
      </c>
      <c r="N189" s="9"/>
    </row>
    <row r="190" spans="1:14" ht="15" customHeight="1" x14ac:dyDescent="0.45">
      <c r="A190" s="26">
        <v>355</v>
      </c>
      <c r="B190" s="27">
        <v>1.1000000000000001</v>
      </c>
      <c r="C190" s="28">
        <v>7</v>
      </c>
      <c r="D190" s="28"/>
      <c r="E190" s="29">
        <v>127</v>
      </c>
      <c r="F190" s="30">
        <v>254.44545454545451</v>
      </c>
      <c r="G190" s="27">
        <v>0.7</v>
      </c>
      <c r="H190" s="27">
        <v>4</v>
      </c>
      <c r="I190" s="27">
        <v>1</v>
      </c>
      <c r="J190" s="27">
        <v>1</v>
      </c>
      <c r="K190" s="27">
        <v>1</v>
      </c>
      <c r="L190" s="29"/>
      <c r="M190" s="31">
        <v>5.5720658924548943</v>
      </c>
      <c r="N190" s="37"/>
    </row>
    <row r="191" spans="1:14" ht="15" customHeight="1" x14ac:dyDescent="0.45">
      <c r="A191" s="32" t="s">
        <v>157</v>
      </c>
      <c r="B191" s="33"/>
      <c r="C191" s="22"/>
      <c r="D191" s="22"/>
      <c r="E191" s="24"/>
      <c r="F191" s="34"/>
      <c r="G191" s="35"/>
      <c r="H191" s="36" t="s">
        <v>158</v>
      </c>
      <c r="I191" s="33"/>
      <c r="J191" s="35"/>
      <c r="K191" s="37"/>
      <c r="L191" s="9"/>
      <c r="M191" s="38"/>
      <c r="N191" s="9"/>
    </row>
    <row r="192" spans="1:14" ht="15" customHeight="1" x14ac:dyDescent="0.45">
      <c r="A192" s="39" t="s">
        <v>159</v>
      </c>
      <c r="B192" s="22"/>
      <c r="C192" s="22"/>
      <c r="D192" s="22"/>
      <c r="E192" s="22" t="s">
        <v>160</v>
      </c>
      <c r="F192" s="22" t="s">
        <v>161</v>
      </c>
      <c r="G192" s="40" t="s">
        <v>162</v>
      </c>
      <c r="H192" s="41" t="s">
        <v>160</v>
      </c>
      <c r="I192" s="22" t="s">
        <v>161</v>
      </c>
      <c r="J192" s="42" t="s">
        <v>163</v>
      </c>
      <c r="K192" s="24" t="s">
        <v>164</v>
      </c>
      <c r="L192" s="24"/>
      <c r="M192" s="25" t="s">
        <v>165</v>
      </c>
      <c r="N192" s="9"/>
    </row>
    <row r="193" spans="1:14" ht="15" customHeight="1" x14ac:dyDescent="0.45">
      <c r="A193" s="43" t="s">
        <v>176</v>
      </c>
      <c r="B193" s="28"/>
      <c r="C193" s="28"/>
      <c r="D193" s="28"/>
      <c r="E193" s="44">
        <v>0</v>
      </c>
      <c r="F193" s="45">
        <v>65.293765874999991</v>
      </c>
      <c r="G193" s="46">
        <v>65.293765874999991</v>
      </c>
      <c r="H193" s="47">
        <v>0</v>
      </c>
      <c r="I193" s="29">
        <v>0</v>
      </c>
      <c r="J193" s="48">
        <v>0</v>
      </c>
      <c r="K193" s="30">
        <v>65.293765874999991</v>
      </c>
      <c r="L193" s="27"/>
      <c r="M193" s="31">
        <v>6.6026518648368988</v>
      </c>
      <c r="N193" s="37"/>
    </row>
    <row r="194" spans="1:14" ht="15" customHeight="1" x14ac:dyDescent="0.45"/>
    <row r="195" spans="1:14" ht="15" customHeight="1" x14ac:dyDescent="0.45"/>
    <row r="196" spans="1:14" ht="15" customHeight="1" x14ac:dyDescent="0.45"/>
    <row r="197" spans="1:14" ht="15" customHeight="1" x14ac:dyDescent="0.45"/>
    <row r="198" spans="1:14" ht="15" customHeight="1" x14ac:dyDescent="0.45"/>
    <row r="199" spans="1:14" ht="15" customHeight="1" x14ac:dyDescent="0.45"/>
    <row r="200" spans="1:14" ht="15" customHeight="1" x14ac:dyDescent="0.45"/>
    <row r="201" spans="1:14" ht="15" customHeight="1" x14ac:dyDescent="0.45"/>
    <row r="202" spans="1:14" ht="15" customHeight="1" x14ac:dyDescent="0.45"/>
    <row r="203" spans="1:14" ht="15" customHeight="1" x14ac:dyDescent="0.45"/>
    <row r="204" spans="1:14" ht="15" customHeight="1" x14ac:dyDescent="0.45"/>
    <row r="205" spans="1:14" ht="15" customHeight="1" x14ac:dyDescent="0.45"/>
    <row r="206" spans="1:14" ht="15" customHeight="1" x14ac:dyDescent="0.45"/>
    <row r="207" spans="1:14" ht="15" customHeight="1" x14ac:dyDescent="0.45"/>
  </sheetData>
  <mergeCells count="4">
    <mergeCell ref="F1:N3"/>
    <mergeCell ref="F4:N5"/>
    <mergeCell ref="A21:B22"/>
    <mergeCell ref="M21:M22"/>
  </mergeCells>
  <phoneticPr fontId="4" type="noConversion"/>
  <conditionalFormatting sqref="Z39:AB39 Y23:Y96">
    <cfRule type="cellIs" dxfId="6" priority="1" operator="equal">
      <formula>"N.G"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A82C-6068-4D3A-A294-7A89010D3E02}">
  <sheetPr codeName="Sheet10"/>
  <dimension ref="A1:AC112"/>
  <sheetViews>
    <sheetView showGridLines="0" topLeftCell="A13" zoomScale="115" zoomScaleNormal="115" workbookViewId="0">
      <selection activeCell="A22" sqref="A22:AA65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P8" s="4">
        <v>56</v>
      </c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P9" s="4">
        <v>1.0249999999999999</v>
      </c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P10" s="4">
        <v>9.81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5">
        <v>4.29</v>
      </c>
      <c r="G11" s="151" t="s">
        <v>37</v>
      </c>
      <c r="I11" s="4" t="s">
        <v>78</v>
      </c>
      <c r="M11" s="4">
        <v>701000</v>
      </c>
      <c r="N11" s="5" t="s">
        <v>79</v>
      </c>
      <c r="P11" s="4">
        <v>4.29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5">
        <v>10.5</v>
      </c>
      <c r="G12" s="152" t="s">
        <v>77</v>
      </c>
      <c r="I12" s="4" t="s">
        <v>82</v>
      </c>
      <c r="M12" s="4">
        <v>19.484999999999999</v>
      </c>
      <c r="N12" s="5" t="s">
        <v>83</v>
      </c>
      <c r="P12" s="4">
        <f>0.07*1.025*9.81*P8</f>
        <v>39.416579999999996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46">
        <v>10.46</v>
      </c>
      <c r="G13" s="153"/>
      <c r="I13" s="4" t="s">
        <v>86</v>
      </c>
      <c r="M13" s="4">
        <v>5.5430000000000001</v>
      </c>
      <c r="N13" s="5" t="s">
        <v>87</v>
      </c>
      <c r="P13" s="4">
        <f>1.025*9.81*(4.29+0.07*56-8)</f>
        <v>2.1116025000000085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47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23700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E17" s="10"/>
      <c r="F17" s="150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208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4</v>
      </c>
      <c r="O24" s="116">
        <v>0.75</v>
      </c>
      <c r="P24" s="96">
        <v>1</v>
      </c>
      <c r="Q24" s="96">
        <v>355</v>
      </c>
      <c r="R24" s="96">
        <f t="shared" ref="R24:R57" si="2">$M$11/ABS(($M$12/(E24-$M$13)))/1000</f>
        <v>199.41714139081347</v>
      </c>
      <c r="S24" s="96">
        <v>0</v>
      </c>
      <c r="T24" s="96">
        <v>19.326272360000001</v>
      </c>
      <c r="U24" s="96">
        <f>SQRT(R24^2+S24^2-R24*S24+3*T24^2)</f>
        <v>202.20709851655155</v>
      </c>
      <c r="V24" s="93">
        <f t="shared" ref="V24:V29" si="3">(Q24/$F$7-U24)</f>
        <v>120.52017421072114</v>
      </c>
      <c r="W24" s="93">
        <f>0.577*SQRT((Q24/$F$7)^2-R24^2)</f>
        <v>146.40992274194883</v>
      </c>
      <c r="X24" s="93">
        <f t="shared" ref="X24:X36" si="4">N24^2*O24*K24*1000000/($F$8*V24*P24)/10^3</f>
        <v>1261.5674304798222</v>
      </c>
      <c r="Y24" s="93">
        <f>N24*O24*K24*1000/(2*W24)</f>
        <v>1557.7256341564557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42" si="7">1.025*9.81*(($F$10+0.76)-E25)+25</f>
        <v>138.22211499999997</v>
      </c>
      <c r="J25" s="96">
        <v>0</v>
      </c>
      <c r="K25" s="93">
        <f t="shared" ref="K25:K28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42" si="9">$M$11/ABS(($M$12/(E25-$M$13)))/1000</f>
        <v>199.41714139081347</v>
      </c>
      <c r="S25" s="96">
        <v>0</v>
      </c>
      <c r="T25" s="96">
        <v>9.8726992899999999</v>
      </c>
      <c r="U25" s="96">
        <f t="shared" ref="U25:U48" si="10">SQRT(R25^2+S25^2-R25*S25+3*T25^2)</f>
        <v>200.14896166179824</v>
      </c>
      <c r="V25" s="93">
        <f t="shared" si="3"/>
        <v>122.57831106547445</v>
      </c>
      <c r="W25" s="93">
        <f t="shared" ref="W25:W42" si="11">0.577*SQRT((Q25/$F$7)^2-R25^2)</f>
        <v>146.40992274194883</v>
      </c>
      <c r="X25" s="93">
        <f t="shared" si="4"/>
        <v>1240.3852294782105</v>
      </c>
      <c r="Y25" s="93">
        <f t="shared" ref="Y25:Y30" si="12">N25*O25*K25*1000/(2*W25)</f>
        <v>1557.7256341564557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199.41714139081347</v>
      </c>
      <c r="S26" s="96">
        <v>0</v>
      </c>
      <c r="T26" s="96">
        <v>0.41912621700000002</v>
      </c>
      <c r="U26" s="96">
        <f t="shared" si="10"/>
        <v>199.41846273813522</v>
      </c>
      <c r="V26" s="93">
        <f t="shared" si="3"/>
        <v>123.30880998913747</v>
      </c>
      <c r="W26" s="93">
        <f t="shared" si="11"/>
        <v>146.40992274194883</v>
      </c>
      <c r="X26" s="93">
        <f t="shared" si="4"/>
        <v>1233.0370110083284</v>
      </c>
      <c r="Y26" s="93">
        <f t="shared" si="12"/>
        <v>1557.7256341564557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199.41714139081347</v>
      </c>
      <c r="S27" s="96">
        <v>0</v>
      </c>
      <c r="T27" s="96">
        <v>9.0344468560000006</v>
      </c>
      <c r="U27" s="96">
        <f t="shared" si="10"/>
        <v>200.03014765396077</v>
      </c>
      <c r="V27" s="93">
        <f t="shared" si="3"/>
        <v>122.69712507331192</v>
      </c>
      <c r="W27" s="93">
        <f t="shared" si="11"/>
        <v>146.40992274194883</v>
      </c>
      <c r="X27" s="93">
        <f t="shared" si="4"/>
        <v>1239.1840999465392</v>
      </c>
      <c r="Y27" s="93">
        <f t="shared" si="12"/>
        <v>1557.7256341564557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199.41714139081347</v>
      </c>
      <c r="S28" s="96">
        <v>0</v>
      </c>
      <c r="T28" s="96">
        <v>18.48801993</v>
      </c>
      <c r="U28" s="96">
        <f t="shared" si="10"/>
        <v>201.97182210219307</v>
      </c>
      <c r="V28" s="93">
        <f t="shared" si="3"/>
        <v>120.75545062507962</v>
      </c>
      <c r="W28" s="93">
        <f t="shared" si="11"/>
        <v>146.40992274194883</v>
      </c>
      <c r="X28" s="93">
        <f t="shared" si="4"/>
        <v>1259.1094291227132</v>
      </c>
      <c r="Y28" s="93">
        <f t="shared" si="12"/>
        <v>1557.7256341564557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ref="K29:K42" si="13">I29*$F$19+J29*$F$18</f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199.41714139081347</v>
      </c>
      <c r="S29" s="96">
        <v>0</v>
      </c>
      <c r="T29" s="96">
        <v>27.941593000000001</v>
      </c>
      <c r="U29" s="96">
        <f t="shared" si="10"/>
        <v>205.2057361250329</v>
      </c>
      <c r="V29" s="93">
        <f t="shared" si="3"/>
        <v>117.52153660223979</v>
      </c>
      <c r="W29" s="93">
        <f t="shared" si="11"/>
        <v>146.40992274194883</v>
      </c>
      <c r="X29" s="93">
        <f t="shared" si="4"/>
        <v>1293.7571350398955</v>
      </c>
      <c r="Y29" s="93">
        <f t="shared" si="12"/>
        <v>1557.7256341564557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208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13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4</v>
      </c>
      <c r="O30" s="116">
        <v>0.75</v>
      </c>
      <c r="P30" s="96">
        <v>1</v>
      </c>
      <c r="Q30" s="96">
        <v>355</v>
      </c>
      <c r="R30" s="96">
        <f>$M$11/ABS(($M$12/(E30-$M$13)))/1000</f>
        <v>199.41714139081347</v>
      </c>
      <c r="S30" s="96">
        <v>0</v>
      </c>
      <c r="T30" s="96">
        <v>37.395166080000003</v>
      </c>
      <c r="U30" s="96">
        <f t="shared" si="10"/>
        <v>209.67210500907373</v>
      </c>
      <c r="V30" s="93">
        <f t="shared" ref="V30:V51" si="14">(Q30/$F$7-U30)</f>
        <v>113.05516771819896</v>
      </c>
      <c r="W30" s="93">
        <f t="shared" si="11"/>
        <v>146.40992274194883</v>
      </c>
      <c r="X30" s="93">
        <f t="shared" si="4"/>
        <v>1344.8684351960389</v>
      </c>
      <c r="Y30" s="93">
        <f t="shared" si="12"/>
        <v>1557.7256341564557</v>
      </c>
      <c r="Z30" s="117" t="e">
        <f t="shared" ca="1" si="5"/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216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13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2.5099999999999998</v>
      </c>
      <c r="O31" s="120">
        <v>0.7</v>
      </c>
      <c r="P31" s="91">
        <v>1</v>
      </c>
      <c r="Q31" s="91">
        <v>355</v>
      </c>
      <c r="R31" s="121">
        <f t="shared" si="9"/>
        <v>174.23366692327431</v>
      </c>
      <c r="S31" s="91">
        <v>0</v>
      </c>
      <c r="T31" s="91">
        <v>52.685196269999999</v>
      </c>
      <c r="U31" s="91">
        <f t="shared" si="10"/>
        <v>196.68390988475838</v>
      </c>
      <c r="V31" s="88">
        <f t="shared" si="14"/>
        <v>126.04336284251431</v>
      </c>
      <c r="W31" s="88">
        <f t="shared" si="11"/>
        <v>156.74396097289963</v>
      </c>
      <c r="X31" s="88">
        <f t="shared" si="4"/>
        <v>420.7420857746194</v>
      </c>
      <c r="Y31" s="88">
        <f t="shared" ref="Y31:Y65" si="15">N31*O31*K31*1000/(2*W31)</f>
        <v>808.76555917786084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13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2.5099999999999998</v>
      </c>
      <c r="O32" s="120">
        <v>0.7</v>
      </c>
      <c r="P32" s="91">
        <v>1</v>
      </c>
      <c r="Q32" s="91">
        <v>355</v>
      </c>
      <c r="R32" s="121">
        <f t="shared" si="9"/>
        <v>149.05019245573521</v>
      </c>
      <c r="S32" s="91">
        <v>0</v>
      </c>
      <c r="T32" s="91">
        <v>59.232198859999997</v>
      </c>
      <c r="U32" s="91">
        <f t="shared" si="10"/>
        <v>180.94562723775189</v>
      </c>
      <c r="V32" s="88">
        <f t="shared" si="14"/>
        <v>141.7816454895208</v>
      </c>
      <c r="W32" s="88">
        <f t="shared" si="11"/>
        <v>165.16410343608533</v>
      </c>
      <c r="X32" s="88">
        <f t="shared" si="4"/>
        <v>353.9690745833156</v>
      </c>
      <c r="Y32" s="88">
        <f t="shared" si="15"/>
        <v>726.35210170940411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43" si="16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13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2.5099999999999998</v>
      </c>
      <c r="O33" s="120">
        <v>0.7</v>
      </c>
      <c r="P33" s="91">
        <v>1</v>
      </c>
      <c r="Q33" s="91">
        <v>355</v>
      </c>
      <c r="R33" s="121">
        <f t="shared" si="9"/>
        <v>123.86671798819607</v>
      </c>
      <c r="S33" s="91">
        <v>0</v>
      </c>
      <c r="T33" s="91">
        <v>64.463545229999994</v>
      </c>
      <c r="U33" s="91">
        <f t="shared" si="10"/>
        <v>166.76213543855829</v>
      </c>
      <c r="V33" s="88">
        <f t="shared" si="14"/>
        <v>155.9651372887144</v>
      </c>
      <c r="W33" s="88">
        <f t="shared" si="11"/>
        <v>171.95173963766536</v>
      </c>
      <c r="X33" s="88">
        <f t="shared" si="4"/>
        <v>303.53506646558583</v>
      </c>
      <c r="Y33" s="88">
        <f t="shared" si="15"/>
        <v>658.12343806442959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6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13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2.5099999999999998</v>
      </c>
      <c r="O34" s="120">
        <v>0.7</v>
      </c>
      <c r="P34" s="91">
        <v>1</v>
      </c>
      <c r="Q34" s="91">
        <v>355</v>
      </c>
      <c r="R34" s="121">
        <f t="shared" si="9"/>
        <v>98.683243520656916</v>
      </c>
      <c r="S34" s="91">
        <v>0</v>
      </c>
      <c r="T34" s="91">
        <v>68.621685690000007</v>
      </c>
      <c r="U34" s="91">
        <f t="shared" si="10"/>
        <v>154.4836230561956</v>
      </c>
      <c r="V34" s="88">
        <f t="shared" si="14"/>
        <v>168.24364967107709</v>
      </c>
      <c r="W34" s="88">
        <f t="shared" si="11"/>
        <v>177.29446805581551</v>
      </c>
      <c r="X34" s="88">
        <f t="shared" si="4"/>
        <v>264.47036109031905</v>
      </c>
      <c r="Y34" s="88">
        <f t="shared" si="15"/>
        <v>599.926481923648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6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13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2.5099999999999998</v>
      </c>
      <c r="O35" s="120">
        <v>0.7</v>
      </c>
      <c r="P35" s="91">
        <v>1</v>
      </c>
      <c r="Q35" s="91">
        <v>355</v>
      </c>
      <c r="R35" s="121">
        <f t="shared" si="9"/>
        <v>73.499769053117788</v>
      </c>
      <c r="S35" s="91">
        <v>0</v>
      </c>
      <c r="T35" s="91">
        <v>71.813757129999999</v>
      </c>
      <c r="U35" s="91">
        <f t="shared" si="10"/>
        <v>144.47789862204368</v>
      </c>
      <c r="V35" s="88">
        <f t="shared" si="14"/>
        <v>178.24937410522901</v>
      </c>
      <c r="W35" s="88">
        <f t="shared" si="11"/>
        <v>181.32005950851456</v>
      </c>
      <c r="X35" s="88">
        <f t="shared" si="4"/>
        <v>233.6615735968513</v>
      </c>
      <c r="Y35" s="88">
        <f t="shared" si="15"/>
        <v>549.09436478717168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6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13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2.5099999999999998</v>
      </c>
      <c r="O36" s="120">
        <v>0.7</v>
      </c>
      <c r="P36" s="91">
        <v>1</v>
      </c>
      <c r="Q36" s="91">
        <v>355</v>
      </c>
      <c r="R36" s="121">
        <f t="shared" si="9"/>
        <v>48.316294585578646</v>
      </c>
      <c r="S36" s="91">
        <v>0</v>
      </c>
      <c r="T36" s="91">
        <v>74.039759559999993</v>
      </c>
      <c r="U36" s="91">
        <f t="shared" si="10"/>
        <v>137.0405863588895</v>
      </c>
      <c r="V36" s="88">
        <f t="shared" si="14"/>
        <v>185.68668636838319</v>
      </c>
      <c r="W36" s="88">
        <f t="shared" si="11"/>
        <v>184.11493012612937</v>
      </c>
      <c r="X36" s="88">
        <f t="shared" si="4"/>
        <v>208.97890134953502</v>
      </c>
      <c r="Y36" s="88">
        <f t="shared" si="15"/>
        <v>503.81573753526669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6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13"/>
        <v>97.84652899999999</v>
      </c>
      <c r="L37" s="88"/>
      <c r="M37" s="88"/>
      <c r="N37" s="120"/>
      <c r="O37" s="120"/>
      <c r="P37" s="91"/>
      <c r="Q37" s="91"/>
      <c r="R37" s="121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225</v>
      </c>
      <c r="D38" s="119"/>
      <c r="E38" s="120">
        <f t="shared" si="16"/>
        <v>5.6000000000000005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13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2.5099999999999998</v>
      </c>
      <c r="O38" s="120">
        <v>0.7</v>
      </c>
      <c r="P38" s="91">
        <v>1</v>
      </c>
      <c r="Q38" s="91">
        <v>355</v>
      </c>
      <c r="R38" s="121">
        <f t="shared" si="9"/>
        <v>2.050654349499629</v>
      </c>
      <c r="S38" s="91">
        <v>0</v>
      </c>
      <c r="T38" s="91">
        <v>76.704483359999998</v>
      </c>
      <c r="U38" s="91">
        <f t="shared" si="10"/>
        <v>132.87188749255679</v>
      </c>
      <c r="V38" s="88">
        <f t="shared" si="14"/>
        <v>189.8553852347159</v>
      </c>
      <c r="W38" s="88">
        <f t="shared" si="11"/>
        <v>186.20987712876735</v>
      </c>
      <c r="X38" s="88">
        <f t="shared" ref="X38:X57" si="17">N38^2*O38*K38*1000000/($F$8*V38*P38)/10^3</f>
        <v>174.41559850619879</v>
      </c>
      <c r="Y38" s="88">
        <f t="shared" si="15"/>
        <v>425.09212379487263</v>
      </c>
      <c r="Z38" s="122" t="e">
        <f t="shared" ref="Z38:Z57" ca="1" si="18">IF(AND(L38&gt;=X38,M38&gt;=Y38),"OK","N.G")</f>
        <v>#NAME?</v>
      </c>
      <c r="AA38" s="123" t="e">
        <f t="shared" ref="AA38:AA57" ca="1" si="19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225</v>
      </c>
      <c r="D39" s="119"/>
      <c r="E39" s="120">
        <f t="shared" si="16"/>
        <v>6.3000000000000007</v>
      </c>
      <c r="F39" s="91">
        <v>0</v>
      </c>
      <c r="G39" s="91">
        <v>0</v>
      </c>
      <c r="H39" s="91">
        <v>0</v>
      </c>
      <c r="I39" s="91">
        <f t="shared" si="7"/>
        <v>74.874039999999979</v>
      </c>
      <c r="J39" s="91">
        <v>0</v>
      </c>
      <c r="K39" s="88">
        <f t="shared" si="13"/>
        <v>82.361443999999977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2.5099999999999998</v>
      </c>
      <c r="O39" s="120">
        <v>0.7</v>
      </c>
      <c r="P39" s="91">
        <v>1</v>
      </c>
      <c r="Q39" s="91">
        <v>355</v>
      </c>
      <c r="R39" s="121">
        <f t="shared" si="9"/>
        <v>27.234128817038766</v>
      </c>
      <c r="S39" s="91">
        <v>0</v>
      </c>
      <c r="T39" s="91">
        <v>76.367610869999993</v>
      </c>
      <c r="U39" s="91">
        <f t="shared" si="10"/>
        <v>135.04715377377741</v>
      </c>
      <c r="V39" s="88">
        <f t="shared" si="14"/>
        <v>187.68011895349528</v>
      </c>
      <c r="W39" s="88">
        <f t="shared" si="11"/>
        <v>185.54941570938331</v>
      </c>
      <c r="X39" s="88">
        <f t="shared" si="17"/>
        <v>161.27606525684664</v>
      </c>
      <c r="Y39" s="88">
        <f t="shared" si="15"/>
        <v>389.94748799061284</v>
      </c>
      <c r="Z39" s="122" t="e">
        <f t="shared" ca="1" si="18"/>
        <v>#NAME?</v>
      </c>
      <c r="AA39" s="123" t="e">
        <f t="shared" ca="1" si="19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225</v>
      </c>
      <c r="D40" s="119"/>
      <c r="E40" s="120">
        <f t="shared" si="16"/>
        <v>7.0000000000000009</v>
      </c>
      <c r="F40" s="91">
        <v>0</v>
      </c>
      <c r="G40" s="91">
        <v>0</v>
      </c>
      <c r="H40" s="91">
        <v>0</v>
      </c>
      <c r="I40" s="91">
        <f t="shared" si="7"/>
        <v>67.835364999999982</v>
      </c>
      <c r="J40" s="91">
        <v>0</v>
      </c>
      <c r="K40" s="88">
        <f t="shared" si="13"/>
        <v>74.618901499999993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2.5099999999999998</v>
      </c>
      <c r="O40" s="120">
        <v>0.7</v>
      </c>
      <c r="P40" s="91">
        <v>1</v>
      </c>
      <c r="Q40" s="91">
        <v>355</v>
      </c>
      <c r="R40" s="121">
        <f t="shared" si="9"/>
        <v>52.417603284577908</v>
      </c>
      <c r="S40" s="91">
        <v>0</v>
      </c>
      <c r="T40" s="91">
        <v>75.391253039999995</v>
      </c>
      <c r="U40" s="91">
        <f t="shared" si="10"/>
        <v>140.70937509250518</v>
      </c>
      <c r="V40" s="88">
        <f t="shared" si="14"/>
        <v>182.01789763476751</v>
      </c>
      <c r="W40" s="88">
        <f t="shared" si="11"/>
        <v>183.7410159384072</v>
      </c>
      <c r="X40" s="88">
        <f t="shared" si="17"/>
        <v>150.66035776987962</v>
      </c>
      <c r="Y40" s="88">
        <f t="shared" si="15"/>
        <v>356.76685813974296</v>
      </c>
      <c r="Z40" s="122" t="e">
        <f t="shared" ca="1" si="18"/>
        <v>#NAME?</v>
      </c>
      <c r="AA40" s="123" t="e">
        <f t="shared" ca="1" si="19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225</v>
      </c>
      <c r="D41" s="119"/>
      <c r="E41" s="120">
        <f t="shared" si="16"/>
        <v>7.7000000000000011</v>
      </c>
      <c r="F41" s="91">
        <v>0</v>
      </c>
      <c r="G41" s="91">
        <v>0</v>
      </c>
      <c r="H41" s="91">
        <v>0</v>
      </c>
      <c r="I41" s="91">
        <f t="shared" si="7"/>
        <v>60.796689999999984</v>
      </c>
      <c r="J41" s="91">
        <v>0</v>
      </c>
      <c r="K41" s="88">
        <f t="shared" si="13"/>
        <v>66.876358999999994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2.5099999999999998</v>
      </c>
      <c r="O41" s="120">
        <v>0.7</v>
      </c>
      <c r="P41" s="91">
        <v>1</v>
      </c>
      <c r="Q41" s="91">
        <v>355</v>
      </c>
      <c r="R41" s="121">
        <f t="shared" si="9"/>
        <v>77.601077752117035</v>
      </c>
      <c r="S41" s="91">
        <v>0</v>
      </c>
      <c r="T41" s="91">
        <v>72.907289980000002</v>
      </c>
      <c r="U41" s="91">
        <f t="shared" si="10"/>
        <v>148.21722593873338</v>
      </c>
      <c r="V41" s="88">
        <f t="shared" si="14"/>
        <v>174.51004678853931</v>
      </c>
      <c r="W41" s="88">
        <f t="shared" si="11"/>
        <v>180.75022584844541</v>
      </c>
      <c r="X41" s="88">
        <f t="shared" si="17"/>
        <v>140.83688874587043</v>
      </c>
      <c r="Y41" s="88">
        <f t="shared" si="15"/>
        <v>325.03904825414241</v>
      </c>
      <c r="Z41" s="122" t="e">
        <f t="shared" ca="1" si="18"/>
        <v>#NAME?</v>
      </c>
      <c r="AA41" s="123" t="e">
        <f t="shared" ca="1" si="19"/>
        <v>#NAME?</v>
      </c>
    </row>
    <row r="42" spans="1:27" ht="12" customHeight="1" x14ac:dyDescent="0.45">
      <c r="A42" s="87">
        <v>19</v>
      </c>
      <c r="B42" s="87" t="s">
        <v>229</v>
      </c>
      <c r="C42" s="119" t="s">
        <v>225</v>
      </c>
      <c r="D42" s="119"/>
      <c r="E42" s="120">
        <f t="shared" si="16"/>
        <v>8.4</v>
      </c>
      <c r="F42" s="91">
        <v>0</v>
      </c>
      <c r="G42" s="91">
        <v>0</v>
      </c>
      <c r="H42" s="91">
        <v>0</v>
      </c>
      <c r="I42" s="91">
        <f t="shared" si="7"/>
        <v>53.758014999999993</v>
      </c>
      <c r="J42" s="91">
        <v>0</v>
      </c>
      <c r="K42" s="88">
        <f t="shared" si="13"/>
        <v>59.133816499999995</v>
      </c>
      <c r="L42" s="88" t="e" cm="1">
        <f t="array" aca="1" ref="L42" ca="1">Profile_SM(C42,O42*1000,12)/10^3</f>
        <v>#NAME?</v>
      </c>
      <c r="M42" s="88" t="e" cm="1">
        <f t="array" aca="1" ref="M42" ca="1">Profile_ShearArea(C42,O42,12)</f>
        <v>#NAME?</v>
      </c>
      <c r="N42" s="120">
        <v>2.5099999999999998</v>
      </c>
      <c r="O42" s="120">
        <v>0.7</v>
      </c>
      <c r="P42" s="91">
        <v>1</v>
      </c>
      <c r="Q42" s="91">
        <v>355</v>
      </c>
      <c r="R42" s="121">
        <f t="shared" si="9"/>
        <v>102.78455221965616</v>
      </c>
      <c r="S42" s="91">
        <v>0</v>
      </c>
      <c r="T42" s="91">
        <v>69.497029220000002</v>
      </c>
      <c r="U42" s="91">
        <f t="shared" si="10"/>
        <v>158.28510791041535</v>
      </c>
      <c r="V42" s="88">
        <f t="shared" si="14"/>
        <v>164.44216481685734</v>
      </c>
      <c r="W42" s="88">
        <f t="shared" si="11"/>
        <v>176.5169546775935</v>
      </c>
      <c r="X42" s="88">
        <f t="shared" si="17"/>
        <v>132.15602297145816</v>
      </c>
      <c r="Y42" s="88">
        <f t="shared" si="15"/>
        <v>294.30066868156905</v>
      </c>
      <c r="Z42" s="122" t="e">
        <f t="shared" ca="1" si="18"/>
        <v>#NAME?</v>
      </c>
      <c r="AA42" s="123" t="e">
        <f t="shared" ca="1" si="19"/>
        <v>#NAME?</v>
      </c>
    </row>
    <row r="43" spans="1:27" ht="12" customHeight="1" x14ac:dyDescent="0.45">
      <c r="A43" s="87">
        <v>20</v>
      </c>
      <c r="B43" s="87" t="s">
        <v>230</v>
      </c>
      <c r="C43" s="119" t="s">
        <v>225</v>
      </c>
      <c r="D43" s="119"/>
      <c r="E43" s="120">
        <f t="shared" si="16"/>
        <v>9.1</v>
      </c>
      <c r="F43" s="91">
        <v>0</v>
      </c>
      <c r="G43" s="91">
        <v>0</v>
      </c>
      <c r="H43" s="91">
        <v>0</v>
      </c>
      <c r="I43" s="91">
        <f t="shared" ref="I43:I63" si="20">1.025*9.81*(($F$10+0.76)-E43)+25</f>
        <v>46.719340000000003</v>
      </c>
      <c r="J43" s="91">
        <v>0</v>
      </c>
      <c r="K43" s="88">
        <f t="shared" ref="K43:K63" si="21">I43*$F$19+J43*$F$18</f>
        <v>51.39127400000001</v>
      </c>
      <c r="L43" s="88" t="e" cm="1">
        <f t="array" aca="1" ref="L43" ca="1">Profile_SM(C43,O43*1000,12)/10^3</f>
        <v>#NAME?</v>
      </c>
      <c r="M43" s="88" t="e" cm="1">
        <f t="array" aca="1" ref="M43" ca="1">Profile_ShearArea(C43,O43,12)</f>
        <v>#NAME?</v>
      </c>
      <c r="N43" s="120">
        <v>2.5099999999999998</v>
      </c>
      <c r="O43" s="120">
        <v>0.7</v>
      </c>
      <c r="P43" s="91">
        <v>1</v>
      </c>
      <c r="Q43" s="91">
        <v>355</v>
      </c>
      <c r="R43" s="121">
        <f t="shared" si="2"/>
        <v>127.96802668719526</v>
      </c>
      <c r="S43" s="91">
        <v>0</v>
      </c>
      <c r="T43" s="91">
        <v>65.160470759999995</v>
      </c>
      <c r="U43" s="91">
        <f t="shared" si="10"/>
        <v>170.62671743665808</v>
      </c>
      <c r="V43" s="88">
        <f t="shared" si="14"/>
        <v>152.10055529061461</v>
      </c>
      <c r="W43" s="88">
        <f t="shared" ref="W43:W51" si="22">0.577*SQRT((Q43/$F$7)^2-R43^2)</f>
        <v>170.9489232818994</v>
      </c>
      <c r="X43" s="88">
        <f t="shared" si="17"/>
        <v>124.17175559514253</v>
      </c>
      <c r="Y43" s="88">
        <f t="shared" si="15"/>
        <v>264.09779799870972</v>
      </c>
      <c r="Z43" s="122" t="e">
        <f t="shared" ca="1" si="18"/>
        <v>#NAME?</v>
      </c>
      <c r="AA43" s="123" t="e">
        <f t="shared" ca="1" si="19"/>
        <v>#NAME?</v>
      </c>
    </row>
    <row r="44" spans="1:27" ht="12" customHeight="1" x14ac:dyDescent="0.45">
      <c r="A44" s="87">
        <v>21</v>
      </c>
      <c r="B44" s="87" t="s">
        <v>231</v>
      </c>
      <c r="C44" s="119" t="s">
        <v>225</v>
      </c>
      <c r="D44" s="119"/>
      <c r="E44" s="120">
        <f>E43+0.7</f>
        <v>9.7999999999999989</v>
      </c>
      <c r="F44" s="91">
        <v>0</v>
      </c>
      <c r="G44" s="91">
        <v>0</v>
      </c>
      <c r="H44" s="91">
        <v>0</v>
      </c>
      <c r="I44" s="91">
        <f t="shared" si="20"/>
        <v>39.680665000000005</v>
      </c>
      <c r="J44" s="91">
        <v>0</v>
      </c>
      <c r="K44" s="88">
        <f t="shared" si="21"/>
        <v>43.648731500000011</v>
      </c>
      <c r="L44" s="88" t="e" cm="1">
        <f t="array" aca="1" ref="L44" ca="1">Profile_SM(C44,O44*1000,12)/10^3</f>
        <v>#NAME?</v>
      </c>
      <c r="M44" s="88" t="e" cm="1">
        <f t="array" aca="1" ref="M44" ca="1">Profile_ShearArea(C44,O44,12)</f>
        <v>#NAME?</v>
      </c>
      <c r="N44" s="120">
        <v>2.5099999999999998</v>
      </c>
      <c r="O44" s="120">
        <v>0.7</v>
      </c>
      <c r="P44" s="91">
        <v>1</v>
      </c>
      <c r="Q44" s="91">
        <v>355</v>
      </c>
      <c r="R44" s="121">
        <f t="shared" si="2"/>
        <v>153.15150115473438</v>
      </c>
      <c r="S44" s="91">
        <v>0</v>
      </c>
      <c r="T44" s="91">
        <v>59.897614590000003</v>
      </c>
      <c r="U44" s="91">
        <f t="shared" si="10"/>
        <v>184.98258027896884</v>
      </c>
      <c r="V44" s="88">
        <f t="shared" si="14"/>
        <v>137.74469244830385</v>
      </c>
      <c r="W44" s="88">
        <f t="shared" si="22"/>
        <v>163.91016256483738</v>
      </c>
      <c r="X44" s="88">
        <f t="shared" si="17"/>
        <v>116.45576434729584</v>
      </c>
      <c r="Y44" s="88">
        <f t="shared" si="15"/>
        <v>233.94163011449544</v>
      </c>
      <c r="Z44" s="122" t="e">
        <f t="shared" ca="1" si="18"/>
        <v>#NAME?</v>
      </c>
      <c r="AA44" s="123" t="e">
        <f t="shared" ca="1" si="19"/>
        <v>#NAME?</v>
      </c>
    </row>
    <row r="45" spans="1:27" ht="12" customHeight="1" x14ac:dyDescent="0.45">
      <c r="A45" s="124">
        <v>22</v>
      </c>
      <c r="B45" s="124" t="s">
        <v>232</v>
      </c>
      <c r="C45" s="132" t="s">
        <v>233</v>
      </c>
      <c r="D45" s="125"/>
      <c r="E45" s="126">
        <f t="shared" ref="E45" si="23">E44+0.7</f>
        <v>10.499999999999998</v>
      </c>
      <c r="F45" s="127">
        <v>0</v>
      </c>
      <c r="G45" s="127">
        <v>0</v>
      </c>
      <c r="H45" s="127">
        <v>0</v>
      </c>
      <c r="I45" s="127">
        <f t="shared" si="20"/>
        <v>32.641990000000014</v>
      </c>
      <c r="J45" s="127">
        <v>0</v>
      </c>
      <c r="K45" s="128">
        <f>I45*$F$19+J45*$F$18</f>
        <v>35.906189000000019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29">
        <f t="shared" si="2"/>
        <v>178.33497562227348</v>
      </c>
      <c r="S45" s="127">
        <v>0</v>
      </c>
      <c r="T45" s="127">
        <v>25.36903637</v>
      </c>
      <c r="U45" s="127">
        <f t="shared" si="10"/>
        <v>183.66852628913867</v>
      </c>
      <c r="V45" s="128">
        <f t="shared" si="14"/>
        <v>139.05874643813402</v>
      </c>
      <c r="W45" s="128">
        <f t="shared" si="22"/>
        <v>155.20069700559876</v>
      </c>
      <c r="X45" s="128">
        <f t="shared" si="17"/>
        <v>258.20877808627705</v>
      </c>
      <c r="Y45" s="128">
        <f t="shared" si="15"/>
        <v>347.0299073338382</v>
      </c>
      <c r="Z45" s="130" t="e">
        <f t="shared" ca="1" si="18"/>
        <v>#NAME?</v>
      </c>
      <c r="AA45" s="131" t="e">
        <f t="shared" ca="1" si="19"/>
        <v>#NAME?</v>
      </c>
    </row>
    <row r="46" spans="1:27" ht="12" customHeight="1" x14ac:dyDescent="0.45">
      <c r="A46" s="124">
        <v>23</v>
      </c>
      <c r="B46" s="124" t="s">
        <v>234</v>
      </c>
      <c r="C46" s="132" t="s">
        <v>233</v>
      </c>
      <c r="D46" s="125"/>
      <c r="E46" s="126">
        <v>10.5</v>
      </c>
      <c r="F46" s="127">
        <v>0</v>
      </c>
      <c r="G46" s="127">
        <v>0</v>
      </c>
      <c r="H46" s="127">
        <v>0</v>
      </c>
      <c r="I46" s="127">
        <f t="shared" si="20"/>
        <v>32.64199</v>
      </c>
      <c r="J46" s="127">
        <v>0</v>
      </c>
      <c r="K46" s="128">
        <f t="shared" si="21"/>
        <v>35.906189000000005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29">
        <f t="shared" si="2"/>
        <v>178.33497562227353</v>
      </c>
      <c r="S46" s="127">
        <v>0</v>
      </c>
      <c r="T46" s="127">
        <v>18.789742570000001</v>
      </c>
      <c r="U46" s="127">
        <f t="shared" si="10"/>
        <v>181.28024384288958</v>
      </c>
      <c r="V46" s="128">
        <f t="shared" si="14"/>
        <v>141.44702888438312</v>
      </c>
      <c r="W46" s="128">
        <f t="shared" si="22"/>
        <v>155.20069700559876</v>
      </c>
      <c r="X46" s="128">
        <f t="shared" si="17"/>
        <v>253.8490153041619</v>
      </c>
      <c r="Y46" s="128">
        <f t="shared" si="15"/>
        <v>347.02990733383803</v>
      </c>
      <c r="Z46" s="130" t="e">
        <f t="shared" ca="1" si="18"/>
        <v>#NAME?</v>
      </c>
      <c r="AA46" s="131" t="e">
        <f t="shared" ca="1" si="19"/>
        <v>#NAME?</v>
      </c>
    </row>
    <row r="47" spans="1:27" ht="12" customHeight="1" x14ac:dyDescent="0.45">
      <c r="A47" s="124">
        <v>24</v>
      </c>
      <c r="B47" s="124" t="s">
        <v>235</v>
      </c>
      <c r="C47" s="132" t="s">
        <v>233</v>
      </c>
      <c r="D47" s="125"/>
      <c r="E47" s="126">
        <v>10.5</v>
      </c>
      <c r="F47" s="127">
        <v>0</v>
      </c>
      <c r="G47" s="127">
        <v>0</v>
      </c>
      <c r="H47" s="127">
        <v>0</v>
      </c>
      <c r="I47" s="127">
        <f t="shared" si="20"/>
        <v>32.64199</v>
      </c>
      <c r="J47" s="127">
        <v>0</v>
      </c>
      <c r="K47" s="128">
        <f t="shared" si="21"/>
        <v>35.906189000000005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29">
        <f t="shared" si="2"/>
        <v>178.33497562227353</v>
      </c>
      <c r="S47" s="127">
        <v>0</v>
      </c>
      <c r="T47" s="127">
        <v>12.21044876</v>
      </c>
      <c r="U47" s="127">
        <f t="shared" si="10"/>
        <v>179.5846561011231</v>
      </c>
      <c r="V47" s="128">
        <f t="shared" si="14"/>
        <v>143.14261662614959</v>
      </c>
      <c r="W47" s="128">
        <f t="shared" si="22"/>
        <v>155.20069700559876</v>
      </c>
      <c r="X47" s="128">
        <f t="shared" si="17"/>
        <v>250.8420611995476</v>
      </c>
      <c r="Y47" s="128">
        <f t="shared" si="15"/>
        <v>347.02990733383803</v>
      </c>
      <c r="Z47" s="130" t="e">
        <f t="shared" ca="1" si="18"/>
        <v>#NAME?</v>
      </c>
      <c r="AA47" s="131" t="e">
        <f t="shared" ca="1" si="19"/>
        <v>#NAME?</v>
      </c>
    </row>
    <row r="48" spans="1:27" ht="12" customHeight="1" x14ac:dyDescent="0.45">
      <c r="A48" s="124">
        <v>25</v>
      </c>
      <c r="B48" s="124" t="s">
        <v>236</v>
      </c>
      <c r="C48" s="132" t="s">
        <v>233</v>
      </c>
      <c r="D48" s="125"/>
      <c r="E48" s="126">
        <v>10.5</v>
      </c>
      <c r="F48" s="127">
        <v>0</v>
      </c>
      <c r="G48" s="127">
        <v>0</v>
      </c>
      <c r="H48" s="127">
        <v>0</v>
      </c>
      <c r="I48" s="127">
        <f t="shared" si="20"/>
        <v>32.64199</v>
      </c>
      <c r="J48" s="127">
        <v>0</v>
      </c>
      <c r="K48" s="128">
        <f t="shared" si="21"/>
        <v>35.906189000000005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29">
        <f t="shared" si="2"/>
        <v>178.33497562227353</v>
      </c>
      <c r="S48" s="127">
        <v>0</v>
      </c>
      <c r="T48" s="127">
        <v>5.631154961</v>
      </c>
      <c r="U48" s="127">
        <f t="shared" si="10"/>
        <v>178.60149285149123</v>
      </c>
      <c r="V48" s="128">
        <f t="shared" si="14"/>
        <v>144.12577987578146</v>
      </c>
      <c r="W48" s="128">
        <f t="shared" si="22"/>
        <v>155.20069700559876</v>
      </c>
      <c r="X48" s="128">
        <f t="shared" si="17"/>
        <v>249.13092599357785</v>
      </c>
      <c r="Y48" s="128">
        <f t="shared" si="15"/>
        <v>347.02990733383803</v>
      </c>
      <c r="Z48" s="130" t="e">
        <f t="shared" ca="1" si="18"/>
        <v>#NAME?</v>
      </c>
      <c r="AA48" s="131" t="e">
        <f t="shared" ca="1" si="19"/>
        <v>#NAME?</v>
      </c>
    </row>
    <row r="49" spans="1:27" ht="12" customHeight="1" x14ac:dyDescent="0.45">
      <c r="A49" s="124">
        <v>26</v>
      </c>
      <c r="B49" s="124" t="s">
        <v>237</v>
      </c>
      <c r="C49" s="132" t="s">
        <v>233</v>
      </c>
      <c r="D49" s="125"/>
      <c r="E49" s="126">
        <v>10.5</v>
      </c>
      <c r="F49" s="127">
        <v>0</v>
      </c>
      <c r="G49" s="127">
        <v>0</v>
      </c>
      <c r="H49" s="127">
        <v>0</v>
      </c>
      <c r="I49" s="127">
        <f t="shared" si="20"/>
        <v>32.64199</v>
      </c>
      <c r="J49" s="127">
        <v>0</v>
      </c>
      <c r="K49" s="128">
        <f t="shared" si="21"/>
        <v>35.906189000000005</v>
      </c>
      <c r="L49" s="128" t="e" cm="1">
        <f t="array" aca="1" ref="L49" ca="1">Profile_SM(C49,O49*1000,12)/10^3</f>
        <v>#NAME?</v>
      </c>
      <c r="M49" s="128" t="e" cm="1">
        <f t="array" aca="1" ref="M49" ca="1">Profile_ShearArea(C49,O49,12)</f>
        <v>#NAME?</v>
      </c>
      <c r="N49" s="126">
        <v>4</v>
      </c>
      <c r="O49" s="126">
        <v>0.75</v>
      </c>
      <c r="P49" s="127">
        <v>1</v>
      </c>
      <c r="Q49" s="127">
        <v>355</v>
      </c>
      <c r="R49" s="129">
        <f t="shared" si="2"/>
        <v>178.33497562227353</v>
      </c>
      <c r="S49" s="127">
        <v>0</v>
      </c>
      <c r="T49" s="127">
        <v>0.94813884299999995</v>
      </c>
      <c r="U49" s="127">
        <f>SQRT(R49^2+S49^2-R49*S49+3*T49^2)</f>
        <v>178.34253679925524</v>
      </c>
      <c r="V49" s="128">
        <f>(Q49/$F$7-U49)</f>
        <v>144.38473592801745</v>
      </c>
      <c r="W49" s="128">
        <f t="shared" si="22"/>
        <v>155.20069700559876</v>
      </c>
      <c r="X49" s="128">
        <f t="shared" si="17"/>
        <v>248.68410617796133</v>
      </c>
      <c r="Y49" s="128">
        <f t="shared" si="15"/>
        <v>347.02990733383803</v>
      </c>
      <c r="Z49" s="130" t="e">
        <f t="shared" ca="1" si="18"/>
        <v>#NAME?</v>
      </c>
      <c r="AA49" s="131" t="e">
        <f t="shared" ca="1" si="19"/>
        <v>#NAME?</v>
      </c>
    </row>
    <row r="50" spans="1:27" ht="12" customHeight="1" x14ac:dyDescent="0.45">
      <c r="A50" s="124">
        <v>27</v>
      </c>
      <c r="B50" s="124" t="s">
        <v>238</v>
      </c>
      <c r="C50" s="132" t="s">
        <v>233</v>
      </c>
      <c r="D50" s="125"/>
      <c r="E50" s="126">
        <v>10.5</v>
      </c>
      <c r="F50" s="127">
        <v>0</v>
      </c>
      <c r="G50" s="127">
        <v>0</v>
      </c>
      <c r="H50" s="127">
        <v>0</v>
      </c>
      <c r="I50" s="127">
        <f t="shared" si="20"/>
        <v>32.64199</v>
      </c>
      <c r="J50" s="127">
        <v>0</v>
      </c>
      <c r="K50" s="128">
        <f t="shared" si="21"/>
        <v>35.906189000000005</v>
      </c>
      <c r="L50" s="128" t="e" cm="1">
        <f t="array" aca="1" ref="L50" ca="1">Profile_SM(C50,O50*1000,12)/10^3</f>
        <v>#NAME?</v>
      </c>
      <c r="M50" s="128" t="e" cm="1">
        <f t="array" aca="1" ref="M50" ca="1">Profile_ShearArea(C50,O50,12)</f>
        <v>#NAME?</v>
      </c>
      <c r="N50" s="126">
        <v>4</v>
      </c>
      <c r="O50" s="126">
        <v>0.75</v>
      </c>
      <c r="P50" s="127">
        <v>1</v>
      </c>
      <c r="Q50" s="127">
        <v>355</v>
      </c>
      <c r="R50" s="129">
        <f t="shared" si="2"/>
        <v>178.33497562227353</v>
      </c>
      <c r="S50" s="127">
        <v>0</v>
      </c>
      <c r="T50" s="127">
        <v>7.5274326470000004</v>
      </c>
      <c r="U50" s="127">
        <f>SQRT(R50^2+S50^2)</f>
        <v>178.33497562227353</v>
      </c>
      <c r="V50" s="128">
        <f t="shared" si="14"/>
        <v>144.39229710499916</v>
      </c>
      <c r="W50" s="128">
        <f t="shared" si="22"/>
        <v>155.20069700559876</v>
      </c>
      <c r="X50" s="128">
        <f t="shared" si="17"/>
        <v>248.67108370670039</v>
      </c>
      <c r="Y50" s="128">
        <f t="shared" si="15"/>
        <v>347.02990733383803</v>
      </c>
      <c r="Z50" s="130" t="e">
        <f t="shared" ca="1" si="18"/>
        <v>#NAME?</v>
      </c>
      <c r="AA50" s="131" t="e">
        <f t="shared" ca="1" si="19"/>
        <v>#NAME?</v>
      </c>
    </row>
    <row r="51" spans="1:27" ht="12" customHeight="1" x14ac:dyDescent="0.45">
      <c r="A51" s="124">
        <v>28</v>
      </c>
      <c r="B51" s="124" t="s">
        <v>239</v>
      </c>
      <c r="C51" s="132" t="s">
        <v>233</v>
      </c>
      <c r="D51" s="125"/>
      <c r="E51" s="126">
        <v>10.5</v>
      </c>
      <c r="F51" s="127">
        <v>0</v>
      </c>
      <c r="G51" s="127">
        <v>0</v>
      </c>
      <c r="H51" s="127">
        <v>0</v>
      </c>
      <c r="I51" s="127">
        <f t="shared" si="20"/>
        <v>32.64199</v>
      </c>
      <c r="J51" s="127">
        <v>0</v>
      </c>
      <c r="K51" s="128">
        <f t="shared" si="21"/>
        <v>35.906189000000005</v>
      </c>
      <c r="L51" s="128" t="e" cm="1">
        <f t="array" aca="1" ref="L51" ca="1">Profile_SM(C51,O51*1000,12)/10^3</f>
        <v>#NAME?</v>
      </c>
      <c r="M51" s="128" t="e" cm="1">
        <f t="array" aca="1" ref="M51" ca="1">Profile_ShearArea(C51,O51,12)</f>
        <v>#NAME?</v>
      </c>
      <c r="N51" s="126">
        <v>4</v>
      </c>
      <c r="O51" s="126">
        <v>0.75</v>
      </c>
      <c r="P51" s="127">
        <v>1</v>
      </c>
      <c r="Q51" s="127">
        <v>355</v>
      </c>
      <c r="R51" s="129">
        <f t="shared" si="2"/>
        <v>178.33497562227353</v>
      </c>
      <c r="S51" s="127">
        <v>0</v>
      </c>
      <c r="T51" s="127">
        <v>14.10672645</v>
      </c>
      <c r="U51" s="127">
        <f>SQRT(R51^2+S51^2)</f>
        <v>178.33497562227353</v>
      </c>
      <c r="V51" s="128">
        <f t="shared" si="14"/>
        <v>144.39229710499916</v>
      </c>
      <c r="W51" s="128">
        <f t="shared" si="22"/>
        <v>155.20069700559876</v>
      </c>
      <c r="X51" s="128">
        <f t="shared" si="17"/>
        <v>248.67108370670039</v>
      </c>
      <c r="Y51" s="128">
        <f t="shared" si="15"/>
        <v>347.02990733383803</v>
      </c>
      <c r="Z51" s="130" t="e">
        <f t="shared" ca="1" si="18"/>
        <v>#NAME?</v>
      </c>
      <c r="AA51" s="131" t="e">
        <f t="shared" ca="1" si="19"/>
        <v>#NAME?</v>
      </c>
    </row>
    <row r="52" spans="1:27" ht="12" customHeight="1" x14ac:dyDescent="0.45">
      <c r="A52" s="133">
        <v>29</v>
      </c>
      <c r="B52" s="133" t="s">
        <v>240</v>
      </c>
      <c r="C52" s="167" t="s">
        <v>241</v>
      </c>
      <c r="D52" s="167"/>
      <c r="E52" s="135">
        <v>0.7</v>
      </c>
      <c r="F52" s="136">
        <v>0</v>
      </c>
      <c r="G52" s="136">
        <v>0</v>
      </c>
      <c r="H52" s="136">
        <v>0</v>
      </c>
      <c r="I52" s="136">
        <f t="shared" si="20"/>
        <v>131.18343999999999</v>
      </c>
      <c r="J52" s="136">
        <v>0</v>
      </c>
      <c r="K52" s="137">
        <f t="shared" si="21"/>
        <v>144.301784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38">
        <f t="shared" si="2"/>
        <v>174.23366692327431</v>
      </c>
      <c r="S52" s="136">
        <v>0</v>
      </c>
      <c r="T52" s="136">
        <v>65.015895909999998</v>
      </c>
      <c r="U52" s="136">
        <f t="shared" ref="U52:U57" si="24">SQRT(R52^2+S52^2-R52*S52+3*T52^2)</f>
        <v>207.4573952706202</v>
      </c>
      <c r="V52" s="137">
        <f t="shared" ref="V52:V57" si="25">(Q52/$F$7-U52)</f>
        <v>115.26987745665249</v>
      </c>
      <c r="W52" s="137">
        <f t="shared" ref="W52:W57" si="26">0.577*SQRT((Q52/$F$7)^2-R52^2)</f>
        <v>156.74396097289963</v>
      </c>
      <c r="X52" s="137">
        <f t="shared" si="17"/>
        <v>1168.40295173658</v>
      </c>
      <c r="Y52" s="137">
        <f t="shared" si="15"/>
        <v>1288.8694170165115</v>
      </c>
      <c r="Z52" s="139" t="e">
        <f t="shared" ca="1" si="18"/>
        <v>#NAME?</v>
      </c>
      <c r="AA52" s="140" t="e">
        <f t="shared" ca="1" si="19"/>
        <v>#NAME?</v>
      </c>
    </row>
    <row r="53" spans="1:27" ht="12" customHeight="1" x14ac:dyDescent="0.45">
      <c r="A53" s="133">
        <v>30</v>
      </c>
      <c r="B53" s="133" t="s">
        <v>242</v>
      </c>
      <c r="C53" s="167" t="s">
        <v>241</v>
      </c>
      <c r="D53" s="167"/>
      <c r="E53" s="135">
        <f>E52+0.7</f>
        <v>1.4</v>
      </c>
      <c r="F53" s="136">
        <v>0</v>
      </c>
      <c r="G53" s="136">
        <v>0</v>
      </c>
      <c r="H53" s="136">
        <v>0</v>
      </c>
      <c r="I53" s="136">
        <f t="shared" si="20"/>
        <v>124.14476499999999</v>
      </c>
      <c r="J53" s="136">
        <v>0</v>
      </c>
      <c r="K53" s="137">
        <f t="shared" si="21"/>
        <v>136.55924150000001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38">
        <f t="shared" si="2"/>
        <v>149.05019245573521</v>
      </c>
      <c r="S53" s="136">
        <v>0</v>
      </c>
      <c r="T53" s="136">
        <v>69.155420669999998</v>
      </c>
      <c r="U53" s="136">
        <f t="shared" si="24"/>
        <v>191.21552367740881</v>
      </c>
      <c r="V53" s="137">
        <f t="shared" si="25"/>
        <v>131.51174904986388</v>
      </c>
      <c r="W53" s="137">
        <f t="shared" si="26"/>
        <v>165.16410343608533</v>
      </c>
      <c r="X53" s="137">
        <f t="shared" si="17"/>
        <v>969.15517425246026</v>
      </c>
      <c r="Y53" s="137">
        <f t="shared" si="15"/>
        <v>1157.5332298157834</v>
      </c>
      <c r="Z53" s="139" t="e">
        <f t="shared" ca="1" si="18"/>
        <v>#NAME?</v>
      </c>
      <c r="AA53" s="140" t="e">
        <f t="shared" ca="1" si="19"/>
        <v>#NAME?</v>
      </c>
    </row>
    <row r="54" spans="1:27" ht="12" customHeight="1" x14ac:dyDescent="0.45">
      <c r="A54" s="133">
        <v>31</v>
      </c>
      <c r="B54" s="133" t="s">
        <v>243</v>
      </c>
      <c r="C54" s="167" t="s">
        <v>233</v>
      </c>
      <c r="D54" s="167"/>
      <c r="E54" s="135">
        <f t="shared" ref="E54:E64" si="27">E53+0.7</f>
        <v>2.0999999999999996</v>
      </c>
      <c r="F54" s="136">
        <v>0</v>
      </c>
      <c r="G54" s="136">
        <v>0</v>
      </c>
      <c r="H54" s="136">
        <v>0</v>
      </c>
      <c r="I54" s="136">
        <f t="shared" si="20"/>
        <v>117.10608999999999</v>
      </c>
      <c r="J54" s="136">
        <v>0</v>
      </c>
      <c r="K54" s="137">
        <f t="shared" si="21"/>
        <v>128.816699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38">
        <f t="shared" si="2"/>
        <v>123.86671798819607</v>
      </c>
      <c r="S54" s="136">
        <v>0</v>
      </c>
      <c r="T54" s="136">
        <v>72.655460079999997</v>
      </c>
      <c r="U54" s="136">
        <f t="shared" si="24"/>
        <v>176.57692789115094</v>
      </c>
      <c r="V54" s="137">
        <f t="shared" si="25"/>
        <v>146.15034483612175</v>
      </c>
      <c r="W54" s="137">
        <f t="shared" si="26"/>
        <v>171.95173963766536</v>
      </c>
      <c r="X54" s="137">
        <f t="shared" si="17"/>
        <v>822.63862737702902</v>
      </c>
      <c r="Y54" s="137">
        <f t="shared" si="15"/>
        <v>1048.8022917361429</v>
      </c>
      <c r="Z54" s="139" t="e">
        <f t="shared" ca="1" si="18"/>
        <v>#NAME?</v>
      </c>
      <c r="AA54" s="140" t="e">
        <f t="shared" ca="1" si="19"/>
        <v>#NAME?</v>
      </c>
    </row>
    <row r="55" spans="1:27" ht="12" customHeight="1" x14ac:dyDescent="0.45">
      <c r="A55" s="133">
        <v>32</v>
      </c>
      <c r="B55" s="133" t="s">
        <v>244</v>
      </c>
      <c r="C55" s="167" t="s">
        <v>245</v>
      </c>
      <c r="D55" s="167"/>
      <c r="E55" s="135">
        <f t="shared" si="27"/>
        <v>2.8</v>
      </c>
      <c r="F55" s="136">
        <v>0</v>
      </c>
      <c r="G55" s="136">
        <v>0</v>
      </c>
      <c r="H55" s="136">
        <v>0</v>
      </c>
      <c r="I55" s="136">
        <f t="shared" si="20"/>
        <v>110.067415</v>
      </c>
      <c r="J55" s="136">
        <v>0</v>
      </c>
      <c r="K55" s="137">
        <f t="shared" si="21"/>
        <v>121.0741565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38">
        <f t="shared" si="2"/>
        <v>98.683243520656916</v>
      </c>
      <c r="S55" s="136">
        <v>0</v>
      </c>
      <c r="T55" s="136">
        <v>75.516014130000002</v>
      </c>
      <c r="U55" s="136">
        <f t="shared" si="24"/>
        <v>163.8486732384622</v>
      </c>
      <c r="V55" s="137">
        <f t="shared" si="25"/>
        <v>158.87859948881049</v>
      </c>
      <c r="W55" s="137">
        <f t="shared" si="26"/>
        <v>177.29446805581551</v>
      </c>
      <c r="X55" s="137">
        <f t="shared" si="17"/>
        <v>711.25089489868787</v>
      </c>
      <c r="Y55" s="137">
        <f t="shared" si="15"/>
        <v>956.05813852374183</v>
      </c>
      <c r="Z55" s="139" t="e">
        <f t="shared" ca="1" si="18"/>
        <v>#NAME?</v>
      </c>
      <c r="AA55" s="140" t="e">
        <f t="shared" ca="1" si="19"/>
        <v>#NAME?</v>
      </c>
    </row>
    <row r="56" spans="1:27" ht="12" customHeight="1" x14ac:dyDescent="0.45">
      <c r="A56" s="133">
        <v>33</v>
      </c>
      <c r="B56" s="133" t="s">
        <v>246</v>
      </c>
      <c r="C56" s="167" t="s">
        <v>247</v>
      </c>
      <c r="D56" s="167"/>
      <c r="E56" s="135">
        <f t="shared" si="27"/>
        <v>3.5</v>
      </c>
      <c r="F56" s="136">
        <v>0</v>
      </c>
      <c r="G56" s="136">
        <v>0</v>
      </c>
      <c r="H56" s="136">
        <v>0</v>
      </c>
      <c r="I56" s="136">
        <f t="shared" si="20"/>
        <v>103.02873999999998</v>
      </c>
      <c r="J56" s="136">
        <v>0</v>
      </c>
      <c r="K56" s="137">
        <f t="shared" si="21"/>
        <v>113.33161399999999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38">
        <f t="shared" si="2"/>
        <v>73.499769053117788</v>
      </c>
      <c r="S56" s="136">
        <v>0</v>
      </c>
      <c r="T56" s="136">
        <v>77.737082839999999</v>
      </c>
      <c r="U56" s="136">
        <f t="shared" si="24"/>
        <v>153.39940741828411</v>
      </c>
      <c r="V56" s="137">
        <f t="shared" si="25"/>
        <v>169.32786530898858</v>
      </c>
      <c r="W56" s="137">
        <f t="shared" si="26"/>
        <v>181.32005950851456</v>
      </c>
      <c r="X56" s="137">
        <f t="shared" si="17"/>
        <v>624.6826112975964</v>
      </c>
      <c r="Y56" s="137">
        <f t="shared" si="15"/>
        <v>875.05078053732564</v>
      </c>
      <c r="Z56" s="139" t="e">
        <f t="shared" ca="1" si="18"/>
        <v>#NAME?</v>
      </c>
      <c r="AA56" s="140" t="e">
        <f t="shared" ca="1" si="19"/>
        <v>#NAME?</v>
      </c>
    </row>
    <row r="57" spans="1:27" ht="12" customHeight="1" x14ac:dyDescent="0.45">
      <c r="A57" s="133">
        <v>34</v>
      </c>
      <c r="B57" s="133" t="s">
        <v>248</v>
      </c>
      <c r="C57" s="167" t="s">
        <v>247</v>
      </c>
      <c r="D57" s="167"/>
      <c r="E57" s="135">
        <f t="shared" si="27"/>
        <v>4.2</v>
      </c>
      <c r="F57" s="136">
        <v>0</v>
      </c>
      <c r="G57" s="136">
        <v>0</v>
      </c>
      <c r="H57" s="136">
        <v>0</v>
      </c>
      <c r="I57" s="136">
        <f t="shared" si="20"/>
        <v>95.990064999999987</v>
      </c>
      <c r="J57" s="136">
        <v>0</v>
      </c>
      <c r="K57" s="137">
        <f t="shared" si="21"/>
        <v>105.58907149999999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38">
        <f t="shared" si="2"/>
        <v>48.316294585578646</v>
      </c>
      <c r="S57" s="136">
        <v>0</v>
      </c>
      <c r="T57" s="136">
        <v>79.318666199999996</v>
      </c>
      <c r="U57" s="136">
        <f t="shared" si="24"/>
        <v>145.6324714674632</v>
      </c>
      <c r="V57" s="137">
        <f t="shared" si="25"/>
        <v>177.09480125980949</v>
      </c>
      <c r="W57" s="137">
        <f t="shared" si="26"/>
        <v>184.11493012612937</v>
      </c>
      <c r="X57" s="137">
        <f t="shared" si="17"/>
        <v>556.48048031679787</v>
      </c>
      <c r="Y57" s="137">
        <f t="shared" si="15"/>
        <v>802.8936056338913</v>
      </c>
      <c r="Z57" s="139" t="e">
        <f t="shared" ca="1" si="18"/>
        <v>#NAME?</v>
      </c>
      <c r="AA57" s="140" t="e">
        <f t="shared" ca="1" si="19"/>
        <v>#NAME?</v>
      </c>
    </row>
    <row r="58" spans="1:27" ht="12" customHeight="1" x14ac:dyDescent="0.45">
      <c r="A58" s="133">
        <v>35</v>
      </c>
      <c r="B58" s="133" t="s">
        <v>249</v>
      </c>
      <c r="C58" s="134" t="s">
        <v>223</v>
      </c>
      <c r="D58" s="134"/>
      <c r="E58" s="135">
        <f t="shared" si="27"/>
        <v>4.9000000000000004</v>
      </c>
      <c r="F58" s="136">
        <v>0</v>
      </c>
      <c r="G58" s="136">
        <v>0</v>
      </c>
      <c r="H58" s="136">
        <v>0</v>
      </c>
      <c r="I58" s="136">
        <f t="shared" si="20"/>
        <v>88.951389999999989</v>
      </c>
      <c r="J58" s="136">
        <v>0</v>
      </c>
      <c r="K58" s="137">
        <f t="shared" si="21"/>
        <v>97.84652899999999</v>
      </c>
      <c r="L58" s="137"/>
      <c r="M58" s="137"/>
      <c r="N58" s="135"/>
      <c r="O58" s="135"/>
      <c r="P58" s="136"/>
      <c r="Q58" s="136"/>
      <c r="R58" s="138"/>
      <c r="S58" s="136"/>
      <c r="T58" s="136"/>
      <c r="U58" s="136"/>
      <c r="V58" s="137"/>
      <c r="W58" s="137"/>
      <c r="X58" s="137"/>
      <c r="Y58" s="137"/>
      <c r="Z58" s="139"/>
      <c r="AA58" s="140"/>
    </row>
    <row r="59" spans="1:27" ht="12" customHeight="1" x14ac:dyDescent="0.45">
      <c r="A59" s="133">
        <v>36</v>
      </c>
      <c r="B59" s="133" t="s">
        <v>250</v>
      </c>
      <c r="C59" s="134" t="s">
        <v>216</v>
      </c>
      <c r="D59" s="134"/>
      <c r="E59" s="135">
        <f t="shared" si="27"/>
        <v>5.6000000000000005</v>
      </c>
      <c r="F59" s="136">
        <v>0</v>
      </c>
      <c r="G59" s="136">
        <v>0</v>
      </c>
      <c r="H59" s="136">
        <v>0</v>
      </c>
      <c r="I59" s="136">
        <f t="shared" si="20"/>
        <v>81.912714999999992</v>
      </c>
      <c r="J59" s="136">
        <v>0</v>
      </c>
      <c r="K59" s="137">
        <f t="shared" si="21"/>
        <v>90.103986500000005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38">
        <f t="shared" ref="R59:R65" si="28">$M$11/ABS(($M$12/(E59-$M$13)))/1000</f>
        <v>2.050654349499629</v>
      </c>
      <c r="S59" s="136">
        <v>0</v>
      </c>
      <c r="T59" s="136">
        <v>81.791546440000005</v>
      </c>
      <c r="U59" s="136">
        <f t="shared" ref="U59:U65" si="29">SQRT(R59^2+S59^2-R59*S59+3*T59^2)</f>
        <v>141.6819550627431</v>
      </c>
      <c r="V59" s="137">
        <f t="shared" ref="V59:V65" si="30">(Q59/$F$7-U59)</f>
        <v>181.04531766452959</v>
      </c>
      <c r="W59" s="137">
        <f t="shared" ref="W59:W63" si="31">0.577*SQRT((Q59/$F$7)^2-R59^2)</f>
        <v>186.20987712876735</v>
      </c>
      <c r="X59" s="137">
        <f t="shared" ref="X59:X65" si="32">N59^2*O59*K59*1000000/($F$8*V59*P59)/10^3</f>
        <v>464.50830737581111</v>
      </c>
      <c r="Y59" s="137">
        <f t="shared" si="15"/>
        <v>677.43764748186879</v>
      </c>
      <c r="Z59" s="139" t="e">
        <f t="shared" ref="Z59:Z65" ca="1" si="33">IF(AND(L59&gt;=X59,M59&gt;=Y59),"OK","N.G")</f>
        <v>#NAME?</v>
      </c>
      <c r="AA59" s="140" t="e">
        <f t="shared" ref="AA59:AA65" ca="1" si="34">L59/X59</f>
        <v>#NAME?</v>
      </c>
    </row>
    <row r="60" spans="1:27" ht="12" customHeight="1" x14ac:dyDescent="0.45">
      <c r="A60" s="133">
        <v>37</v>
      </c>
      <c r="B60" s="133" t="s">
        <v>251</v>
      </c>
      <c r="C60" s="134" t="s">
        <v>252</v>
      </c>
      <c r="D60" s="134"/>
      <c r="E60" s="135">
        <f t="shared" si="27"/>
        <v>6.3000000000000007</v>
      </c>
      <c r="F60" s="136">
        <v>0</v>
      </c>
      <c r="G60" s="136">
        <v>0</v>
      </c>
      <c r="H60" s="136">
        <v>0</v>
      </c>
      <c r="I60" s="136">
        <f t="shared" si="20"/>
        <v>74.874039999999979</v>
      </c>
      <c r="J60" s="136">
        <v>0</v>
      </c>
      <c r="K60" s="137">
        <f t="shared" si="21"/>
        <v>82.361443999999977</v>
      </c>
      <c r="L60" s="137" t="e" cm="1">
        <f t="array" aca="1" ref="L60" ca="1">Profile_SM(C60,O60*1000,12)/10^3</f>
        <v>#NAME?</v>
      </c>
      <c r="M60" s="137" t="e" cm="1">
        <f t="array" aca="1" ref="M60" ca="1">Profile_ShearArea(C60,O60,12)</f>
        <v>#NAME?</v>
      </c>
      <c r="N60" s="135">
        <v>4</v>
      </c>
      <c r="O60" s="135">
        <v>0.7</v>
      </c>
      <c r="P60" s="136">
        <v>1</v>
      </c>
      <c r="Q60" s="136">
        <v>355</v>
      </c>
      <c r="R60" s="138">
        <f t="shared" si="28"/>
        <v>27.234128817038766</v>
      </c>
      <c r="S60" s="136">
        <v>0</v>
      </c>
      <c r="T60" s="136">
        <v>81.454673740000004</v>
      </c>
      <c r="U60" s="136">
        <f t="shared" si="29"/>
        <v>143.68816720486276</v>
      </c>
      <c r="V60" s="137">
        <f t="shared" si="30"/>
        <v>179.03910552240993</v>
      </c>
      <c r="W60" s="137">
        <f t="shared" si="31"/>
        <v>185.54941570938331</v>
      </c>
      <c r="X60" s="137">
        <f t="shared" si="32"/>
        <v>429.35134669249629</v>
      </c>
      <c r="Y60" s="137">
        <f t="shared" si="15"/>
        <v>621.43025974599652</v>
      </c>
      <c r="Z60" s="139" t="e">
        <f t="shared" ca="1" si="33"/>
        <v>#NAME?</v>
      </c>
      <c r="AA60" s="140" t="e">
        <f t="shared" ca="1" si="34"/>
        <v>#NAME?</v>
      </c>
    </row>
    <row r="61" spans="1:27" ht="12" customHeight="1" x14ac:dyDescent="0.45">
      <c r="A61" s="133">
        <v>38</v>
      </c>
      <c r="B61" s="133" t="s">
        <v>253</v>
      </c>
      <c r="C61" s="134" t="s">
        <v>216</v>
      </c>
      <c r="D61" s="134"/>
      <c r="E61" s="135">
        <f t="shared" si="27"/>
        <v>7.0000000000000009</v>
      </c>
      <c r="F61" s="136">
        <v>0</v>
      </c>
      <c r="G61" s="136">
        <v>0</v>
      </c>
      <c r="H61" s="136">
        <v>0</v>
      </c>
      <c r="I61" s="136">
        <f t="shared" si="20"/>
        <v>67.835364999999982</v>
      </c>
      <c r="J61" s="136">
        <v>0</v>
      </c>
      <c r="K61" s="137">
        <f t="shared" si="21"/>
        <v>74.618901499999993</v>
      </c>
      <c r="L61" s="137" t="e" cm="1">
        <f t="array" aca="1" ref="L61" ca="1">Profile_SM(C61,O61*1000,12)/10^3</f>
        <v>#NAME?</v>
      </c>
      <c r="M61" s="137" t="e" cm="1">
        <f t="array" aca="1" ref="M61" ca="1">Profile_ShearArea(C61,O61,12)</f>
        <v>#NAME?</v>
      </c>
      <c r="N61" s="135">
        <v>4</v>
      </c>
      <c r="O61" s="135">
        <v>0.7</v>
      </c>
      <c r="P61" s="136">
        <v>1</v>
      </c>
      <c r="Q61" s="136">
        <v>355</v>
      </c>
      <c r="R61" s="138">
        <f t="shared" si="28"/>
        <v>52.417603284577908</v>
      </c>
      <c r="S61" s="136">
        <v>0</v>
      </c>
      <c r="T61" s="136">
        <v>80.478315690000002</v>
      </c>
      <c r="U61" s="136">
        <f t="shared" si="29"/>
        <v>148.92240604756995</v>
      </c>
      <c r="V61" s="137">
        <f t="shared" si="30"/>
        <v>173.80486667970274</v>
      </c>
      <c r="W61" s="137">
        <f t="shared" si="31"/>
        <v>183.7410159384072</v>
      </c>
      <c r="X61" s="137">
        <f t="shared" si="32"/>
        <v>400.70401592960604</v>
      </c>
      <c r="Y61" s="137">
        <f t="shared" si="15"/>
        <v>568.55276197568617</v>
      </c>
      <c r="Z61" s="139" t="e">
        <f t="shared" ca="1" si="33"/>
        <v>#NAME?</v>
      </c>
      <c r="AA61" s="140" t="e">
        <f t="shared" ca="1" si="34"/>
        <v>#NAME?</v>
      </c>
    </row>
    <row r="62" spans="1:27" ht="12" customHeight="1" x14ac:dyDescent="0.45">
      <c r="A62" s="133">
        <v>39</v>
      </c>
      <c r="B62" s="133" t="s">
        <v>254</v>
      </c>
      <c r="C62" s="134" t="s">
        <v>216</v>
      </c>
      <c r="D62" s="134"/>
      <c r="E62" s="135">
        <f t="shared" si="27"/>
        <v>7.7000000000000011</v>
      </c>
      <c r="F62" s="136">
        <v>0</v>
      </c>
      <c r="G62" s="136">
        <v>0</v>
      </c>
      <c r="H62" s="136">
        <v>0</v>
      </c>
      <c r="I62" s="136">
        <f t="shared" si="20"/>
        <v>60.796689999999984</v>
      </c>
      <c r="J62" s="136">
        <v>0</v>
      </c>
      <c r="K62" s="137">
        <f t="shared" si="21"/>
        <v>66.876358999999994</v>
      </c>
      <c r="L62" s="137" t="e" cm="1">
        <f t="array" aca="1" ref="L62" ca="1">Profile_SM(C62,O62*1000,12)/10^3</f>
        <v>#NAME?</v>
      </c>
      <c r="M62" s="137" t="e" cm="1">
        <f t="array" aca="1" ref="M62" ca="1">Profile_ShearArea(C62,O62,12)</f>
        <v>#NAME?</v>
      </c>
      <c r="N62" s="135">
        <v>4</v>
      </c>
      <c r="O62" s="135">
        <v>0.7</v>
      </c>
      <c r="P62" s="136">
        <v>1</v>
      </c>
      <c r="Q62" s="136">
        <v>355</v>
      </c>
      <c r="R62" s="138">
        <f t="shared" si="28"/>
        <v>77.601077752117035</v>
      </c>
      <c r="S62" s="136">
        <v>0</v>
      </c>
      <c r="T62" s="136">
        <v>78.862472289999999</v>
      </c>
      <c r="U62" s="136">
        <f t="shared" si="29"/>
        <v>157.0980454218421</v>
      </c>
      <c r="V62" s="137">
        <f t="shared" si="30"/>
        <v>165.62922730543059</v>
      </c>
      <c r="W62" s="137">
        <f t="shared" si="31"/>
        <v>180.75022584844541</v>
      </c>
      <c r="X62" s="137">
        <f t="shared" si="32"/>
        <v>376.85338561390563</v>
      </c>
      <c r="Y62" s="137">
        <f t="shared" si="15"/>
        <v>517.99051514604378</v>
      </c>
      <c r="Z62" s="139" t="e">
        <f t="shared" ca="1" si="33"/>
        <v>#NAME?</v>
      </c>
      <c r="AA62" s="140" t="e">
        <f t="shared" ca="1" si="34"/>
        <v>#NAME?</v>
      </c>
    </row>
    <row r="63" spans="1:27" ht="12" customHeight="1" x14ac:dyDescent="0.45">
      <c r="A63" s="133">
        <v>40</v>
      </c>
      <c r="B63" s="133" t="s">
        <v>255</v>
      </c>
      <c r="C63" s="134" t="s">
        <v>216</v>
      </c>
      <c r="D63" s="134"/>
      <c r="E63" s="135">
        <f t="shared" si="27"/>
        <v>8.4</v>
      </c>
      <c r="F63" s="136">
        <v>0</v>
      </c>
      <c r="G63" s="136">
        <v>0</v>
      </c>
      <c r="H63" s="136">
        <v>0</v>
      </c>
      <c r="I63" s="136">
        <f t="shared" si="20"/>
        <v>53.758014999999993</v>
      </c>
      <c r="J63" s="136">
        <v>0</v>
      </c>
      <c r="K63" s="137">
        <f t="shared" si="21"/>
        <v>59.133816499999995</v>
      </c>
      <c r="L63" s="137" t="e" cm="1">
        <f t="array" aca="1" ref="L63" ca="1">Profile_SM(C63,O63*1000,12)/10^3</f>
        <v>#NAME?</v>
      </c>
      <c r="M63" s="137" t="e" cm="1">
        <f t="array" aca="1" ref="M63" ca="1">Profile_ShearArea(C63,O63,12)</f>
        <v>#NAME?</v>
      </c>
      <c r="N63" s="135">
        <v>4</v>
      </c>
      <c r="O63" s="135">
        <v>0.7</v>
      </c>
      <c r="P63" s="136">
        <v>1</v>
      </c>
      <c r="Q63" s="136">
        <v>355</v>
      </c>
      <c r="R63" s="138">
        <f t="shared" si="28"/>
        <v>102.78455221965616</v>
      </c>
      <c r="S63" s="136">
        <v>0</v>
      </c>
      <c r="T63" s="136">
        <v>76.607143539999996</v>
      </c>
      <c r="U63" s="136">
        <f t="shared" si="29"/>
        <v>167.84107810387096</v>
      </c>
      <c r="V63" s="137">
        <f t="shared" si="30"/>
        <v>154.88619462340174</v>
      </c>
      <c r="W63" s="137">
        <f t="shared" si="31"/>
        <v>176.5169546775935</v>
      </c>
      <c r="X63" s="137">
        <f t="shared" si="32"/>
        <v>356.33622609724688</v>
      </c>
      <c r="Y63" s="137">
        <f t="shared" si="15"/>
        <v>469.00504969174352</v>
      </c>
      <c r="Z63" s="139" t="e">
        <f t="shared" ca="1" si="33"/>
        <v>#NAME?</v>
      </c>
      <c r="AA63" s="140" t="e">
        <f t="shared" ca="1" si="34"/>
        <v>#NAME?</v>
      </c>
    </row>
    <row r="64" spans="1:27" ht="12" customHeight="1" x14ac:dyDescent="0.45">
      <c r="A64" s="133">
        <v>41</v>
      </c>
      <c r="B64" s="133" t="s">
        <v>256</v>
      </c>
      <c r="C64" s="134" t="s">
        <v>216</v>
      </c>
      <c r="D64" s="134"/>
      <c r="E64" s="135">
        <f t="shared" si="27"/>
        <v>9.1</v>
      </c>
      <c r="F64" s="136">
        <v>0</v>
      </c>
      <c r="G64" s="136">
        <v>0</v>
      </c>
      <c r="H64" s="136">
        <v>0</v>
      </c>
      <c r="I64" s="136">
        <f t="shared" ref="I64:I65" si="35">1.025*9.81*(($F$10+0.76)-E64)+25</f>
        <v>46.719340000000003</v>
      </c>
      <c r="J64" s="136">
        <v>0</v>
      </c>
      <c r="K64" s="137">
        <f t="shared" ref="K64:K65" si="36">I64*$F$19+J64*$F$18</f>
        <v>51.39127400000001</v>
      </c>
      <c r="L64" s="137" t="e" cm="1">
        <f t="array" aca="1" ref="L64" ca="1">Profile_SM(C64,O64*1000,12)/10^3</f>
        <v>#NAME?</v>
      </c>
      <c r="M64" s="137" t="e" cm="1">
        <f t="array" aca="1" ref="M64" ca="1">Profile_ShearArea(C64,O64,12)</f>
        <v>#NAME?</v>
      </c>
      <c r="N64" s="135">
        <v>4</v>
      </c>
      <c r="O64" s="135">
        <v>0.7</v>
      </c>
      <c r="P64" s="136">
        <v>1</v>
      </c>
      <c r="Q64" s="136">
        <v>355</v>
      </c>
      <c r="R64" s="138">
        <f t="shared" si="28"/>
        <v>127.96802668719526</v>
      </c>
      <c r="S64" s="136">
        <v>0</v>
      </c>
      <c r="T64" s="136">
        <v>73.712329429999997</v>
      </c>
      <c r="U64" s="136">
        <f t="shared" si="29"/>
        <v>180.76597684355661</v>
      </c>
      <c r="V64" s="137">
        <f t="shared" si="30"/>
        <v>141.96129588371608</v>
      </c>
      <c r="W64" s="137">
        <f>0.577*SQRT((Q64/$F$7)^2-R64^2)</f>
        <v>170.9489232818994</v>
      </c>
      <c r="X64" s="137">
        <f t="shared" si="32"/>
        <v>337.87511425618516</v>
      </c>
      <c r="Y64" s="137">
        <f t="shared" si="15"/>
        <v>420.8729848585017</v>
      </c>
      <c r="Z64" s="139" t="e">
        <f t="shared" ca="1" si="33"/>
        <v>#NAME?</v>
      </c>
      <c r="AA64" s="140" t="e">
        <f t="shared" ca="1" si="34"/>
        <v>#NAME?</v>
      </c>
    </row>
    <row r="65" spans="1:27" ht="12" customHeight="1" x14ac:dyDescent="0.45">
      <c r="A65" s="133">
        <v>42</v>
      </c>
      <c r="B65" s="133" t="s">
        <v>257</v>
      </c>
      <c r="C65" s="134" t="s">
        <v>216</v>
      </c>
      <c r="D65" s="134"/>
      <c r="E65" s="135">
        <f>E64+0.7</f>
        <v>9.7999999999999989</v>
      </c>
      <c r="F65" s="136">
        <v>0</v>
      </c>
      <c r="G65" s="136">
        <v>0</v>
      </c>
      <c r="H65" s="136">
        <v>0</v>
      </c>
      <c r="I65" s="136">
        <f t="shared" si="35"/>
        <v>39.680665000000005</v>
      </c>
      <c r="J65" s="136">
        <v>0</v>
      </c>
      <c r="K65" s="137">
        <f t="shared" si="36"/>
        <v>43.648731500000011</v>
      </c>
      <c r="L65" s="137" t="e" cm="1">
        <f t="array" aca="1" ref="L65" ca="1">Profile_SM(C65,O65*1000,12)/10^3</f>
        <v>#NAME?</v>
      </c>
      <c r="M65" s="137" t="e" cm="1">
        <f t="array" aca="1" ref="M65" ca="1">Profile_ShearArea(C65,O65,12)</f>
        <v>#NAME?</v>
      </c>
      <c r="N65" s="135">
        <v>4</v>
      </c>
      <c r="O65" s="135">
        <v>0.7</v>
      </c>
      <c r="P65" s="136">
        <v>1</v>
      </c>
      <c r="Q65" s="136">
        <v>355</v>
      </c>
      <c r="R65" s="138">
        <f t="shared" si="28"/>
        <v>153.15150115473438</v>
      </c>
      <c r="S65" s="136">
        <v>0</v>
      </c>
      <c r="T65" s="136">
        <v>70.178029969999997</v>
      </c>
      <c r="U65" s="136">
        <f t="shared" si="29"/>
        <v>195.52557371699299</v>
      </c>
      <c r="V65" s="137">
        <f t="shared" si="30"/>
        <v>127.2016990102797</v>
      </c>
      <c r="W65" s="137">
        <f>0.577*SQRT((Q65/$F$7)^2-R65^2)</f>
        <v>163.91016256483738</v>
      </c>
      <c r="X65" s="137">
        <f t="shared" si="32"/>
        <v>320.26943337741426</v>
      </c>
      <c r="Y65" s="137">
        <f t="shared" si="15"/>
        <v>372.81534679600867</v>
      </c>
      <c r="Z65" s="139" t="e">
        <f t="shared" ca="1" si="33"/>
        <v>#NAME?</v>
      </c>
      <c r="AA65" s="140" t="e">
        <f t="shared" ca="1" si="34"/>
        <v>#NAME?</v>
      </c>
    </row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  <row r="107" ht="15" customHeight="1" x14ac:dyDescent="0.45"/>
    <row r="108" ht="15" customHeight="1" x14ac:dyDescent="0.45"/>
    <row r="109" ht="15" customHeight="1" x14ac:dyDescent="0.45"/>
    <row r="110" ht="15" customHeight="1" x14ac:dyDescent="0.45"/>
    <row r="111" ht="15" customHeight="1" x14ac:dyDescent="0.45"/>
    <row r="112" ht="15" customHeight="1" x14ac:dyDescent="0.45"/>
  </sheetData>
  <mergeCells count="4">
    <mergeCell ref="Z22:Z23"/>
    <mergeCell ref="F4:N5"/>
    <mergeCell ref="A22:D22"/>
    <mergeCell ref="A23:D23"/>
  </mergeCells>
  <phoneticPr fontId="4" type="noConversion"/>
  <conditionalFormatting sqref="Z24:Z65">
    <cfRule type="cellIs" dxfId="5" priority="2" operator="equal">
      <formula>"N.G"</formula>
    </cfRule>
  </conditionalFormatting>
  <conditionalFormatting sqref="Y24:Y30">
    <cfRule type="cellIs" dxfId="4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AA0A0-30D0-43A0-B692-47D6936F8305}">
  <sheetPr codeName="Sheet11"/>
  <dimension ref="A1:AC106"/>
  <sheetViews>
    <sheetView showGridLines="0" topLeftCell="A3" zoomScale="175" zoomScaleNormal="175" workbookViewId="0">
      <selection activeCell="A22" sqref="A22:AA59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101">
        <v>544000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13.3025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4">
        <v>4.6609999999999996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30600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216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 t="shared" ref="R24:R29" si="2">$M$11/ABS(($M$12/(E24-$M$13)))/1000</f>
        <v>190.6095846645367</v>
      </c>
      <c r="S24" s="96">
        <v>0</v>
      </c>
      <c r="T24" s="96">
        <v>34.58480651</v>
      </c>
      <c r="U24" s="96">
        <f>SQRT(R24^2+S24^2-R24*S24+3*T24^2)</f>
        <v>199.80075147503723</v>
      </c>
      <c r="V24" s="93">
        <f t="shared" ref="V24:V29" si="3">(Q24/$F$7-U24)</f>
        <v>122.92652125223546</v>
      </c>
      <c r="W24" s="93">
        <f>0.577*SQRT((Q24/$F$7)^2-R24^2)</f>
        <v>150.26489063208422</v>
      </c>
      <c r="X24" s="93">
        <f t="shared" ref="X24:X36" si="4">N24^2*O24*K24*1000000/($F$8*V24*P24)/10^3</f>
        <v>309.21790706990134</v>
      </c>
      <c r="Y24" s="93">
        <f t="shared" ref="Y24:Y36" si="5">N24*O24*K24*1000/(2*W24)</f>
        <v>758.88149517377587</v>
      </c>
      <c r="Z24" s="117" t="e">
        <f t="shared" ref="Z24:Z36" ca="1" si="6">IF(AND(L24&gt;=X24,M24&gt;=Y24),"OK","N.G")</f>
        <v>#NAME?</v>
      </c>
      <c r="AA24" s="118" t="e">
        <f t="shared" ref="AA24:AA36" ca="1" si="7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9" si="8">1.025*9.81*(($F$10+0.76)-E25)+25</f>
        <v>138.22211499999997</v>
      </c>
      <c r="J25" s="96">
        <v>0</v>
      </c>
      <c r="K25" s="93">
        <f t="shared" ref="K25:K41" si="9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si="2"/>
        <v>190.6095846645367</v>
      </c>
      <c r="S25" s="96">
        <v>0</v>
      </c>
      <c r="T25" s="96">
        <v>19.511098350000001</v>
      </c>
      <c r="U25" s="96">
        <f t="shared" ref="U25:U36" si="10">SQRT(R25^2+S25^2-R25*S25+3*T25^2)</f>
        <v>193.58218575699908</v>
      </c>
      <c r="V25" s="93">
        <f t="shared" si="3"/>
        <v>129.14508697027361</v>
      </c>
      <c r="W25" s="93">
        <f t="shared" ref="W25:W36" si="11">0.577*SQRT((Q25/$F$7)^2-R25^2)</f>
        <v>150.26489063208422</v>
      </c>
      <c r="X25" s="93">
        <f t="shared" si="4"/>
        <v>1177.3140586834502</v>
      </c>
      <c r="Y25" s="93">
        <f t="shared" si="5"/>
        <v>1517.7629903475517</v>
      </c>
      <c r="Z25" s="117" t="e">
        <f t="shared" ca="1" si="6"/>
        <v>#NAME?</v>
      </c>
      <c r="AA25" s="118" t="e">
        <f t="shared" ca="1" si="7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8"/>
        <v>138.22211499999997</v>
      </c>
      <c r="J26" s="96">
        <v>0</v>
      </c>
      <c r="K26" s="93">
        <f t="shared" si="9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2"/>
        <v>190.6095846645367</v>
      </c>
      <c r="S26" s="96">
        <v>0</v>
      </c>
      <c r="T26" s="96">
        <v>4.4373901919999996</v>
      </c>
      <c r="U26" s="96">
        <f t="shared" si="10"/>
        <v>190.76447536461123</v>
      </c>
      <c r="V26" s="93">
        <f t="shared" si="3"/>
        <v>131.96279736266146</v>
      </c>
      <c r="W26" s="93">
        <f t="shared" si="11"/>
        <v>150.26489063208422</v>
      </c>
      <c r="X26" s="93">
        <f t="shared" si="4"/>
        <v>1152.1756854104137</v>
      </c>
      <c r="Y26" s="93">
        <f t="shared" si="5"/>
        <v>1517.7629903475517</v>
      </c>
      <c r="Z26" s="117" t="e">
        <f t="shared" ca="1" si="6"/>
        <v>#NAME?</v>
      </c>
      <c r="AA26" s="118" t="e">
        <f t="shared" ca="1" si="7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8"/>
        <v>138.22211499999997</v>
      </c>
      <c r="J27" s="96">
        <v>0</v>
      </c>
      <c r="K27" s="93">
        <f t="shared" si="9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2"/>
        <v>190.6095846645367</v>
      </c>
      <c r="S27" s="96">
        <v>0</v>
      </c>
      <c r="T27" s="96">
        <v>16.99936143</v>
      </c>
      <c r="U27" s="96">
        <f t="shared" si="10"/>
        <v>192.87028965880282</v>
      </c>
      <c r="V27" s="93">
        <f t="shared" si="3"/>
        <v>129.85698306846987</v>
      </c>
      <c r="W27" s="93">
        <f t="shared" si="11"/>
        <v>150.26489063208422</v>
      </c>
      <c r="X27" s="93">
        <f t="shared" si="4"/>
        <v>1170.8598406281419</v>
      </c>
      <c r="Y27" s="93">
        <f t="shared" si="5"/>
        <v>1517.7629903475517</v>
      </c>
      <c r="Z27" s="117" t="e">
        <f t="shared" ca="1" si="6"/>
        <v>#NAME?</v>
      </c>
      <c r="AA27" s="118" t="e">
        <f t="shared" ca="1" si="7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8"/>
        <v>138.22211499999997</v>
      </c>
      <c r="J28" s="96">
        <v>0</v>
      </c>
      <c r="K28" s="93">
        <f t="shared" si="9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2"/>
        <v>190.6095846645367</v>
      </c>
      <c r="S28" s="96">
        <v>0</v>
      </c>
      <c r="T28" s="96">
        <v>32.073069590000003</v>
      </c>
      <c r="U28" s="96">
        <f t="shared" si="10"/>
        <v>198.53981752978956</v>
      </c>
      <c r="V28" s="93">
        <f t="shared" si="3"/>
        <v>124.18745519748313</v>
      </c>
      <c r="W28" s="93">
        <f t="shared" si="11"/>
        <v>150.26489063208422</v>
      </c>
      <c r="X28" s="93">
        <f t="shared" si="4"/>
        <v>1224.3130858766594</v>
      </c>
      <c r="Y28" s="93">
        <f t="shared" si="5"/>
        <v>1517.7629903475517</v>
      </c>
      <c r="Z28" s="117" t="e">
        <f t="shared" ca="1" si="6"/>
        <v>#NAME?</v>
      </c>
      <c r="AA28" s="118" t="e">
        <f t="shared" ca="1" si="7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8"/>
        <v>138.22211499999997</v>
      </c>
      <c r="J29" s="96">
        <v>0</v>
      </c>
      <c r="K29" s="93">
        <f t="shared" si="9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2"/>
        <v>190.6095846645367</v>
      </c>
      <c r="S29" s="96">
        <v>0</v>
      </c>
      <c r="T29" s="96">
        <v>47.146777749999998</v>
      </c>
      <c r="U29" s="96">
        <f t="shared" si="10"/>
        <v>207.36554613197166</v>
      </c>
      <c r="V29" s="93">
        <f t="shared" si="3"/>
        <v>115.36172659530104</v>
      </c>
      <c r="W29" s="93">
        <f t="shared" si="11"/>
        <v>150.26489063208422</v>
      </c>
      <c r="X29" s="93">
        <f t="shared" si="4"/>
        <v>1317.9789431670411</v>
      </c>
      <c r="Y29" s="93">
        <f t="shared" si="5"/>
        <v>1517.7629903475517</v>
      </c>
      <c r="Z29" s="117" t="e">
        <f t="shared" ca="1" si="6"/>
        <v>#NAME?</v>
      </c>
      <c r="AA29" s="118" t="e">
        <f t="shared" ca="1" si="7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216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8"/>
        <v>138.22211499999997</v>
      </c>
      <c r="J30" s="96">
        <v>0</v>
      </c>
      <c r="K30" s="93">
        <f t="shared" si="9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190.6095846645367</v>
      </c>
      <c r="S30" s="96">
        <v>0</v>
      </c>
      <c r="T30" s="96">
        <v>62.2204859</v>
      </c>
      <c r="U30" s="96">
        <f t="shared" si="10"/>
        <v>218.96616259797648</v>
      </c>
      <c r="V30" s="93">
        <f t="shared" ref="V30:V36" si="12">(Q30/$F$7-U30)</f>
        <v>103.76111012929621</v>
      </c>
      <c r="W30" s="93">
        <f t="shared" si="11"/>
        <v>150.26489063208422</v>
      </c>
      <c r="X30" s="93">
        <f t="shared" si="4"/>
        <v>366.33264213957011</v>
      </c>
      <c r="Y30" s="93">
        <f t="shared" si="5"/>
        <v>758.88149517377587</v>
      </c>
      <c r="Z30" s="117" t="e">
        <f t="shared" ca="1" si="6"/>
        <v>#NAME?</v>
      </c>
      <c r="AA30" s="118" t="e">
        <f t="shared" ca="1" si="7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252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8"/>
        <v>131.18343999999999</v>
      </c>
      <c r="J31" s="91">
        <v>0</v>
      </c>
      <c r="K31" s="88">
        <f t="shared" si="9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 t="shared" ref="R31:R36" si="13">$M$11/ABS(($M$12/(E31-$M$13)))/1000</f>
        <v>161.98338658146963</v>
      </c>
      <c r="S31" s="91">
        <v>0</v>
      </c>
      <c r="T31" s="91">
        <v>86.492462459999999</v>
      </c>
      <c r="U31" s="91">
        <f t="shared" si="10"/>
        <v>220.63874481963805</v>
      </c>
      <c r="V31" s="88">
        <f t="shared" si="12"/>
        <v>102.08852790763464</v>
      </c>
      <c r="W31" s="88">
        <f t="shared" si="11"/>
        <v>161.0587522386017</v>
      </c>
      <c r="X31" s="88">
        <f t="shared" si="4"/>
        <v>329.81586625610106</v>
      </c>
      <c r="Y31" s="88">
        <f t="shared" si="5"/>
        <v>627.17019346055849</v>
      </c>
      <c r="Z31" s="122" t="e">
        <f t="shared" ca="1" si="6"/>
        <v>#NAME?</v>
      </c>
      <c r="AA31" s="123" t="e">
        <f t="shared" ca="1" si="7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258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8"/>
        <v>124.14476499999999</v>
      </c>
      <c r="J32" s="91">
        <v>0</v>
      </c>
      <c r="K32" s="88">
        <f t="shared" si="9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4</v>
      </c>
      <c r="O32" s="120">
        <v>0.7</v>
      </c>
      <c r="P32" s="91">
        <v>1</v>
      </c>
      <c r="Q32" s="91">
        <v>355</v>
      </c>
      <c r="R32" s="156">
        <f t="shared" si="13"/>
        <v>133.35718849840254</v>
      </c>
      <c r="S32" s="91">
        <v>0</v>
      </c>
      <c r="T32" s="91">
        <v>96.399111750000003</v>
      </c>
      <c r="U32" s="91">
        <f t="shared" si="10"/>
        <v>213.68787041562615</v>
      </c>
      <c r="V32" s="88">
        <f t="shared" si="12"/>
        <v>109.03940231164654</v>
      </c>
      <c r="W32" s="88">
        <f t="shared" si="11"/>
        <v>169.57199802305485</v>
      </c>
      <c r="X32" s="88">
        <f t="shared" si="4"/>
        <v>1168.8920643785766</v>
      </c>
      <c r="Y32" s="88">
        <f t="shared" si="5"/>
        <v>1127.4440375114702</v>
      </c>
      <c r="Z32" s="122" t="e">
        <f t="shared" ca="1" si="6"/>
        <v>#NAME?</v>
      </c>
      <c r="AA32" s="123" t="e">
        <f t="shared" ca="1" si="7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258</v>
      </c>
      <c r="D33" s="119"/>
      <c r="E33" s="120">
        <f t="shared" ref="E33:E41" si="14">E32+0.7</f>
        <v>2.0999999999999996</v>
      </c>
      <c r="F33" s="91">
        <v>0</v>
      </c>
      <c r="G33" s="91">
        <v>0</v>
      </c>
      <c r="H33" s="91">
        <v>0</v>
      </c>
      <c r="I33" s="91">
        <f t="shared" si="8"/>
        <v>117.10608999999999</v>
      </c>
      <c r="J33" s="91">
        <v>0</v>
      </c>
      <c r="K33" s="88">
        <f t="shared" si="9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4</v>
      </c>
      <c r="O33" s="120">
        <v>0.7</v>
      </c>
      <c r="P33" s="91">
        <v>1</v>
      </c>
      <c r="Q33" s="91">
        <v>355</v>
      </c>
      <c r="R33" s="156">
        <f t="shared" si="13"/>
        <v>104.73099041533546</v>
      </c>
      <c r="S33" s="91">
        <v>0</v>
      </c>
      <c r="T33" s="91">
        <v>103.943155</v>
      </c>
      <c r="U33" s="91">
        <f t="shared" si="10"/>
        <v>208.2813452218877</v>
      </c>
      <c r="V33" s="88">
        <f t="shared" si="12"/>
        <v>114.44592750538499</v>
      </c>
      <c r="W33" s="88">
        <f t="shared" si="11"/>
        <v>176.13562921595138</v>
      </c>
      <c r="X33" s="88">
        <f t="shared" si="4"/>
        <v>1050.5303394129912</v>
      </c>
      <c r="Y33" s="88">
        <f t="shared" si="5"/>
        <v>1023.8892574022584</v>
      </c>
      <c r="Z33" s="122" t="e">
        <f t="shared" ca="1" si="6"/>
        <v>#NAME?</v>
      </c>
      <c r="AA33" s="123" t="e">
        <f t="shared" ca="1" si="7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258</v>
      </c>
      <c r="D34" s="119"/>
      <c r="E34" s="120">
        <f t="shared" si="14"/>
        <v>2.8</v>
      </c>
      <c r="F34" s="91">
        <v>0</v>
      </c>
      <c r="G34" s="91">
        <v>0</v>
      </c>
      <c r="H34" s="91">
        <v>0</v>
      </c>
      <c r="I34" s="91">
        <f t="shared" si="8"/>
        <v>110.067415</v>
      </c>
      <c r="J34" s="91">
        <v>0</v>
      </c>
      <c r="K34" s="88">
        <f t="shared" si="9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4</v>
      </c>
      <c r="O34" s="120">
        <v>0.7</v>
      </c>
      <c r="P34" s="91">
        <v>1</v>
      </c>
      <c r="Q34" s="91">
        <v>355</v>
      </c>
      <c r="R34" s="156">
        <f t="shared" si="13"/>
        <v>76.10479233226836</v>
      </c>
      <c r="S34" s="91">
        <v>0</v>
      </c>
      <c r="T34" s="91">
        <v>109.30006729999999</v>
      </c>
      <c r="U34" s="91">
        <f t="shared" si="10"/>
        <v>204.03787283563628</v>
      </c>
      <c r="V34" s="88">
        <f t="shared" si="12"/>
        <v>118.68939989163641</v>
      </c>
      <c r="W34" s="88">
        <f t="shared" si="11"/>
        <v>180.96191248425694</v>
      </c>
      <c r="X34" s="88">
        <f t="shared" si="4"/>
        <v>952.08625344671168</v>
      </c>
      <c r="Y34" s="88">
        <f t="shared" si="5"/>
        <v>936.68229282637719</v>
      </c>
      <c r="Z34" s="122" t="e">
        <f t="shared" ca="1" si="6"/>
        <v>#NAME?</v>
      </c>
      <c r="AA34" s="123" t="e">
        <f t="shared" ca="1" si="7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233</v>
      </c>
      <c r="D35" s="119"/>
      <c r="E35" s="120">
        <f t="shared" si="14"/>
        <v>3.5</v>
      </c>
      <c r="F35" s="91">
        <v>0</v>
      </c>
      <c r="G35" s="91">
        <v>0</v>
      </c>
      <c r="H35" s="91">
        <v>0</v>
      </c>
      <c r="I35" s="91">
        <f t="shared" si="8"/>
        <v>103.02873999999998</v>
      </c>
      <c r="J35" s="91">
        <v>0</v>
      </c>
      <c r="K35" s="88">
        <f t="shared" si="9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4</v>
      </c>
      <c r="O35" s="120">
        <v>0.7</v>
      </c>
      <c r="P35" s="91">
        <v>1</v>
      </c>
      <c r="Q35" s="91">
        <v>355</v>
      </c>
      <c r="R35" s="156">
        <f t="shared" si="13"/>
        <v>47.478594249201265</v>
      </c>
      <c r="S35" s="91">
        <v>0</v>
      </c>
      <c r="T35" s="91">
        <v>112.9005669</v>
      </c>
      <c r="U35" s="91">
        <f t="shared" si="10"/>
        <v>201.2307902158723</v>
      </c>
      <c r="V35" s="88">
        <f t="shared" si="12"/>
        <v>121.49648251140039</v>
      </c>
      <c r="W35" s="88">
        <f t="shared" si="11"/>
        <v>184.18747021856072</v>
      </c>
      <c r="X35" s="88">
        <f t="shared" si="4"/>
        <v>870.61099120084702</v>
      </c>
      <c r="Y35" s="88">
        <f t="shared" si="5"/>
        <v>861.4280841781781</v>
      </c>
      <c r="Z35" s="122" t="e">
        <f t="shared" ca="1" si="6"/>
        <v>#NAME?</v>
      </c>
      <c r="AA35" s="123" t="e">
        <f t="shared" ca="1" si="7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233</v>
      </c>
      <c r="D36" s="119"/>
      <c r="E36" s="120">
        <f t="shared" si="14"/>
        <v>4.2</v>
      </c>
      <c r="F36" s="91">
        <v>0</v>
      </c>
      <c r="G36" s="91">
        <v>0</v>
      </c>
      <c r="H36" s="91">
        <v>0</v>
      </c>
      <c r="I36" s="91">
        <f t="shared" si="8"/>
        <v>95.990064999999987</v>
      </c>
      <c r="J36" s="91">
        <v>0</v>
      </c>
      <c r="K36" s="88">
        <f t="shared" si="9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4</v>
      </c>
      <c r="O36" s="120">
        <v>0.7</v>
      </c>
      <c r="P36" s="91">
        <v>1</v>
      </c>
      <c r="Q36" s="91">
        <v>355</v>
      </c>
      <c r="R36" s="156">
        <f t="shared" si="13"/>
        <v>18.852396166134159</v>
      </c>
      <c r="S36" s="91">
        <v>0</v>
      </c>
      <c r="T36" s="91">
        <v>114.79779980000001</v>
      </c>
      <c r="U36" s="91">
        <f t="shared" si="10"/>
        <v>199.72735756016877</v>
      </c>
      <c r="V36" s="88">
        <f t="shared" si="12"/>
        <v>122.99991516710392</v>
      </c>
      <c r="W36" s="88">
        <f t="shared" si="11"/>
        <v>185.89564579612693</v>
      </c>
      <c r="X36" s="88">
        <f t="shared" si="4"/>
        <v>801.21843931989633</v>
      </c>
      <c r="Y36" s="88">
        <f t="shared" si="5"/>
        <v>795.20259588070371</v>
      </c>
      <c r="Z36" s="122" t="e">
        <f t="shared" ca="1" si="6"/>
        <v>#NAME?</v>
      </c>
      <c r="AA36" s="123" t="e">
        <f t="shared" ca="1" si="7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4"/>
        <v>4.9000000000000004</v>
      </c>
      <c r="F37" s="91">
        <v>0</v>
      </c>
      <c r="G37" s="91">
        <v>0</v>
      </c>
      <c r="H37" s="91">
        <v>0</v>
      </c>
      <c r="I37" s="91">
        <f t="shared" si="8"/>
        <v>88.951389999999989</v>
      </c>
      <c r="J37" s="91">
        <v>0</v>
      </c>
      <c r="K37" s="88">
        <f t="shared" si="9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/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216</v>
      </c>
      <c r="D38" s="119"/>
      <c r="E38" s="120">
        <f t="shared" si="14"/>
        <v>5.6000000000000005</v>
      </c>
      <c r="F38" s="91">
        <v>0</v>
      </c>
      <c r="G38" s="91">
        <v>0</v>
      </c>
      <c r="H38" s="91">
        <v>0</v>
      </c>
      <c r="I38" s="91">
        <f t="shared" si="8"/>
        <v>81.912714999999992</v>
      </c>
      <c r="J38" s="91">
        <v>0</v>
      </c>
      <c r="K38" s="88">
        <f t="shared" si="9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4" si="15">$M$11/ABS(($M$12/(E38-$M$13)))/1000</f>
        <v>38.400000000000041</v>
      </c>
      <c r="S38" s="91">
        <v>0</v>
      </c>
      <c r="T38" s="91">
        <v>76.704483359999998</v>
      </c>
      <c r="U38" s="91">
        <f t="shared" ref="U38:U45" si="16">SQRT(R38^2+S38^2-R38*S38+3*T38^2)</f>
        <v>138.29422729302027</v>
      </c>
      <c r="V38" s="88">
        <f t="shared" ref="V38:V45" si="17">(Q38/$F$7-U38)</f>
        <v>184.43304543425242</v>
      </c>
      <c r="W38" s="88">
        <f t="shared" ref="W38:W41" si="18">0.577*SQRT((Q38/$F$7)^2-R38^2)</f>
        <v>184.89076391623399</v>
      </c>
      <c r="X38" s="88">
        <f t="shared" ref="X38:X54" si="19">N38^2*O38*K38*1000000/($F$8*V38*P38)/10^3</f>
        <v>455.97606366395979</v>
      </c>
      <c r="Y38" s="88">
        <f t="shared" ref="Y38:Y54" si="20">N38*O38*K38*1000/(2*W38)</f>
        <v>682.27086322792798</v>
      </c>
      <c r="Z38" s="122" t="e">
        <f t="shared" ref="Z38:Z54" ca="1" si="21">IF(AND(L38&gt;=X38,M38&gt;=Y38),"OK","N.G")</f>
        <v>#NAME?</v>
      </c>
      <c r="AA38" s="123" t="e">
        <f t="shared" ref="AA38:AA54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252</v>
      </c>
      <c r="D39" s="119"/>
      <c r="E39" s="120">
        <v>6.65</v>
      </c>
      <c r="F39" s="91">
        <v>0</v>
      </c>
      <c r="G39" s="91">
        <v>0</v>
      </c>
      <c r="H39" s="91">
        <v>0</v>
      </c>
      <c r="I39" s="91">
        <f t="shared" si="8"/>
        <v>71.354702499999988</v>
      </c>
      <c r="J39" s="91">
        <v>0</v>
      </c>
      <c r="K39" s="88">
        <f t="shared" si="9"/>
        <v>78.490172749999999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81.339297124600662</v>
      </c>
      <c r="S39" s="91">
        <v>0</v>
      </c>
      <c r="T39" s="91">
        <v>76.367610869999993</v>
      </c>
      <c r="U39" s="91">
        <f t="shared" si="16"/>
        <v>155.28076901760659</v>
      </c>
      <c r="V39" s="88">
        <f t="shared" si="17"/>
        <v>167.4465037096661</v>
      </c>
      <c r="W39" s="88">
        <f t="shared" si="18"/>
        <v>180.20220046117277</v>
      </c>
      <c r="X39" s="88">
        <f t="shared" si="19"/>
        <v>437.49790496484258</v>
      </c>
      <c r="Y39" s="88">
        <f t="shared" si="20"/>
        <v>609.79411776759412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87">
        <v>17</v>
      </c>
      <c r="B40" s="87" t="s">
        <v>227</v>
      </c>
      <c r="C40" s="119" t="s">
        <v>216</v>
      </c>
      <c r="D40" s="119"/>
      <c r="E40" s="120">
        <f t="shared" si="14"/>
        <v>7.3500000000000005</v>
      </c>
      <c r="F40" s="91">
        <v>0</v>
      </c>
      <c r="G40" s="91">
        <v>0</v>
      </c>
      <c r="H40" s="91">
        <v>0</v>
      </c>
      <c r="I40" s="91">
        <f t="shared" si="8"/>
        <v>64.31602749999999</v>
      </c>
      <c r="J40" s="91">
        <v>0</v>
      </c>
      <c r="K40" s="88">
        <f t="shared" si="9"/>
        <v>70.74763025</v>
      </c>
      <c r="L40" s="88" t="e" cm="1">
        <f t="array" aca="1" ref="L40" ca="1">Profile_SM(C40,O40*1000,12)/10^3</f>
        <v>#NAME?</v>
      </c>
      <c r="M40" s="88" t="e" cm="1">
        <f t="array" aca="1" ref="M40" ca="1">Profile_ShearArea(C40,O40,12)</f>
        <v>#NAME?</v>
      </c>
      <c r="N40" s="120">
        <v>4</v>
      </c>
      <c r="O40" s="120">
        <v>0.7</v>
      </c>
      <c r="P40" s="91">
        <v>1</v>
      </c>
      <c r="Q40" s="91">
        <v>355</v>
      </c>
      <c r="R40" s="156">
        <f t="shared" si="15"/>
        <v>109.96549520766777</v>
      </c>
      <c r="S40" s="91">
        <v>0</v>
      </c>
      <c r="T40" s="91">
        <v>75.391253039999995</v>
      </c>
      <c r="U40" s="91">
        <f t="shared" si="16"/>
        <v>170.71594313681288</v>
      </c>
      <c r="V40" s="88">
        <f t="shared" si="17"/>
        <v>152.01132959045981</v>
      </c>
      <c r="W40" s="88">
        <f t="shared" si="18"/>
        <v>175.07028403904286</v>
      </c>
      <c r="X40" s="88">
        <f t="shared" si="19"/>
        <v>434.38289596284642</v>
      </c>
      <c r="Y40" s="88">
        <f t="shared" si="20"/>
        <v>565.75382220726476</v>
      </c>
      <c r="Z40" s="122" t="e">
        <f t="shared" ca="1" si="21"/>
        <v>#NAME?</v>
      </c>
      <c r="AA40" s="123" t="e">
        <f t="shared" ca="1" si="22"/>
        <v>#NAME?</v>
      </c>
    </row>
    <row r="41" spans="1:27" ht="12" customHeight="1" x14ac:dyDescent="0.45">
      <c r="A41" s="87">
        <v>18</v>
      </c>
      <c r="B41" s="87" t="s">
        <v>228</v>
      </c>
      <c r="C41" s="119" t="s">
        <v>216</v>
      </c>
      <c r="D41" s="119"/>
      <c r="E41" s="120">
        <f t="shared" si="14"/>
        <v>8.0500000000000007</v>
      </c>
      <c r="F41" s="91">
        <v>0</v>
      </c>
      <c r="G41" s="91">
        <v>0</v>
      </c>
      <c r="H41" s="91">
        <v>0</v>
      </c>
      <c r="I41" s="91">
        <f t="shared" si="8"/>
        <v>57.277352499999985</v>
      </c>
      <c r="J41" s="91">
        <v>0</v>
      </c>
      <c r="K41" s="88">
        <f t="shared" si="9"/>
        <v>63.005087749999987</v>
      </c>
      <c r="L41" s="88" t="e" cm="1">
        <f t="array" aca="1" ref="L41" ca="1">Profile_SM(C41,O41*1000,12)/10^3</f>
        <v>#NAME?</v>
      </c>
      <c r="M41" s="88" t="e" cm="1">
        <f t="array" aca="1" ref="M41" ca="1">Profile_ShearArea(C41,O41,12)</f>
        <v>#NAME?</v>
      </c>
      <c r="N41" s="120">
        <v>4</v>
      </c>
      <c r="O41" s="120">
        <v>0.7</v>
      </c>
      <c r="P41" s="91">
        <v>1</v>
      </c>
      <c r="Q41" s="91">
        <v>355</v>
      </c>
      <c r="R41" s="156">
        <f t="shared" si="15"/>
        <v>138.59169329073487</v>
      </c>
      <c r="S41" s="91">
        <v>0</v>
      </c>
      <c r="T41" s="91">
        <v>72.907289980000002</v>
      </c>
      <c r="U41" s="91">
        <f t="shared" si="16"/>
        <v>187.49420323273077</v>
      </c>
      <c r="V41" s="88">
        <f t="shared" si="17"/>
        <v>135.23306949454192</v>
      </c>
      <c r="W41" s="88">
        <f t="shared" si="18"/>
        <v>168.16876101365011</v>
      </c>
      <c r="X41" s="88">
        <f t="shared" si="19"/>
        <v>434.84000464132072</v>
      </c>
      <c r="Y41" s="88">
        <f t="shared" si="20"/>
        <v>524.5155064372525</v>
      </c>
      <c r="Z41" s="122" t="e">
        <f t="shared" ca="1" si="21"/>
        <v>#NAME?</v>
      </c>
      <c r="AA41" s="123" t="e">
        <f t="shared" ca="1" si="22"/>
        <v>#NAME?</v>
      </c>
    </row>
    <row r="42" spans="1:27" ht="12" customHeight="1" x14ac:dyDescent="0.45">
      <c r="A42" s="124">
        <v>22</v>
      </c>
      <c r="B42" s="124" t="s">
        <v>232</v>
      </c>
      <c r="C42" s="132" t="s">
        <v>233</v>
      </c>
      <c r="D42" s="125"/>
      <c r="E42" s="126">
        <v>8.75</v>
      </c>
      <c r="F42" s="127">
        <v>0</v>
      </c>
      <c r="G42" s="127">
        <v>0</v>
      </c>
      <c r="H42" s="127">
        <v>0</v>
      </c>
      <c r="I42" s="127">
        <f t="shared" si="8"/>
        <v>50.238677499999994</v>
      </c>
      <c r="J42" s="127">
        <v>0</v>
      </c>
      <c r="K42" s="128">
        <f>I42*$F$19+J42*$F$18</f>
        <v>55.262545249999995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167.2178913738019</v>
      </c>
      <c r="S42" s="127">
        <v>0</v>
      </c>
      <c r="T42" s="127">
        <v>42.361750790000002</v>
      </c>
      <c r="U42" s="127">
        <f>SQRT(R42^2+S42^2-R42*S42+3*T42^2)</f>
        <v>182.60716575611926</v>
      </c>
      <c r="V42" s="128">
        <f t="shared" si="17"/>
        <v>140.12010697115343</v>
      </c>
      <c r="W42" s="128">
        <f t="shared" ref="W42:W48" si="23">0.577*SQRT((Q42/$F$7)^2-R42^2)</f>
        <v>159.26775107696398</v>
      </c>
      <c r="X42" s="128">
        <f t="shared" si="19"/>
        <v>394.39411262636929</v>
      </c>
      <c r="Y42" s="128">
        <f t="shared" si="20"/>
        <v>520.46831398368079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23</v>
      </c>
      <c r="B43" s="124" t="s">
        <v>234</v>
      </c>
      <c r="C43" s="132" t="s">
        <v>233</v>
      </c>
      <c r="D43" s="125"/>
      <c r="E43" s="126">
        <v>8.75</v>
      </c>
      <c r="F43" s="127">
        <v>0</v>
      </c>
      <c r="G43" s="127">
        <v>0</v>
      </c>
      <c r="H43" s="127">
        <v>0</v>
      </c>
      <c r="I43" s="127">
        <f t="shared" si="8"/>
        <v>50.238677499999994</v>
      </c>
      <c r="J43" s="127">
        <v>0</v>
      </c>
      <c r="K43" s="128">
        <f t="shared" ref="K43:K59" si="24">I43*$F$19+J43*$F$18</f>
        <v>55.262545249999995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167.2178913738019</v>
      </c>
      <c r="S43" s="127">
        <v>0</v>
      </c>
      <c r="T43" s="127">
        <v>32.072781079999999</v>
      </c>
      <c r="U43" s="127">
        <f t="shared" si="16"/>
        <v>176.20389625123909</v>
      </c>
      <c r="V43" s="128">
        <f t="shared" si="17"/>
        <v>146.5233764760336</v>
      </c>
      <c r="W43" s="128">
        <f t="shared" si="23"/>
        <v>159.26775107696398</v>
      </c>
      <c r="X43" s="128">
        <f t="shared" si="19"/>
        <v>377.1585570787002</v>
      </c>
      <c r="Y43" s="128">
        <f t="shared" si="20"/>
        <v>520.46831398368079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24</v>
      </c>
      <c r="B44" s="124" t="s">
        <v>235</v>
      </c>
      <c r="C44" s="132" t="s">
        <v>233</v>
      </c>
      <c r="D44" s="125"/>
      <c r="E44" s="126">
        <v>8.75</v>
      </c>
      <c r="F44" s="127">
        <v>0</v>
      </c>
      <c r="G44" s="127">
        <v>0</v>
      </c>
      <c r="H44" s="127">
        <v>0</v>
      </c>
      <c r="I44" s="127">
        <f t="shared" si="8"/>
        <v>50.238677499999994</v>
      </c>
      <c r="J44" s="127">
        <v>0</v>
      </c>
      <c r="K44" s="128">
        <f t="shared" si="24"/>
        <v>55.262545249999995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167.2178913738019</v>
      </c>
      <c r="S44" s="127">
        <v>0</v>
      </c>
      <c r="T44" s="127">
        <v>21.783811369999999</v>
      </c>
      <c r="U44" s="127">
        <f t="shared" si="16"/>
        <v>171.42177956406775</v>
      </c>
      <c r="V44" s="128">
        <f t="shared" si="17"/>
        <v>151.30549316320494</v>
      </c>
      <c r="W44" s="128">
        <f t="shared" si="23"/>
        <v>159.26775107696398</v>
      </c>
      <c r="X44" s="128">
        <f t="shared" si="19"/>
        <v>365.23819522131504</v>
      </c>
      <c r="Y44" s="128">
        <f t="shared" si="20"/>
        <v>520.46831398368079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25</v>
      </c>
      <c r="B45" s="124" t="s">
        <v>236</v>
      </c>
      <c r="C45" s="132" t="s">
        <v>233</v>
      </c>
      <c r="D45" s="125"/>
      <c r="E45" s="126">
        <v>8.75</v>
      </c>
      <c r="F45" s="127">
        <v>0</v>
      </c>
      <c r="G45" s="127">
        <v>0</v>
      </c>
      <c r="H45" s="127">
        <v>0</v>
      </c>
      <c r="I45" s="127">
        <f t="shared" si="8"/>
        <v>50.238677499999994</v>
      </c>
      <c r="J45" s="127">
        <v>0</v>
      </c>
      <c r="K45" s="128">
        <f t="shared" si="24"/>
        <v>55.262545249999995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167.2178913738019</v>
      </c>
      <c r="S45" s="127">
        <v>0</v>
      </c>
      <c r="T45" s="127">
        <v>11.49484167</v>
      </c>
      <c r="U45" s="127">
        <f t="shared" si="16"/>
        <v>168.39898262921815</v>
      </c>
      <c r="V45" s="128">
        <f t="shared" si="17"/>
        <v>154.32829009805454</v>
      </c>
      <c r="W45" s="128">
        <f t="shared" si="23"/>
        <v>159.26775107696398</v>
      </c>
      <c r="X45" s="128">
        <f t="shared" si="19"/>
        <v>358.08434872756123</v>
      </c>
      <c r="Y45" s="128">
        <f t="shared" si="20"/>
        <v>520.46831398368079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26</v>
      </c>
      <c r="B46" s="124" t="s">
        <v>237</v>
      </c>
      <c r="C46" s="132" t="s">
        <v>233</v>
      </c>
      <c r="D46" s="125"/>
      <c r="E46" s="126">
        <v>8.75</v>
      </c>
      <c r="F46" s="127">
        <v>0</v>
      </c>
      <c r="G46" s="127">
        <v>0</v>
      </c>
      <c r="H46" s="127">
        <v>0</v>
      </c>
      <c r="I46" s="127">
        <f t="shared" si="8"/>
        <v>50.238677499999994</v>
      </c>
      <c r="J46" s="127">
        <v>0</v>
      </c>
      <c r="K46" s="128">
        <f t="shared" si="24"/>
        <v>55.262545249999995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 t="shared" si="15"/>
        <v>167.2178913738019</v>
      </c>
      <c r="S46" s="127">
        <v>0</v>
      </c>
      <c r="T46" s="127">
        <v>1.5539955910000001</v>
      </c>
      <c r="U46" s="127">
        <f>SQRT(R46^2+S46^2-R46*S46+3*T46^2)</f>
        <v>167.23955244615777</v>
      </c>
      <c r="V46" s="128">
        <f>(Q46/$F$7-U46)</f>
        <v>155.48772028111492</v>
      </c>
      <c r="W46" s="128">
        <f t="shared" si="23"/>
        <v>159.26775107696398</v>
      </c>
      <c r="X46" s="128">
        <f t="shared" si="19"/>
        <v>355.41420988157626</v>
      </c>
      <c r="Y46" s="128">
        <f t="shared" si="20"/>
        <v>520.46831398368079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24">
        <v>27</v>
      </c>
      <c r="B47" s="124" t="s">
        <v>238</v>
      </c>
      <c r="C47" s="132" t="s">
        <v>233</v>
      </c>
      <c r="D47" s="125"/>
      <c r="E47" s="126">
        <v>8.75</v>
      </c>
      <c r="F47" s="127">
        <v>0</v>
      </c>
      <c r="G47" s="127">
        <v>0</v>
      </c>
      <c r="H47" s="127">
        <v>0</v>
      </c>
      <c r="I47" s="127">
        <f t="shared" si="8"/>
        <v>50.238677499999994</v>
      </c>
      <c r="J47" s="127">
        <v>0</v>
      </c>
      <c r="K47" s="128">
        <f t="shared" si="24"/>
        <v>55.262545249999995</v>
      </c>
      <c r="L47" s="128" t="e" cm="1">
        <f t="array" aca="1" ref="L47" ca="1">Profile_SM(C47,O47*1000,12)/10^3</f>
        <v>#NAME?</v>
      </c>
      <c r="M47" s="128" t="e" cm="1">
        <f t="array" aca="1" ref="M47" ca="1">Profile_ShearArea(C47,O47,12)</f>
        <v>#NAME?</v>
      </c>
      <c r="N47" s="126">
        <v>4</v>
      </c>
      <c r="O47" s="126">
        <v>0.75</v>
      </c>
      <c r="P47" s="127">
        <v>1</v>
      </c>
      <c r="Q47" s="127">
        <v>355</v>
      </c>
      <c r="R47" s="157">
        <f t="shared" si="15"/>
        <v>167.2178913738019</v>
      </c>
      <c r="S47" s="127">
        <v>0</v>
      </c>
      <c r="T47" s="127">
        <v>11.842965299999999</v>
      </c>
      <c r="U47" s="127">
        <f>SQRT(R47^2+S47^2)</f>
        <v>167.2178913738019</v>
      </c>
      <c r="V47" s="128">
        <f t="shared" ref="V47:V54" si="25">(Q47/$F$7-U47)</f>
        <v>155.50938135347079</v>
      </c>
      <c r="W47" s="128">
        <f t="shared" si="23"/>
        <v>159.26775107696398</v>
      </c>
      <c r="X47" s="128">
        <f t="shared" si="19"/>
        <v>355.36470384631622</v>
      </c>
      <c r="Y47" s="128">
        <f t="shared" si="20"/>
        <v>520.46831398368079</v>
      </c>
      <c r="Z47" s="130" t="e">
        <f t="shared" ca="1" si="21"/>
        <v>#NAME?</v>
      </c>
      <c r="AA47" s="131" t="e">
        <f t="shared" ca="1" si="22"/>
        <v>#NAME?</v>
      </c>
    </row>
    <row r="48" spans="1:27" ht="12" customHeight="1" x14ac:dyDescent="0.45">
      <c r="A48" s="124">
        <v>28</v>
      </c>
      <c r="B48" s="124" t="s">
        <v>239</v>
      </c>
      <c r="C48" s="132" t="s">
        <v>233</v>
      </c>
      <c r="D48" s="125"/>
      <c r="E48" s="126">
        <v>8.75</v>
      </c>
      <c r="F48" s="127">
        <v>0</v>
      </c>
      <c r="G48" s="127">
        <v>0</v>
      </c>
      <c r="H48" s="127">
        <v>0</v>
      </c>
      <c r="I48" s="127">
        <f t="shared" si="8"/>
        <v>50.238677499999994</v>
      </c>
      <c r="J48" s="127">
        <v>0</v>
      </c>
      <c r="K48" s="128">
        <f t="shared" si="24"/>
        <v>55.262545249999995</v>
      </c>
      <c r="L48" s="128" t="e" cm="1">
        <f t="array" aca="1" ref="L48" ca="1">Profile_SM(C48,O48*1000,12)/10^3</f>
        <v>#NAME?</v>
      </c>
      <c r="M48" s="128" t="e" cm="1">
        <f t="array" aca="1" ref="M48" ca="1">Profile_ShearArea(C48,O48,12)</f>
        <v>#NAME?</v>
      </c>
      <c r="N48" s="126">
        <v>4</v>
      </c>
      <c r="O48" s="126">
        <v>0.75</v>
      </c>
      <c r="P48" s="127">
        <v>1</v>
      </c>
      <c r="Q48" s="127">
        <v>355</v>
      </c>
      <c r="R48" s="157">
        <f t="shared" si="15"/>
        <v>167.2178913738019</v>
      </c>
      <c r="S48" s="127">
        <v>0</v>
      </c>
      <c r="T48" s="127">
        <v>22.131934999999999</v>
      </c>
      <c r="U48" s="127">
        <f>SQRT(R48^2+S48^2)</f>
        <v>167.2178913738019</v>
      </c>
      <c r="V48" s="128">
        <f t="shared" si="25"/>
        <v>155.50938135347079</v>
      </c>
      <c r="W48" s="128">
        <f t="shared" si="23"/>
        <v>159.26775107696398</v>
      </c>
      <c r="X48" s="128">
        <f t="shared" si="19"/>
        <v>355.36470384631622</v>
      </c>
      <c r="Y48" s="128">
        <f t="shared" si="20"/>
        <v>520.46831398368079</v>
      </c>
      <c r="Z48" s="130" t="e">
        <f t="shared" ca="1" si="21"/>
        <v>#NAME?</v>
      </c>
      <c r="AA48" s="131" t="e">
        <f t="shared" ca="1" si="22"/>
        <v>#NAME?</v>
      </c>
    </row>
    <row r="49" spans="1:27" ht="12" customHeight="1" x14ac:dyDescent="0.45">
      <c r="A49" s="133">
        <v>29</v>
      </c>
      <c r="B49" s="133" t="s">
        <v>240</v>
      </c>
      <c r="C49" s="134" t="s">
        <v>216</v>
      </c>
      <c r="D49" s="134"/>
      <c r="E49" s="135">
        <v>0.7</v>
      </c>
      <c r="F49" s="136">
        <v>0</v>
      </c>
      <c r="G49" s="136">
        <v>0</v>
      </c>
      <c r="H49" s="136">
        <v>0</v>
      </c>
      <c r="I49" s="136">
        <f t="shared" si="8"/>
        <v>131.18343999999999</v>
      </c>
      <c r="J49" s="136">
        <v>0</v>
      </c>
      <c r="K49" s="137">
        <f t="shared" si="24"/>
        <v>144.301784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161.98338658146963</v>
      </c>
      <c r="S49" s="136">
        <v>0</v>
      </c>
      <c r="T49" s="136">
        <v>102.8806201</v>
      </c>
      <c r="U49" s="136">
        <f t="shared" ref="U49:U54" si="26">SQRT(R49^2+S49^2-R49*S49+3*T49^2)</f>
        <v>240.81504003048357</v>
      </c>
      <c r="V49" s="137">
        <f t="shared" si="25"/>
        <v>81.912232696789118</v>
      </c>
      <c r="W49" s="137">
        <f t="shared" ref="W49:W54" si="27">0.577*SQRT((Q49/$F$7)^2-R49^2)</f>
        <v>161.0587522386017</v>
      </c>
      <c r="X49" s="137">
        <f t="shared" si="19"/>
        <v>411.05479802147443</v>
      </c>
      <c r="Y49" s="137">
        <f t="shared" si="20"/>
        <v>627.17019346055849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30</v>
      </c>
      <c r="B50" s="133" t="s">
        <v>242</v>
      </c>
      <c r="C50" s="134" t="s">
        <v>208</v>
      </c>
      <c r="D50" s="134"/>
      <c r="E50" s="135">
        <f>E49+0.7</f>
        <v>1.4</v>
      </c>
      <c r="F50" s="136">
        <v>0</v>
      </c>
      <c r="G50" s="136">
        <v>0</v>
      </c>
      <c r="H50" s="136">
        <v>0</v>
      </c>
      <c r="I50" s="136">
        <f t="shared" si="8"/>
        <v>124.14476499999999</v>
      </c>
      <c r="J50" s="136">
        <v>0</v>
      </c>
      <c r="K50" s="137">
        <f t="shared" si="24"/>
        <v>136.55924150000001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4</v>
      </c>
      <c r="O50" s="135">
        <v>0.7</v>
      </c>
      <c r="P50" s="136">
        <v>1</v>
      </c>
      <c r="Q50" s="136">
        <v>355</v>
      </c>
      <c r="R50" s="158">
        <f t="shared" si="15"/>
        <v>133.35718849840254</v>
      </c>
      <c r="S50" s="136">
        <v>0</v>
      </c>
      <c r="T50" s="136">
        <v>112.7872694</v>
      </c>
      <c r="U50" s="136">
        <f t="shared" si="26"/>
        <v>236.53127518432524</v>
      </c>
      <c r="V50" s="137">
        <f t="shared" si="25"/>
        <v>86.195997542947453</v>
      </c>
      <c r="W50" s="137">
        <f t="shared" si="27"/>
        <v>169.57199802305485</v>
      </c>
      <c r="X50" s="137">
        <f t="shared" si="19"/>
        <v>1478.6683337954482</v>
      </c>
      <c r="Y50" s="137">
        <f t="shared" si="20"/>
        <v>1127.4440375114702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31</v>
      </c>
      <c r="B51" s="133" t="s">
        <v>243</v>
      </c>
      <c r="C51" s="134" t="s">
        <v>208</v>
      </c>
      <c r="D51" s="134"/>
      <c r="E51" s="135">
        <f t="shared" ref="E51:E56" si="28">E50+0.7</f>
        <v>2.0999999999999996</v>
      </c>
      <c r="F51" s="136">
        <v>0</v>
      </c>
      <c r="G51" s="136">
        <v>0</v>
      </c>
      <c r="H51" s="136">
        <v>0</v>
      </c>
      <c r="I51" s="136">
        <f t="shared" si="8"/>
        <v>117.10608999999999</v>
      </c>
      <c r="J51" s="136">
        <v>0</v>
      </c>
      <c r="K51" s="137">
        <f t="shared" si="24"/>
        <v>128.816699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4</v>
      </c>
      <c r="O51" s="135">
        <v>0.7</v>
      </c>
      <c r="P51" s="136">
        <v>1</v>
      </c>
      <c r="Q51" s="136">
        <v>355</v>
      </c>
      <c r="R51" s="158">
        <f t="shared" si="15"/>
        <v>104.73099041533546</v>
      </c>
      <c r="S51" s="136">
        <v>0</v>
      </c>
      <c r="T51" s="136">
        <v>120.3313127</v>
      </c>
      <c r="U51" s="136">
        <f t="shared" si="26"/>
        <v>233.25405634563492</v>
      </c>
      <c r="V51" s="137">
        <f t="shared" si="25"/>
        <v>89.473216381637769</v>
      </c>
      <c r="W51" s="137">
        <f t="shared" si="27"/>
        <v>176.13562921595138</v>
      </c>
      <c r="X51" s="137">
        <f t="shared" si="19"/>
        <v>1343.7420037952359</v>
      </c>
      <c r="Y51" s="137">
        <f t="shared" si="20"/>
        <v>1023.8892574022584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32</v>
      </c>
      <c r="B52" s="133" t="s">
        <v>244</v>
      </c>
      <c r="C52" s="134" t="s">
        <v>208</v>
      </c>
      <c r="D52" s="134"/>
      <c r="E52" s="135">
        <f t="shared" si="28"/>
        <v>2.8</v>
      </c>
      <c r="F52" s="136">
        <v>0</v>
      </c>
      <c r="G52" s="136">
        <v>0</v>
      </c>
      <c r="H52" s="136">
        <v>0</v>
      </c>
      <c r="I52" s="136">
        <f t="shared" si="8"/>
        <v>110.067415</v>
      </c>
      <c r="J52" s="136">
        <v>0</v>
      </c>
      <c r="K52" s="137">
        <f t="shared" si="24"/>
        <v>121.0741565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4</v>
      </c>
      <c r="O52" s="135">
        <v>0.7</v>
      </c>
      <c r="P52" s="136">
        <v>1</v>
      </c>
      <c r="Q52" s="136">
        <v>355</v>
      </c>
      <c r="R52" s="158">
        <f t="shared" si="15"/>
        <v>76.10479233226836</v>
      </c>
      <c r="S52" s="136">
        <v>0</v>
      </c>
      <c r="T52" s="136">
        <v>125.68822489999999</v>
      </c>
      <c r="U52" s="136">
        <f t="shared" si="26"/>
        <v>230.61771192056483</v>
      </c>
      <c r="V52" s="137">
        <f t="shared" si="25"/>
        <v>92.109560806707862</v>
      </c>
      <c r="W52" s="137">
        <f t="shared" si="27"/>
        <v>180.96191248425694</v>
      </c>
      <c r="X52" s="137">
        <f t="shared" si="19"/>
        <v>1226.8275418640069</v>
      </c>
      <c r="Y52" s="137">
        <f t="shared" si="20"/>
        <v>936.68229282637719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33</v>
      </c>
      <c r="B53" s="133" t="s">
        <v>246</v>
      </c>
      <c r="C53" s="134" t="s">
        <v>258</v>
      </c>
      <c r="D53" s="134"/>
      <c r="E53" s="135">
        <f t="shared" si="28"/>
        <v>3.5</v>
      </c>
      <c r="F53" s="136">
        <v>0</v>
      </c>
      <c r="G53" s="136">
        <v>0</v>
      </c>
      <c r="H53" s="136">
        <v>0</v>
      </c>
      <c r="I53" s="136">
        <f t="shared" si="8"/>
        <v>103.02873999999998</v>
      </c>
      <c r="J53" s="136">
        <v>0</v>
      </c>
      <c r="K53" s="137">
        <f t="shared" si="24"/>
        <v>113.33161399999999</v>
      </c>
      <c r="L53" s="137" t="e" cm="1">
        <f t="array" aca="1" ref="L53" ca="1">Profile_SM(C53,O53*1000,12)/10^3</f>
        <v>#NAME?</v>
      </c>
      <c r="M53" s="137" t="e" cm="1">
        <f t="array" aca="1" ref="M53" ca="1">Profile_ShearArea(C53,O53,12)</f>
        <v>#NAME?</v>
      </c>
      <c r="N53" s="135">
        <v>4</v>
      </c>
      <c r="O53" s="135">
        <v>0.7</v>
      </c>
      <c r="P53" s="136">
        <v>1</v>
      </c>
      <c r="Q53" s="136">
        <v>355</v>
      </c>
      <c r="R53" s="158">
        <f t="shared" si="15"/>
        <v>47.478594249201265</v>
      </c>
      <c r="S53" s="136">
        <v>0</v>
      </c>
      <c r="T53" s="136">
        <v>130.1707069</v>
      </c>
      <c r="U53" s="136">
        <f t="shared" si="26"/>
        <v>230.40715205135757</v>
      </c>
      <c r="V53" s="137">
        <f t="shared" si="25"/>
        <v>92.320120675915121</v>
      </c>
      <c r="W53" s="137">
        <f t="shared" si="27"/>
        <v>184.18747021856072</v>
      </c>
      <c r="X53" s="137">
        <f t="shared" si="19"/>
        <v>1145.7542764484494</v>
      </c>
      <c r="Y53" s="137">
        <f t="shared" si="20"/>
        <v>861.4280841781781</v>
      </c>
      <c r="Z53" s="139" t="e">
        <f t="shared" ca="1" si="21"/>
        <v>#NAME?</v>
      </c>
      <c r="AA53" s="140" t="e">
        <f t="shared" ca="1" si="22"/>
        <v>#NAME?</v>
      </c>
    </row>
    <row r="54" spans="1:27" ht="12" customHeight="1" x14ac:dyDescent="0.45">
      <c r="A54" s="133">
        <v>34</v>
      </c>
      <c r="B54" s="133" t="s">
        <v>248</v>
      </c>
      <c r="C54" s="134" t="s">
        <v>258</v>
      </c>
      <c r="D54" s="134"/>
      <c r="E54" s="135">
        <f t="shared" si="28"/>
        <v>4.2</v>
      </c>
      <c r="F54" s="136">
        <v>0</v>
      </c>
      <c r="G54" s="136">
        <v>0</v>
      </c>
      <c r="H54" s="136">
        <v>0</v>
      </c>
      <c r="I54" s="136">
        <f t="shared" si="8"/>
        <v>95.990064999999987</v>
      </c>
      <c r="J54" s="136">
        <v>0</v>
      </c>
      <c r="K54" s="137">
        <f t="shared" si="24"/>
        <v>105.58907149999999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si="15"/>
        <v>18.852396166134159</v>
      </c>
      <c r="S54" s="136">
        <v>0</v>
      </c>
      <c r="T54" s="136">
        <v>131.4085092</v>
      </c>
      <c r="U54" s="136">
        <f t="shared" si="26"/>
        <v>228.38564252532234</v>
      </c>
      <c r="V54" s="137">
        <f t="shared" si="25"/>
        <v>94.341630201950352</v>
      </c>
      <c r="W54" s="137">
        <f t="shared" si="27"/>
        <v>185.89564579612693</v>
      </c>
      <c r="X54" s="137">
        <f t="shared" si="19"/>
        <v>1044.605651351457</v>
      </c>
      <c r="Y54" s="137">
        <f t="shared" si="20"/>
        <v>795.20259588070371</v>
      </c>
      <c r="Z54" s="139" t="e">
        <f t="shared" ca="1" si="21"/>
        <v>#NAME?</v>
      </c>
      <c r="AA54" s="140" t="e">
        <f t="shared" ca="1" si="22"/>
        <v>#NAME?</v>
      </c>
    </row>
    <row r="55" spans="1:27" ht="12" customHeight="1" x14ac:dyDescent="0.45">
      <c r="A55" s="133">
        <v>35</v>
      </c>
      <c r="B55" s="133" t="s">
        <v>249</v>
      </c>
      <c r="C55" s="134" t="s">
        <v>259</v>
      </c>
      <c r="D55" s="134"/>
      <c r="E55" s="135">
        <f t="shared" si="28"/>
        <v>4.9000000000000004</v>
      </c>
      <c r="F55" s="136">
        <v>0</v>
      </c>
      <c r="G55" s="136">
        <v>0</v>
      </c>
      <c r="H55" s="136">
        <v>0</v>
      </c>
      <c r="I55" s="136">
        <f t="shared" si="8"/>
        <v>88.951389999999989</v>
      </c>
      <c r="J55" s="136">
        <v>0</v>
      </c>
      <c r="K55" s="137">
        <f t="shared" si="24"/>
        <v>97.84652899999999</v>
      </c>
      <c r="L55" s="137"/>
      <c r="M55" s="137"/>
      <c r="N55" s="135"/>
      <c r="O55" s="135"/>
      <c r="P55" s="136"/>
      <c r="Q55" s="136"/>
      <c r="R55" s="158"/>
      <c r="S55" s="136"/>
      <c r="T55" s="136">
        <v>130.3439305</v>
      </c>
      <c r="U55" s="136"/>
      <c r="V55" s="137"/>
      <c r="W55" s="137"/>
      <c r="X55" s="137"/>
      <c r="Y55" s="137"/>
      <c r="Z55" s="139"/>
      <c r="AA55" s="140"/>
    </row>
    <row r="56" spans="1:27" ht="12" customHeight="1" x14ac:dyDescent="0.45">
      <c r="A56" s="133">
        <v>36</v>
      </c>
      <c r="B56" s="133" t="s">
        <v>250</v>
      </c>
      <c r="C56" s="134" t="s">
        <v>233</v>
      </c>
      <c r="D56" s="134"/>
      <c r="E56" s="135">
        <f t="shared" si="28"/>
        <v>5.6000000000000005</v>
      </c>
      <c r="F56" s="136">
        <v>0</v>
      </c>
      <c r="G56" s="136">
        <v>0</v>
      </c>
      <c r="H56" s="136">
        <v>0</v>
      </c>
      <c r="I56" s="136">
        <f t="shared" si="8"/>
        <v>81.912714999999992</v>
      </c>
      <c r="J56" s="136">
        <v>0</v>
      </c>
      <c r="K56" s="137">
        <f t="shared" si="24"/>
        <v>90.103986500000005</v>
      </c>
      <c r="L56" s="137" t="e" cm="1">
        <f t="array" aca="1" ref="L56" ca="1">Profile_SM(C56,O56*1000,12)/10^3</f>
        <v>#NAME?</v>
      </c>
      <c r="M56" s="137" t="e" cm="1">
        <f t="array" aca="1" ref="M56" ca="1">Profile_ShearArea(C56,O56,12)</f>
        <v>#NAME?</v>
      </c>
      <c r="N56" s="135">
        <v>4</v>
      </c>
      <c r="O56" s="135">
        <v>0.7</v>
      </c>
      <c r="P56" s="136">
        <v>1</v>
      </c>
      <c r="Q56" s="136">
        <v>355</v>
      </c>
      <c r="R56" s="158">
        <f t="shared" ref="R56:R59" si="29">$M$11/ABS(($M$12/(E56-$M$13)))/1000</f>
        <v>38.400000000000041</v>
      </c>
      <c r="S56" s="136">
        <v>0</v>
      </c>
      <c r="T56" s="136">
        <v>127.486794</v>
      </c>
      <c r="U56" s="136">
        <f t="shared" ref="U56:U59" si="30">SQRT(R56^2+S56^2-R56*S56+3*T56^2)</f>
        <v>224.12765990210872</v>
      </c>
      <c r="V56" s="137">
        <f t="shared" ref="V56:V59" si="31">(Q56/$F$7-U56)</f>
        <v>98.599612825163973</v>
      </c>
      <c r="W56" s="137">
        <f t="shared" ref="W56:W59" si="32">0.577*SQRT((Q56/$F$7)^2-R56^2)</f>
        <v>184.89076391623399</v>
      </c>
      <c r="X56" s="137">
        <f>N56^2*O56*K56*1000000/($F$8*V56*P56)/10^3</f>
        <v>852.91464800969209</v>
      </c>
      <c r="Y56" s="137">
        <f>N56*O56*K56*1000/(2*W56)</f>
        <v>682.27086322792798</v>
      </c>
      <c r="Z56" s="139" t="e">
        <f ca="1">IF(AND(L56&gt;=X56,M56&gt;=Y56),"OK","N.G")</f>
        <v>#NAME?</v>
      </c>
      <c r="AA56" s="140" t="e">
        <f ca="1">L56/X56</f>
        <v>#NAME?</v>
      </c>
    </row>
    <row r="57" spans="1:27" ht="12" customHeight="1" x14ac:dyDescent="0.45">
      <c r="A57" s="133">
        <v>37</v>
      </c>
      <c r="B57" s="133" t="s">
        <v>251</v>
      </c>
      <c r="C57" s="134" t="s">
        <v>233</v>
      </c>
      <c r="D57" s="134"/>
      <c r="E57" s="135">
        <v>6.65</v>
      </c>
      <c r="F57" s="136">
        <v>0</v>
      </c>
      <c r="G57" s="136">
        <v>0</v>
      </c>
      <c r="H57" s="136">
        <v>0</v>
      </c>
      <c r="I57" s="136">
        <f t="shared" si="8"/>
        <v>71.354702499999988</v>
      </c>
      <c r="J57" s="136">
        <v>0</v>
      </c>
      <c r="K57" s="137">
        <f t="shared" si="24"/>
        <v>78.490172749999999</v>
      </c>
      <c r="L57" s="137" t="e" cm="1">
        <f t="array" aca="1" ref="L57" ca="1">Profile_SM(C57,O57*1000,12)/10^3</f>
        <v>#NAME?</v>
      </c>
      <c r="M57" s="137" t="e" cm="1">
        <f t="array" aca="1" ref="M57" ca="1">Profile_ShearArea(C57,O57,12)</f>
        <v>#NAME?</v>
      </c>
      <c r="N57" s="135">
        <v>4</v>
      </c>
      <c r="O57" s="135">
        <v>0.7</v>
      </c>
      <c r="P57" s="136">
        <v>1</v>
      </c>
      <c r="Q57" s="136">
        <v>355</v>
      </c>
      <c r="R57" s="158">
        <f t="shared" si="29"/>
        <v>81.339297124600662</v>
      </c>
      <c r="S57" s="136">
        <v>0</v>
      </c>
      <c r="T57" s="136">
        <v>125.3</v>
      </c>
      <c r="U57" s="136">
        <f t="shared" si="30"/>
        <v>231.76788228036273</v>
      </c>
      <c r="V57" s="137">
        <f t="shared" si="31"/>
        <v>90.959390446909964</v>
      </c>
      <c r="W57" s="137">
        <f t="shared" si="32"/>
        <v>180.20220046117277</v>
      </c>
      <c r="X57" s="137">
        <f>N57^2*O57*K57*1000000/($F$8*V57*P57)/10^3</f>
        <v>805.3868237983047</v>
      </c>
      <c r="Y57" s="137">
        <f>N57*O57*K57*1000/(2*W57)</f>
        <v>609.79411776759412</v>
      </c>
      <c r="Z57" s="139" t="e">
        <f ca="1">IF(AND(L57&gt;=X57,M57&gt;=Y57),"OK","N.G")</f>
        <v>#NAME?</v>
      </c>
      <c r="AA57" s="140" t="e">
        <f ca="1">L57/X57</f>
        <v>#NAME?</v>
      </c>
    </row>
    <row r="58" spans="1:27" ht="12" customHeight="1" x14ac:dyDescent="0.45">
      <c r="A58" s="133">
        <v>38</v>
      </c>
      <c r="B58" s="133" t="s">
        <v>253</v>
      </c>
      <c r="C58" s="134" t="s">
        <v>233</v>
      </c>
      <c r="D58" s="134"/>
      <c r="E58" s="135">
        <v>7.35</v>
      </c>
      <c r="F58" s="136">
        <v>0</v>
      </c>
      <c r="G58" s="136">
        <v>0</v>
      </c>
      <c r="H58" s="136">
        <v>0</v>
      </c>
      <c r="I58" s="136">
        <f t="shared" si="8"/>
        <v>64.31602749999999</v>
      </c>
      <c r="J58" s="136">
        <v>0</v>
      </c>
      <c r="K58" s="137">
        <f t="shared" si="24"/>
        <v>70.74763025</v>
      </c>
      <c r="L58" s="137" t="e" cm="1">
        <f t="array" aca="1" ref="L58" ca="1">Profile_SM(C58,O58*1000,12)/10^3</f>
        <v>#NAME?</v>
      </c>
      <c r="M58" s="137" t="e" cm="1">
        <f t="array" aca="1" ref="M58" ca="1">Profile_ShearArea(C58,O58,12)</f>
        <v>#NAME?</v>
      </c>
      <c r="N58" s="135">
        <v>4</v>
      </c>
      <c r="O58" s="135">
        <v>0.7</v>
      </c>
      <c r="P58" s="136">
        <v>1</v>
      </c>
      <c r="Q58" s="136">
        <v>355</v>
      </c>
      <c r="R58" s="158">
        <f t="shared" si="29"/>
        <v>109.96549520766773</v>
      </c>
      <c r="S58" s="136">
        <v>0</v>
      </c>
      <c r="T58" s="136">
        <v>119.8</v>
      </c>
      <c r="U58" s="136">
        <f t="shared" si="30"/>
        <v>234.83724180007647</v>
      </c>
      <c r="V58" s="137">
        <f t="shared" si="31"/>
        <v>87.890030927196221</v>
      </c>
      <c r="W58" s="137">
        <f t="shared" si="32"/>
        <v>175.07028403904289</v>
      </c>
      <c r="X58" s="137">
        <f>N58^2*O58*K58*1000000/($F$8*V58*P58)/10^3</f>
        <v>751.29250576056347</v>
      </c>
      <c r="Y58" s="137">
        <f>N58*O58*K58*1000/(2*W58)</f>
        <v>565.75382220726476</v>
      </c>
      <c r="Z58" s="139" t="e">
        <f ca="1">IF(AND(L58&gt;=X58,M58&gt;=Y58),"OK","N.G")</f>
        <v>#NAME?</v>
      </c>
      <c r="AA58" s="140" t="e">
        <f ca="1">L58/X58</f>
        <v>#NAME?</v>
      </c>
    </row>
    <row r="59" spans="1:27" ht="12" customHeight="1" x14ac:dyDescent="0.45">
      <c r="A59" s="133">
        <v>39</v>
      </c>
      <c r="B59" s="133" t="s">
        <v>254</v>
      </c>
      <c r="C59" s="134" t="s">
        <v>245</v>
      </c>
      <c r="D59" s="134"/>
      <c r="E59" s="135">
        <v>8.0500000000000007</v>
      </c>
      <c r="F59" s="136">
        <v>0</v>
      </c>
      <c r="G59" s="136">
        <v>0</v>
      </c>
      <c r="H59" s="136">
        <v>0</v>
      </c>
      <c r="I59" s="136">
        <f t="shared" si="8"/>
        <v>57.277352499999985</v>
      </c>
      <c r="J59" s="136">
        <v>0</v>
      </c>
      <c r="K59" s="137">
        <f t="shared" si="24"/>
        <v>63.005087749999987</v>
      </c>
      <c r="L59" s="137" t="e" cm="1">
        <f t="array" aca="1" ref="L59" ca="1">Profile_SM(C59,O59*1000,12)/10^3</f>
        <v>#NAME?</v>
      </c>
      <c r="M59" s="137" t="e" cm="1">
        <f t="array" aca="1" ref="M59" ca="1">Profile_ShearArea(C59,O59,12)</f>
        <v>#NAME?</v>
      </c>
      <c r="N59" s="135">
        <v>4</v>
      </c>
      <c r="O59" s="135">
        <v>0.7</v>
      </c>
      <c r="P59" s="136">
        <v>1</v>
      </c>
      <c r="Q59" s="136">
        <v>355</v>
      </c>
      <c r="R59" s="158">
        <f t="shared" si="29"/>
        <v>138.59169329073487</v>
      </c>
      <c r="S59" s="136">
        <v>0</v>
      </c>
      <c r="T59" s="136">
        <v>112.5</v>
      </c>
      <c r="U59" s="136">
        <f t="shared" si="30"/>
        <v>239.11588706983298</v>
      </c>
      <c r="V59" s="137">
        <f t="shared" si="31"/>
        <v>83.611385657439712</v>
      </c>
      <c r="W59" s="137">
        <f t="shared" si="32"/>
        <v>168.16876101365011</v>
      </c>
      <c r="X59" s="137">
        <f>N59^2*O59*K59*1000000/($F$8*V59*P59)/10^3</f>
        <v>703.31029804472837</v>
      </c>
      <c r="Y59" s="137">
        <f>N59*O59*K59*1000/(2*W59)</f>
        <v>524.5155064372525</v>
      </c>
      <c r="Z59" s="139" t="e">
        <f ca="1">IF(AND(L59&gt;=X59,M59&gt;=Y59),"OK","N.G")</f>
        <v>#NAME?</v>
      </c>
      <c r="AA59" s="140" t="e">
        <f ca="1">L59/X59</f>
        <v>#NAME?</v>
      </c>
    </row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  <row r="103" ht="15" customHeight="1" x14ac:dyDescent="0.45"/>
    <row r="104" ht="15" customHeight="1" x14ac:dyDescent="0.45"/>
    <row r="105" ht="15" customHeight="1" x14ac:dyDescent="0.45"/>
    <row r="106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9">
    <cfRule type="cellIs" dxfId="3" priority="2" operator="equal">
      <formula>"N.G"</formula>
    </cfRule>
  </conditionalFormatting>
  <conditionalFormatting sqref="Y24:Y30">
    <cfRule type="cellIs" dxfId="2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DB2C1-1D6F-48CE-974F-26C1302463F2}">
  <sheetPr codeName="Sheet12"/>
  <dimension ref="A1:AC102"/>
  <sheetViews>
    <sheetView showGridLines="0" topLeftCell="A7" zoomScale="130" zoomScaleNormal="130" workbookViewId="0">
      <selection activeCell="K7" sqref="K7"/>
    </sheetView>
  </sheetViews>
  <sheetFormatPr defaultColWidth="5.33203125" defaultRowHeight="12" customHeight="1" x14ac:dyDescent="0.45"/>
  <cols>
    <col min="1" max="2" width="5.33203125" style="4"/>
    <col min="3" max="3" width="6.33203125" style="4" bestFit="1" customWidth="1"/>
    <col min="4" max="4" width="6" style="4" bestFit="1" customWidth="1"/>
    <col min="5" max="19" width="6.25" style="4" customWidth="1"/>
    <col min="20" max="16384" width="5.33203125" style="4"/>
  </cols>
  <sheetData>
    <row r="1" spans="1:29" ht="12" customHeight="1" x14ac:dyDescent="0.45">
      <c r="A1" s="67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72"/>
    </row>
    <row r="2" spans="1:29" ht="12" customHeight="1" x14ac:dyDescent="0.45">
      <c r="A2" s="69"/>
      <c r="N2" s="73"/>
    </row>
    <row r="3" spans="1:29" ht="12" customHeight="1" x14ac:dyDescent="0.45">
      <c r="A3" s="69"/>
      <c r="N3" s="73"/>
    </row>
    <row r="4" spans="1:29" ht="12" customHeight="1" x14ac:dyDescent="0.45">
      <c r="A4" s="69"/>
      <c r="F4" s="192" t="s">
        <v>184</v>
      </c>
      <c r="G4" s="192"/>
      <c r="H4" s="192"/>
      <c r="I4" s="192"/>
      <c r="J4" s="192"/>
      <c r="K4" s="192"/>
      <c r="L4" s="192"/>
      <c r="M4" s="192"/>
      <c r="N4" s="193"/>
    </row>
    <row r="5" spans="1:29" ht="12" customHeight="1" thickBot="1" x14ac:dyDescent="0.5">
      <c r="A5" s="70"/>
      <c r="B5" s="71"/>
      <c r="C5" s="71"/>
      <c r="D5" s="71"/>
      <c r="E5" s="71"/>
      <c r="F5" s="194"/>
      <c r="G5" s="194"/>
      <c r="H5" s="194"/>
      <c r="I5" s="194"/>
      <c r="J5" s="194"/>
      <c r="K5" s="194"/>
      <c r="L5" s="194"/>
      <c r="M5" s="194"/>
      <c r="N5" s="195"/>
    </row>
    <row r="7" spans="1:29" ht="12" customHeight="1" x14ac:dyDescent="0.45">
      <c r="A7" s="4" t="s">
        <v>65</v>
      </c>
      <c r="C7" s="6"/>
      <c r="D7" s="6"/>
      <c r="E7" s="7" t="s">
        <v>66</v>
      </c>
      <c r="F7" s="8">
        <v>1.1000000000000001</v>
      </c>
      <c r="G7" s="9"/>
      <c r="AB7" s="4">
        <v>54</v>
      </c>
    </row>
    <row r="8" spans="1:29" ht="12" customHeight="1" x14ac:dyDescent="0.45">
      <c r="A8" s="4" t="s">
        <v>185</v>
      </c>
      <c r="C8" s="6"/>
      <c r="D8" s="6"/>
      <c r="E8" s="7" t="s">
        <v>186</v>
      </c>
      <c r="F8" s="8">
        <v>12</v>
      </c>
      <c r="G8" s="9"/>
      <c r="AB8" s="4">
        <v>0</v>
      </c>
      <c r="AC8" s="4">
        <f>0.07*1.025*9.81*$AB$7</f>
        <v>38.008845000000001</v>
      </c>
    </row>
    <row r="9" spans="1:29" ht="12" customHeight="1" x14ac:dyDescent="0.45">
      <c r="A9" s="4" t="s">
        <v>187</v>
      </c>
      <c r="E9" s="10" t="s">
        <v>188</v>
      </c>
      <c r="F9" s="11">
        <v>1</v>
      </c>
      <c r="G9" s="9"/>
      <c r="AB9" s="4">
        <v>1</v>
      </c>
      <c r="AC9" s="4">
        <f t="shared" ref="AC9:AC11" si="0">0.07*1.025*9.81*$AB$7</f>
        <v>38.008845000000001</v>
      </c>
    </row>
    <row r="10" spans="1:29" ht="12" customHeight="1" x14ac:dyDescent="0.45">
      <c r="A10" s="4" t="s">
        <v>189</v>
      </c>
      <c r="E10" s="10" t="s">
        <v>190</v>
      </c>
      <c r="F10" s="66">
        <v>10.5</v>
      </c>
      <c r="G10" s="9"/>
      <c r="I10" s="108" t="s">
        <v>74</v>
      </c>
      <c r="AB10" s="4">
        <v>2</v>
      </c>
      <c r="AC10" s="4">
        <f t="shared" si="0"/>
        <v>38.008845000000001</v>
      </c>
    </row>
    <row r="11" spans="1:29" ht="12" customHeight="1" x14ac:dyDescent="0.45">
      <c r="A11" s="77" t="s">
        <v>70</v>
      </c>
      <c r="B11" s="77"/>
      <c r="C11" s="77"/>
      <c r="D11" s="77"/>
      <c r="E11" s="141" t="s">
        <v>191</v>
      </c>
      <c r="F11" s="149">
        <v>4.29</v>
      </c>
      <c r="G11" s="152" t="s">
        <v>37</v>
      </c>
      <c r="I11" s="4" t="s">
        <v>78</v>
      </c>
      <c r="M11" s="4">
        <v>387000</v>
      </c>
      <c r="N11" s="5" t="s">
        <v>79</v>
      </c>
      <c r="AB11" s="4">
        <v>3</v>
      </c>
      <c r="AC11" s="4">
        <f t="shared" si="0"/>
        <v>38.008845000000001</v>
      </c>
    </row>
    <row r="12" spans="1:29" ht="12" customHeight="1" x14ac:dyDescent="0.45">
      <c r="A12" s="77" t="s">
        <v>72</v>
      </c>
      <c r="B12" s="77"/>
      <c r="C12" s="77"/>
      <c r="D12" s="77"/>
      <c r="E12" s="141"/>
      <c r="F12" s="149">
        <v>10.5</v>
      </c>
      <c r="G12" s="152" t="s">
        <v>77</v>
      </c>
      <c r="I12" s="4" t="s">
        <v>82</v>
      </c>
      <c r="M12" s="4">
        <v>7.7107999999999999</v>
      </c>
      <c r="N12" s="5" t="s">
        <v>83</v>
      </c>
      <c r="AB12" s="4">
        <v>4.29</v>
      </c>
      <c r="AC12" s="4">
        <f>0.07*1.025*9.81*$AB$7</f>
        <v>38.008845000000001</v>
      </c>
    </row>
    <row r="13" spans="1:29" ht="12" customHeight="1" x14ac:dyDescent="0.45">
      <c r="A13" s="77" t="s">
        <v>75</v>
      </c>
      <c r="B13" s="77"/>
      <c r="C13" s="77"/>
      <c r="D13" s="77"/>
      <c r="E13" s="141" t="s">
        <v>76</v>
      </c>
      <c r="F13" s="154">
        <v>10.46</v>
      </c>
      <c r="G13" s="153"/>
      <c r="I13" s="4" t="s">
        <v>86</v>
      </c>
      <c r="M13" s="76">
        <v>3.6779999999999999</v>
      </c>
      <c r="N13" s="5" t="s">
        <v>87</v>
      </c>
      <c r="AB13" s="4">
        <v>5</v>
      </c>
      <c r="AC13" s="4">
        <f>1.025*9.81*(4.29+0.07*$AB$7-AB13)</f>
        <v>30.8696175</v>
      </c>
    </row>
    <row r="14" spans="1:29" ht="12" customHeight="1" x14ac:dyDescent="0.45">
      <c r="A14" s="77" t="s">
        <v>80</v>
      </c>
      <c r="B14" s="142"/>
      <c r="C14" s="142"/>
      <c r="D14" s="142"/>
      <c r="E14" s="143" t="s">
        <v>192</v>
      </c>
      <c r="F14" s="155">
        <f>2*PI()/F13</f>
        <v>0.60068693185273281</v>
      </c>
      <c r="G14" s="152" t="s">
        <v>37</v>
      </c>
      <c r="AB14" s="4">
        <v>6</v>
      </c>
      <c r="AC14" s="4">
        <f t="shared" ref="AC14:AC16" si="1">1.025*9.81*(4.29+0.07*$AB$7-AB14)</f>
        <v>20.814367499999999</v>
      </c>
    </row>
    <row r="15" spans="1:29" ht="12" customHeight="1" x14ac:dyDescent="0.45">
      <c r="A15" s="77" t="s">
        <v>84</v>
      </c>
      <c r="B15" s="77"/>
      <c r="C15" s="77"/>
      <c r="D15" s="77"/>
      <c r="E15" s="143" t="s">
        <v>193</v>
      </c>
      <c r="F15" s="148">
        <v>54</v>
      </c>
      <c r="G15" s="152"/>
      <c r="I15" s="4" t="s">
        <v>92</v>
      </c>
      <c r="M15" s="4">
        <v>37600</v>
      </c>
      <c r="N15" s="5" t="s">
        <v>93</v>
      </c>
      <c r="AB15" s="4">
        <v>7</v>
      </c>
      <c r="AC15" s="4">
        <f t="shared" si="1"/>
        <v>10.759117500000002</v>
      </c>
    </row>
    <row r="16" spans="1:29" ht="12" customHeight="1" x14ac:dyDescent="0.45">
      <c r="A16" s="77" t="s">
        <v>88</v>
      </c>
      <c r="B16" s="77"/>
      <c r="C16" s="77"/>
      <c r="D16" s="77"/>
      <c r="E16" s="141" t="s">
        <v>89</v>
      </c>
      <c r="F16" s="149">
        <f>2*PI()/F15</f>
        <v>0.11635528346628864</v>
      </c>
      <c r="G16" s="152" t="s">
        <v>37</v>
      </c>
      <c r="AB16" s="4">
        <v>8</v>
      </c>
      <c r="AC16" s="4">
        <f t="shared" si="1"/>
        <v>0.70386750000000275</v>
      </c>
    </row>
    <row r="17" spans="1:28" ht="12" customHeight="1" x14ac:dyDescent="0.45">
      <c r="A17" s="77"/>
      <c r="B17" s="77"/>
      <c r="C17" s="77"/>
      <c r="D17" s="77"/>
      <c r="E17" s="144"/>
      <c r="F17" s="155"/>
      <c r="G17" s="152"/>
      <c r="N17" s="5"/>
      <c r="AB17" s="4">
        <v>9</v>
      </c>
    </row>
    <row r="18" spans="1:28" ht="12" customHeight="1" x14ac:dyDescent="0.45">
      <c r="A18" s="4" t="s">
        <v>94</v>
      </c>
      <c r="E18" s="14" t="s">
        <v>95</v>
      </c>
      <c r="F18" s="15">
        <v>1.35</v>
      </c>
      <c r="G18" s="54"/>
      <c r="Q18" s="159"/>
      <c r="R18" s="159"/>
      <c r="AB18" s="4">
        <v>10.5</v>
      </c>
    </row>
    <row r="19" spans="1:28" ht="12" customHeight="1" x14ac:dyDescent="0.45">
      <c r="A19" s="4" t="s">
        <v>96</v>
      </c>
      <c r="E19" s="14" t="s">
        <v>95</v>
      </c>
      <c r="F19" s="15">
        <v>1.1000000000000001</v>
      </c>
      <c r="G19" s="5"/>
      <c r="Q19" s="159"/>
    </row>
    <row r="20" spans="1:28" ht="12" customHeight="1" x14ac:dyDescent="0.45">
      <c r="E20" s="14"/>
      <c r="F20" s="37"/>
      <c r="G20" s="5"/>
    </row>
    <row r="21" spans="1:28" ht="12" customHeight="1" x14ac:dyDescent="0.45">
      <c r="F21" s="4" t="s">
        <v>98</v>
      </c>
      <c r="O21" s="5"/>
      <c r="P21" s="53"/>
      <c r="V21" s="74"/>
    </row>
    <row r="22" spans="1:28" ht="12" customHeight="1" x14ac:dyDescent="0.45">
      <c r="A22" s="196"/>
      <c r="B22" s="196"/>
      <c r="C22" s="196"/>
      <c r="D22" s="196"/>
      <c r="E22" s="61" t="s">
        <v>102</v>
      </c>
      <c r="F22" s="62" t="s">
        <v>103</v>
      </c>
      <c r="G22" s="62" t="s">
        <v>104</v>
      </c>
      <c r="H22" s="50" t="s">
        <v>105</v>
      </c>
      <c r="I22" s="50" t="s">
        <v>106</v>
      </c>
      <c r="J22" s="50" t="s">
        <v>107</v>
      </c>
      <c r="K22" s="61" t="s">
        <v>108</v>
      </c>
      <c r="L22" s="61" t="s">
        <v>194</v>
      </c>
      <c r="M22" s="61" t="s">
        <v>195</v>
      </c>
      <c r="N22" s="62" t="s">
        <v>196</v>
      </c>
      <c r="O22" s="62" t="s">
        <v>197</v>
      </c>
      <c r="P22" s="62" t="s">
        <v>198</v>
      </c>
      <c r="Q22" s="62" t="s">
        <v>199</v>
      </c>
      <c r="R22" s="62" t="s">
        <v>115</v>
      </c>
      <c r="S22" s="62" t="s">
        <v>116</v>
      </c>
      <c r="T22" s="62" t="s">
        <v>200</v>
      </c>
      <c r="U22" s="62" t="s">
        <v>118</v>
      </c>
      <c r="V22" s="62" t="s">
        <v>201</v>
      </c>
      <c r="W22" s="62" t="s">
        <v>202</v>
      </c>
      <c r="X22" s="50" t="s">
        <v>203</v>
      </c>
      <c r="Y22" s="50" t="s">
        <v>204</v>
      </c>
      <c r="Z22" s="196" t="s">
        <v>124</v>
      </c>
      <c r="AA22" s="50"/>
    </row>
    <row r="23" spans="1:28" ht="12" customHeight="1" x14ac:dyDescent="0.45">
      <c r="A23" s="196"/>
      <c r="B23" s="196"/>
      <c r="C23" s="196"/>
      <c r="D23" s="196"/>
      <c r="E23" s="61" t="s">
        <v>87</v>
      </c>
      <c r="F23" s="63" t="s">
        <v>126</v>
      </c>
      <c r="G23" s="63" t="s">
        <v>126</v>
      </c>
      <c r="H23" s="50" t="s">
        <v>127</v>
      </c>
      <c r="I23" s="50" t="s">
        <v>128</v>
      </c>
      <c r="J23" s="50" t="s">
        <v>127</v>
      </c>
      <c r="K23" s="50" t="s">
        <v>127</v>
      </c>
      <c r="L23" s="50" t="s">
        <v>205</v>
      </c>
      <c r="M23" s="50" t="s">
        <v>206</v>
      </c>
      <c r="N23" s="50" t="s">
        <v>37</v>
      </c>
      <c r="O23" s="50" t="s">
        <v>37</v>
      </c>
      <c r="P23" s="63"/>
      <c r="Q23" s="50" t="s">
        <v>126</v>
      </c>
      <c r="R23" s="50" t="s">
        <v>126</v>
      </c>
      <c r="S23" s="50" t="s">
        <v>126</v>
      </c>
      <c r="T23" s="50" t="s">
        <v>126</v>
      </c>
      <c r="U23" s="50" t="s">
        <v>126</v>
      </c>
      <c r="V23" s="50" t="s">
        <v>126</v>
      </c>
      <c r="W23" s="50" t="s">
        <v>126</v>
      </c>
      <c r="X23" s="50" t="s">
        <v>205</v>
      </c>
      <c r="Y23" s="50" t="s">
        <v>206</v>
      </c>
      <c r="Z23" s="196"/>
      <c r="AA23" s="50"/>
    </row>
    <row r="24" spans="1:28" ht="12" customHeight="1" x14ac:dyDescent="0.45">
      <c r="A24" s="92">
        <v>1</v>
      </c>
      <c r="B24" s="92" t="s">
        <v>207</v>
      </c>
      <c r="C24" s="115" t="s">
        <v>260</v>
      </c>
      <c r="D24" s="115"/>
      <c r="E24" s="116">
        <v>0</v>
      </c>
      <c r="F24" s="96">
        <v>0</v>
      </c>
      <c r="G24" s="96">
        <v>0</v>
      </c>
      <c r="H24" s="96">
        <v>0</v>
      </c>
      <c r="I24" s="96">
        <f>1.025*9.81*(($F$10+0.76)-E24)+25</f>
        <v>138.22211499999997</v>
      </c>
      <c r="J24" s="96">
        <v>0</v>
      </c>
      <c r="K24" s="93">
        <f>I24*$F$19+J24*$F$18</f>
        <v>152.04432649999998</v>
      </c>
      <c r="L24" s="93" t="e" cm="1">
        <f t="array" aca="1" ref="L24" ca="1">Profile_SM(C24,O24*1000,12)/10^3</f>
        <v>#NAME?</v>
      </c>
      <c r="M24" s="93" t="e" cm="1">
        <f t="array" aca="1" ref="M24" ca="1">Profile_ShearArea(C24,O24,12)</f>
        <v>#NAME?</v>
      </c>
      <c r="N24" s="116">
        <v>2</v>
      </c>
      <c r="O24" s="116">
        <v>0.75</v>
      </c>
      <c r="P24" s="96">
        <v>1</v>
      </c>
      <c r="Q24" s="96">
        <v>355</v>
      </c>
      <c r="R24" s="96">
        <f>$M$11/ABS(($M$12/(E24-$M$13)))/1000</f>
        <v>184.5964102298075</v>
      </c>
      <c r="S24" s="96">
        <v>0</v>
      </c>
      <c r="T24" s="96">
        <v>78.709809699999994</v>
      </c>
      <c r="U24" s="96">
        <f>SQRT(R24^2+S24^2-R24*S24+3*T24^2)</f>
        <v>229.48101685926449</v>
      </c>
      <c r="V24" s="93">
        <f t="shared" ref="V24:V29" si="2">(Q24/$F$7-U24)</f>
        <v>93.246255868008205</v>
      </c>
      <c r="W24" s="93">
        <f>0.577*SQRT((Q24/$F$7)^2-R24^2)</f>
        <v>152.74385358177128</v>
      </c>
      <c r="X24" s="93">
        <f t="shared" ref="X24:X36" si="3">N24^2*O24*K24*1000000/($F$8*V24*P24)/10^3</f>
        <v>407.64190766871525</v>
      </c>
      <c r="Y24" s="93">
        <f t="shared" ref="Y24:Y36" si="4">N24*O24*K24*1000/(2*W24)</f>
        <v>746.5651952662854</v>
      </c>
      <c r="Z24" s="117" t="e">
        <f t="shared" ref="Z24:Z36" ca="1" si="5">IF(AND(L24&gt;=X24,M24&gt;=Y24),"OK","N.G")</f>
        <v>#NAME?</v>
      </c>
      <c r="AA24" s="118" t="e">
        <f t="shared" ref="AA24:AA36" ca="1" si="6">L24/X24</f>
        <v>#NAME?</v>
      </c>
    </row>
    <row r="25" spans="1:28" ht="12" customHeight="1" x14ac:dyDescent="0.45">
      <c r="A25" s="92">
        <v>2</v>
      </c>
      <c r="B25" s="92" t="s">
        <v>209</v>
      </c>
      <c r="C25" s="115" t="s">
        <v>208</v>
      </c>
      <c r="D25" s="115"/>
      <c r="E25" s="116">
        <v>0</v>
      </c>
      <c r="F25" s="96">
        <v>0</v>
      </c>
      <c r="G25" s="96">
        <v>0</v>
      </c>
      <c r="H25" s="96">
        <v>0</v>
      </c>
      <c r="I25" s="96">
        <f t="shared" ref="I25:I55" si="7">1.025*9.81*(($F$10+0.76)-E25)+25</f>
        <v>138.22211499999997</v>
      </c>
      <c r="J25" s="96">
        <v>0</v>
      </c>
      <c r="K25" s="93">
        <f t="shared" ref="K25:K39" si="8">I25*$F$19+J25*$F$18</f>
        <v>152.04432649999998</v>
      </c>
      <c r="L25" s="93" t="e" cm="1">
        <f t="array" aca="1" ref="L25" ca="1">Profile_SM(C25,O25*1000,12)/10^3</f>
        <v>#NAME?</v>
      </c>
      <c r="M25" s="93" t="e" cm="1">
        <f t="array" aca="1" ref="M25" ca="1">Profile_ShearArea(C25,O25,12)</f>
        <v>#NAME?</v>
      </c>
      <c r="N25" s="116">
        <v>4</v>
      </c>
      <c r="O25" s="116">
        <v>0.75</v>
      </c>
      <c r="P25" s="96">
        <v>1</v>
      </c>
      <c r="Q25" s="96">
        <v>355</v>
      </c>
      <c r="R25" s="96">
        <f t="shared" ref="R25:R29" si="9">$M$11/ABS(($M$12/(E25-$M$13)))/1000</f>
        <v>184.5964102298075</v>
      </c>
      <c r="S25" s="96">
        <v>0</v>
      </c>
      <c r="T25" s="96">
        <v>53.96938651</v>
      </c>
      <c r="U25" s="96">
        <f t="shared" ref="U25:U36" si="10">SQRT(R25^2+S25^2-R25*S25+3*T25^2)</f>
        <v>206.91524523468223</v>
      </c>
      <c r="V25" s="93">
        <f t="shared" si="2"/>
        <v>115.81202749259046</v>
      </c>
      <c r="W25" s="93">
        <f t="shared" ref="W25:W36" si="11">0.577*SQRT((Q25/$F$7)^2-R25^2)</f>
        <v>152.74385358177128</v>
      </c>
      <c r="X25" s="93">
        <f t="shared" si="3"/>
        <v>1312.8543709307535</v>
      </c>
      <c r="Y25" s="93">
        <f t="shared" si="4"/>
        <v>1493.1303905325708</v>
      </c>
      <c r="Z25" s="117" t="e">
        <f t="shared" ca="1" si="5"/>
        <v>#NAME?</v>
      </c>
      <c r="AA25" s="118" t="e">
        <f t="shared" ca="1" si="6"/>
        <v>#NAME?</v>
      </c>
    </row>
    <row r="26" spans="1:28" ht="12" customHeight="1" x14ac:dyDescent="0.45">
      <c r="A26" s="92">
        <v>3</v>
      </c>
      <c r="B26" s="92" t="s">
        <v>210</v>
      </c>
      <c r="C26" s="115" t="s">
        <v>208</v>
      </c>
      <c r="D26" s="115"/>
      <c r="E26" s="116">
        <v>0</v>
      </c>
      <c r="F26" s="96">
        <v>0</v>
      </c>
      <c r="G26" s="96">
        <v>0</v>
      </c>
      <c r="H26" s="96">
        <v>0</v>
      </c>
      <c r="I26" s="96">
        <f t="shared" si="7"/>
        <v>138.22211499999997</v>
      </c>
      <c r="J26" s="96">
        <v>0</v>
      </c>
      <c r="K26" s="93">
        <f t="shared" si="8"/>
        <v>152.04432649999998</v>
      </c>
      <c r="L26" s="93" t="e" cm="1">
        <f t="array" aca="1" ref="L26" ca="1">Profile_SM(C26,O26*1000,12)/10^3</f>
        <v>#NAME?</v>
      </c>
      <c r="M26" s="93" t="e" cm="1">
        <f t="array" aca="1" ref="M26" ca="1">Profile_ShearArea(C26,O26,12)</f>
        <v>#NAME?</v>
      </c>
      <c r="N26" s="116">
        <v>4</v>
      </c>
      <c r="O26" s="116">
        <v>0.75</v>
      </c>
      <c r="P26" s="96">
        <v>1</v>
      </c>
      <c r="Q26" s="96">
        <v>355</v>
      </c>
      <c r="R26" s="96">
        <f t="shared" si="9"/>
        <v>184.5964102298075</v>
      </c>
      <c r="S26" s="96">
        <v>0</v>
      </c>
      <c r="T26" s="96">
        <v>29.228963319999998</v>
      </c>
      <c r="U26" s="96">
        <f t="shared" si="10"/>
        <v>191.4127257002969</v>
      </c>
      <c r="V26" s="93">
        <f t="shared" si="2"/>
        <v>131.31454702697579</v>
      </c>
      <c r="W26" s="93">
        <f t="shared" si="11"/>
        <v>152.74385358177128</v>
      </c>
      <c r="X26" s="93">
        <f t="shared" si="3"/>
        <v>1157.8635417199109</v>
      </c>
      <c r="Y26" s="93">
        <f t="shared" si="4"/>
        <v>1493.1303905325708</v>
      </c>
      <c r="Z26" s="117" t="e">
        <f t="shared" ca="1" si="5"/>
        <v>#NAME?</v>
      </c>
      <c r="AA26" s="118" t="e">
        <f t="shared" ca="1" si="6"/>
        <v>#NAME?</v>
      </c>
    </row>
    <row r="27" spans="1:28" ht="12" customHeight="1" x14ac:dyDescent="0.45">
      <c r="A27" s="92">
        <v>4</v>
      </c>
      <c r="B27" s="92" t="s">
        <v>211</v>
      </c>
      <c r="C27" s="115" t="s">
        <v>208</v>
      </c>
      <c r="D27" s="115"/>
      <c r="E27" s="116">
        <v>0</v>
      </c>
      <c r="F27" s="96">
        <v>0</v>
      </c>
      <c r="G27" s="96">
        <v>0</v>
      </c>
      <c r="H27" s="96">
        <v>0</v>
      </c>
      <c r="I27" s="96">
        <f t="shared" si="7"/>
        <v>138.22211499999997</v>
      </c>
      <c r="J27" s="96">
        <v>0</v>
      </c>
      <c r="K27" s="93">
        <f t="shared" si="8"/>
        <v>152.04432649999998</v>
      </c>
      <c r="L27" s="93" t="e" cm="1">
        <f t="array" aca="1" ref="L27" ca="1">Profile_SM(C27,O27*1000,12)/10^3</f>
        <v>#NAME?</v>
      </c>
      <c r="M27" s="93" t="e" cm="1">
        <f t="array" aca="1" ref="M27" ca="1">Profile_ShearArea(C27,O27,12)</f>
        <v>#NAME?</v>
      </c>
      <c r="N27" s="116">
        <v>4</v>
      </c>
      <c r="O27" s="116">
        <v>0.75</v>
      </c>
      <c r="P27" s="96">
        <v>1</v>
      </c>
      <c r="Q27" s="96">
        <v>355</v>
      </c>
      <c r="R27" s="96">
        <f t="shared" si="9"/>
        <v>184.5964102298075</v>
      </c>
      <c r="S27" s="96">
        <v>0</v>
      </c>
      <c r="T27" s="96">
        <v>5.9551003209999998</v>
      </c>
      <c r="U27" s="96">
        <f t="shared" si="10"/>
        <v>184.88435393302188</v>
      </c>
      <c r="V27" s="93">
        <f t="shared" si="2"/>
        <v>137.84291879425081</v>
      </c>
      <c r="W27" s="93">
        <f t="shared" si="11"/>
        <v>152.74385358177128</v>
      </c>
      <c r="X27" s="93">
        <f t="shared" si="3"/>
        <v>1103.0260228814996</v>
      </c>
      <c r="Y27" s="93">
        <f t="shared" si="4"/>
        <v>1493.1303905325708</v>
      </c>
      <c r="Z27" s="117" t="e">
        <f t="shared" ca="1" si="5"/>
        <v>#NAME?</v>
      </c>
      <c r="AA27" s="118" t="e">
        <f t="shared" ca="1" si="6"/>
        <v>#NAME?</v>
      </c>
    </row>
    <row r="28" spans="1:28" ht="12" customHeight="1" x14ac:dyDescent="0.45">
      <c r="A28" s="92">
        <v>5</v>
      </c>
      <c r="B28" s="92" t="s">
        <v>212</v>
      </c>
      <c r="C28" s="115" t="s">
        <v>208</v>
      </c>
      <c r="D28" s="115"/>
      <c r="E28" s="116">
        <v>0</v>
      </c>
      <c r="F28" s="96">
        <v>0</v>
      </c>
      <c r="G28" s="96">
        <v>0</v>
      </c>
      <c r="H28" s="96">
        <v>0</v>
      </c>
      <c r="I28" s="96">
        <f t="shared" si="7"/>
        <v>138.22211499999997</v>
      </c>
      <c r="J28" s="96">
        <v>0</v>
      </c>
      <c r="K28" s="93">
        <f t="shared" si="8"/>
        <v>152.04432649999998</v>
      </c>
      <c r="L28" s="93" t="e" cm="1">
        <f t="array" aca="1" ref="L28" ca="1">Profile_SM(C28,O28*1000,12)/10^3</f>
        <v>#NAME?</v>
      </c>
      <c r="M28" s="93" t="e" cm="1">
        <f t="array" aca="1" ref="M28" ca="1">Profile_ShearArea(C28,O28,12)</f>
        <v>#NAME?</v>
      </c>
      <c r="N28" s="116">
        <v>4</v>
      </c>
      <c r="O28" s="116">
        <v>0.75</v>
      </c>
      <c r="P28" s="96">
        <v>1</v>
      </c>
      <c r="Q28" s="96">
        <v>355</v>
      </c>
      <c r="R28" s="96">
        <f t="shared" si="9"/>
        <v>184.5964102298075</v>
      </c>
      <c r="S28" s="96">
        <v>0</v>
      </c>
      <c r="T28" s="96">
        <v>30.695523510000001</v>
      </c>
      <c r="U28" s="96">
        <f t="shared" si="10"/>
        <v>192.10018261415129</v>
      </c>
      <c r="V28" s="93">
        <f t="shared" si="2"/>
        <v>130.6270901131214</v>
      </c>
      <c r="W28" s="93">
        <f t="shared" si="11"/>
        <v>152.74385358177128</v>
      </c>
      <c r="X28" s="93">
        <f t="shared" si="3"/>
        <v>1163.9570809418744</v>
      </c>
      <c r="Y28" s="93">
        <f t="shared" si="4"/>
        <v>1493.1303905325708</v>
      </c>
      <c r="Z28" s="117" t="e">
        <f t="shared" ca="1" si="5"/>
        <v>#NAME?</v>
      </c>
      <c r="AA28" s="118" t="e">
        <f t="shared" ca="1" si="6"/>
        <v>#NAME?</v>
      </c>
    </row>
    <row r="29" spans="1:28" ht="12" customHeight="1" x14ac:dyDescent="0.45">
      <c r="A29" s="92">
        <v>6</v>
      </c>
      <c r="B29" s="92" t="s">
        <v>213</v>
      </c>
      <c r="C29" s="115" t="s">
        <v>208</v>
      </c>
      <c r="D29" s="115"/>
      <c r="E29" s="116">
        <v>0</v>
      </c>
      <c r="F29" s="96">
        <v>0</v>
      </c>
      <c r="G29" s="96">
        <v>0</v>
      </c>
      <c r="H29" s="96">
        <v>0</v>
      </c>
      <c r="I29" s="96">
        <f t="shared" si="7"/>
        <v>138.22211499999997</v>
      </c>
      <c r="J29" s="96">
        <v>0</v>
      </c>
      <c r="K29" s="93">
        <f t="shared" si="8"/>
        <v>152.04432649999998</v>
      </c>
      <c r="L29" s="93" t="e" cm="1">
        <f t="array" aca="1" ref="L29" ca="1">Profile_SM(C29,O29*1000,12)/10^3</f>
        <v>#NAME?</v>
      </c>
      <c r="M29" s="93" t="e" cm="1">
        <f t="array" aca="1" ref="M29" ca="1">Profile_ShearArea(C29,O29,12)</f>
        <v>#NAME?</v>
      </c>
      <c r="N29" s="116">
        <v>4</v>
      </c>
      <c r="O29" s="116">
        <v>0.75</v>
      </c>
      <c r="P29" s="96">
        <v>1</v>
      </c>
      <c r="Q29" s="96">
        <v>355</v>
      </c>
      <c r="R29" s="96">
        <f t="shared" si="9"/>
        <v>184.5964102298075</v>
      </c>
      <c r="S29" s="96">
        <v>0</v>
      </c>
      <c r="T29" s="96">
        <v>55.435946700000002</v>
      </c>
      <c r="U29" s="96">
        <f t="shared" si="10"/>
        <v>208.07514803384643</v>
      </c>
      <c r="V29" s="93">
        <f t="shared" si="2"/>
        <v>114.65212469342626</v>
      </c>
      <c r="W29" s="93">
        <f t="shared" si="11"/>
        <v>152.74385358177128</v>
      </c>
      <c r="X29" s="93">
        <f t="shared" si="3"/>
        <v>1326.1361436306433</v>
      </c>
      <c r="Y29" s="93">
        <f t="shared" si="4"/>
        <v>1493.1303905325708</v>
      </c>
      <c r="Z29" s="117" t="e">
        <f t="shared" ca="1" si="5"/>
        <v>#NAME?</v>
      </c>
      <c r="AA29" s="118" t="e">
        <f t="shared" ca="1" si="6"/>
        <v>#NAME?</v>
      </c>
    </row>
    <row r="30" spans="1:28" ht="12" customHeight="1" x14ac:dyDescent="0.45">
      <c r="A30" s="92">
        <v>7</v>
      </c>
      <c r="B30" s="92" t="s">
        <v>214</v>
      </c>
      <c r="C30" s="115" t="s">
        <v>260</v>
      </c>
      <c r="D30" s="115"/>
      <c r="E30" s="116">
        <v>0</v>
      </c>
      <c r="F30" s="96">
        <v>0</v>
      </c>
      <c r="G30" s="96">
        <v>0</v>
      </c>
      <c r="H30" s="96">
        <v>0</v>
      </c>
      <c r="I30" s="96">
        <f t="shared" si="7"/>
        <v>138.22211499999997</v>
      </c>
      <c r="J30" s="96">
        <v>0</v>
      </c>
      <c r="K30" s="93">
        <f t="shared" si="8"/>
        <v>152.04432649999998</v>
      </c>
      <c r="L30" s="93" t="e" cm="1">
        <f t="array" aca="1" ref="L30" ca="1">Profile_SM(C30,O30*1000,12)/10^3</f>
        <v>#NAME?</v>
      </c>
      <c r="M30" s="93" t="e" cm="1">
        <f t="array" aca="1" ref="M30" ca="1">Profile_ShearArea(C30,O30,12)</f>
        <v>#NAME?</v>
      </c>
      <c r="N30" s="116">
        <v>2</v>
      </c>
      <c r="O30" s="116">
        <v>0.75</v>
      </c>
      <c r="P30" s="96">
        <v>1</v>
      </c>
      <c r="Q30" s="96">
        <v>355</v>
      </c>
      <c r="R30" s="96">
        <f>$M$11/ABS(($M$12/(E30-$M$13)))/1000</f>
        <v>184.5964102298075</v>
      </c>
      <c r="S30" s="96">
        <v>0</v>
      </c>
      <c r="T30" s="96">
        <v>80.176369890000004</v>
      </c>
      <c r="U30" s="96">
        <f t="shared" si="10"/>
        <v>230.99910288991529</v>
      </c>
      <c r="V30" s="93">
        <f>(Q30/$F$7-U30)</f>
        <v>91.728169837357399</v>
      </c>
      <c r="W30" s="93">
        <f t="shared" si="11"/>
        <v>152.74385358177128</v>
      </c>
      <c r="X30" s="93">
        <f>N30^2*O30*K30*1000000/($F$8*V30*P30)/10^3</f>
        <v>414.38831377969484</v>
      </c>
      <c r="Y30" s="93">
        <f t="shared" si="4"/>
        <v>746.5651952662854</v>
      </c>
      <c r="Z30" s="117" t="e">
        <f ca="1">IF(AND(L30&gt;=X30,M30&gt;=Y30),"OK","N.G")</f>
        <v>#NAME?</v>
      </c>
      <c r="AA30" s="118" t="e">
        <f t="shared" ca="1" si="6"/>
        <v>#NAME?</v>
      </c>
    </row>
    <row r="31" spans="1:28" ht="12" customHeight="1" x14ac:dyDescent="0.45">
      <c r="A31" s="87">
        <v>8</v>
      </c>
      <c r="B31" s="87" t="s">
        <v>215</v>
      </c>
      <c r="C31" s="119" t="s">
        <v>260</v>
      </c>
      <c r="D31" s="119"/>
      <c r="E31" s="120">
        <v>0.7</v>
      </c>
      <c r="F31" s="91">
        <v>0</v>
      </c>
      <c r="G31" s="91">
        <v>0</v>
      </c>
      <c r="H31" s="91">
        <v>0</v>
      </c>
      <c r="I31" s="91">
        <f t="shared" si="7"/>
        <v>131.18343999999999</v>
      </c>
      <c r="J31" s="91">
        <v>0</v>
      </c>
      <c r="K31" s="88">
        <f t="shared" si="8"/>
        <v>144.301784</v>
      </c>
      <c r="L31" s="88" t="e" cm="1">
        <f t="array" aca="1" ref="L31" ca="1">Profile_SM(C31,O31*1000,12)/10^3</f>
        <v>#NAME?</v>
      </c>
      <c r="M31" s="88" t="e" cm="1">
        <f t="array" aca="1" ref="M31" ca="1">Profile_ShearArea(C31,O31,12)</f>
        <v>#NAME?</v>
      </c>
      <c r="N31" s="120">
        <v>2</v>
      </c>
      <c r="O31" s="120">
        <v>0.7</v>
      </c>
      <c r="P31" s="91">
        <v>1</v>
      </c>
      <c r="Q31" s="91">
        <v>355</v>
      </c>
      <c r="R31" s="156">
        <f>$M$11/ABS(($M$12/(E31-$M$13)))/1000</f>
        <v>149.46386885926233</v>
      </c>
      <c r="S31" s="91">
        <v>0</v>
      </c>
      <c r="T31" s="91">
        <v>118.3505577</v>
      </c>
      <c r="U31" s="91">
        <f t="shared" si="10"/>
        <v>253.69275042476451</v>
      </c>
      <c r="V31" s="88">
        <f t="shared" ref="V31:V36" si="12">(Q31/$F$7-U31)</f>
        <v>69.034522302508179</v>
      </c>
      <c r="W31" s="88">
        <f t="shared" si="11"/>
        <v>165.03959601609293</v>
      </c>
      <c r="X31" s="88">
        <f t="shared" si="3"/>
        <v>487.73302318401562</v>
      </c>
      <c r="Y31" s="88">
        <f t="shared" si="4"/>
        <v>612.04251124166854</v>
      </c>
      <c r="Z31" s="122" t="e">
        <f t="shared" ca="1" si="5"/>
        <v>#NAME?</v>
      </c>
      <c r="AA31" s="123" t="e">
        <f t="shared" ca="1" si="6"/>
        <v>#NAME?</v>
      </c>
    </row>
    <row r="32" spans="1:28" ht="12" customHeight="1" x14ac:dyDescent="0.45">
      <c r="A32" s="87">
        <v>9</v>
      </c>
      <c r="B32" s="87" t="s">
        <v>217</v>
      </c>
      <c r="C32" s="119" t="s">
        <v>216</v>
      </c>
      <c r="D32" s="119"/>
      <c r="E32" s="120">
        <f>E31+0.7</f>
        <v>1.4</v>
      </c>
      <c r="F32" s="91">
        <v>0</v>
      </c>
      <c r="G32" s="91">
        <v>0</v>
      </c>
      <c r="H32" s="91">
        <v>0</v>
      </c>
      <c r="I32" s="91">
        <f t="shared" si="7"/>
        <v>124.14476499999999</v>
      </c>
      <c r="J32" s="91">
        <v>0</v>
      </c>
      <c r="K32" s="88">
        <f t="shared" si="8"/>
        <v>136.55924150000001</v>
      </c>
      <c r="L32" s="88" t="e" cm="1">
        <f t="array" aca="1" ref="L32" ca="1">Profile_SM(C32,O32*1000,12)/10^3</f>
        <v>#NAME?</v>
      </c>
      <c r="M32" s="88" t="e" cm="1">
        <f t="array" aca="1" ref="M32" ca="1">Profile_ShearArea(C32,O32,12)</f>
        <v>#NAME?</v>
      </c>
      <c r="N32" s="120">
        <v>2</v>
      </c>
      <c r="O32" s="120">
        <v>0.7</v>
      </c>
      <c r="P32" s="91">
        <v>1</v>
      </c>
      <c r="Q32" s="91">
        <v>355</v>
      </c>
      <c r="R32" s="156">
        <f>$M$11/ABS(($M$12/(E32-$M$13)))/1000</f>
        <v>114.33132748871712</v>
      </c>
      <c r="S32" s="91">
        <v>0</v>
      </c>
      <c r="T32" s="91">
        <v>132.40240850000001</v>
      </c>
      <c r="U32" s="91">
        <f t="shared" si="10"/>
        <v>256.24762589170444</v>
      </c>
      <c r="V32" s="88">
        <f t="shared" si="12"/>
        <v>66.479646835568246</v>
      </c>
      <c r="W32" s="88">
        <f t="shared" si="11"/>
        <v>174.13668823885604</v>
      </c>
      <c r="X32" s="88">
        <f t="shared" si="3"/>
        <v>479.30192973917451</v>
      </c>
      <c r="Y32" s="88">
        <f t="shared" si="4"/>
        <v>548.94502713225586</v>
      </c>
      <c r="Z32" s="122" t="e">
        <f t="shared" ca="1" si="5"/>
        <v>#NAME?</v>
      </c>
      <c r="AA32" s="123" t="e">
        <f t="shared" ca="1" si="6"/>
        <v>#NAME?</v>
      </c>
    </row>
    <row r="33" spans="1:27" ht="12" customHeight="1" x14ac:dyDescent="0.45">
      <c r="A33" s="87">
        <v>10</v>
      </c>
      <c r="B33" s="87" t="s">
        <v>218</v>
      </c>
      <c r="C33" s="119" t="s">
        <v>216</v>
      </c>
      <c r="D33" s="119"/>
      <c r="E33" s="120">
        <f t="shared" ref="E33:E37" si="13">E32+0.7</f>
        <v>2.0999999999999996</v>
      </c>
      <c r="F33" s="91">
        <v>0</v>
      </c>
      <c r="G33" s="91">
        <v>0</v>
      </c>
      <c r="H33" s="91">
        <v>0</v>
      </c>
      <c r="I33" s="91">
        <f t="shared" si="7"/>
        <v>117.10608999999999</v>
      </c>
      <c r="J33" s="91">
        <v>0</v>
      </c>
      <c r="K33" s="88">
        <f t="shared" si="8"/>
        <v>128.816699</v>
      </c>
      <c r="L33" s="88" t="e" cm="1">
        <f t="array" aca="1" ref="L33" ca="1">Profile_SM(C33,O33*1000,12)/10^3</f>
        <v>#NAME?</v>
      </c>
      <c r="M33" s="88" t="e" cm="1">
        <f t="array" aca="1" ref="M33" ca="1">Profile_ShearArea(C33,O33,12)</f>
        <v>#NAME?</v>
      </c>
      <c r="N33" s="120">
        <v>2</v>
      </c>
      <c r="O33" s="120">
        <v>0.7</v>
      </c>
      <c r="P33" s="91">
        <v>1</v>
      </c>
      <c r="Q33" s="91">
        <v>355</v>
      </c>
      <c r="R33" s="156">
        <f t="shared" ref="R33:R36" si="14">$M$11/ABS(($M$12/(E33-$M$13)))/1000</f>
        <v>79.198786118171938</v>
      </c>
      <c r="S33" s="91">
        <v>0</v>
      </c>
      <c r="T33" s="91">
        <v>142.34961379999999</v>
      </c>
      <c r="U33" s="91">
        <f t="shared" si="10"/>
        <v>258.96464115708807</v>
      </c>
      <c r="V33" s="88">
        <f t="shared" si="12"/>
        <v>63.762631570184624</v>
      </c>
      <c r="W33" s="88">
        <f t="shared" si="11"/>
        <v>180.51935801994691</v>
      </c>
      <c r="X33" s="88">
        <f t="shared" si="3"/>
        <v>471.39255432991592</v>
      </c>
      <c r="Y33" s="88">
        <f t="shared" si="4"/>
        <v>499.51257465715264</v>
      </c>
      <c r="Z33" s="122" t="e">
        <f t="shared" ca="1" si="5"/>
        <v>#NAME?</v>
      </c>
      <c r="AA33" s="123" t="e">
        <f t="shared" ca="1" si="6"/>
        <v>#NAME?</v>
      </c>
    </row>
    <row r="34" spans="1:27" ht="12" customHeight="1" x14ac:dyDescent="0.45">
      <c r="A34" s="87">
        <v>11</v>
      </c>
      <c r="B34" s="87" t="s">
        <v>219</v>
      </c>
      <c r="C34" s="119" t="s">
        <v>216</v>
      </c>
      <c r="D34" s="119"/>
      <c r="E34" s="120">
        <f t="shared" si="13"/>
        <v>2.8</v>
      </c>
      <c r="F34" s="91">
        <v>0</v>
      </c>
      <c r="G34" s="91">
        <v>0</v>
      </c>
      <c r="H34" s="91">
        <v>0</v>
      </c>
      <c r="I34" s="91">
        <f t="shared" si="7"/>
        <v>110.067415</v>
      </c>
      <c r="J34" s="91">
        <v>0</v>
      </c>
      <c r="K34" s="88">
        <f t="shared" si="8"/>
        <v>121.0741565</v>
      </c>
      <c r="L34" s="88" t="e" cm="1">
        <f t="array" aca="1" ref="L34" ca="1">Profile_SM(C34,O34*1000,12)/10^3</f>
        <v>#NAME?</v>
      </c>
      <c r="M34" s="88" t="e" cm="1">
        <f t="array" aca="1" ref="M34" ca="1">Profile_ShearArea(C34,O34,12)</f>
        <v>#NAME?</v>
      </c>
      <c r="N34" s="120">
        <v>2</v>
      </c>
      <c r="O34" s="120">
        <v>0.7</v>
      </c>
      <c r="P34" s="91">
        <v>1</v>
      </c>
      <c r="Q34" s="91">
        <v>355</v>
      </c>
      <c r="R34" s="156">
        <f t="shared" si="14"/>
        <v>44.066244747626712</v>
      </c>
      <c r="S34" s="91">
        <v>0</v>
      </c>
      <c r="T34" s="91">
        <v>148.47106690000001</v>
      </c>
      <c r="U34" s="91">
        <f t="shared" si="10"/>
        <v>260.90765999761402</v>
      </c>
      <c r="V34" s="88">
        <f t="shared" si="12"/>
        <v>61.819612729658672</v>
      </c>
      <c r="W34" s="88">
        <f t="shared" si="11"/>
        <v>184.46957890277412</v>
      </c>
      <c r="X34" s="88">
        <f t="shared" si="3"/>
        <v>456.98501283417289</v>
      </c>
      <c r="Y34" s="88">
        <f t="shared" si="4"/>
        <v>459.43569695396246</v>
      </c>
      <c r="Z34" s="122" t="e">
        <f t="shared" ca="1" si="5"/>
        <v>#NAME?</v>
      </c>
      <c r="AA34" s="123" t="e">
        <f t="shared" ca="1" si="6"/>
        <v>#NAME?</v>
      </c>
    </row>
    <row r="35" spans="1:27" ht="12" customHeight="1" x14ac:dyDescent="0.45">
      <c r="A35" s="87">
        <v>12</v>
      </c>
      <c r="B35" s="87" t="s">
        <v>220</v>
      </c>
      <c r="C35" s="119" t="s">
        <v>216</v>
      </c>
      <c r="D35" s="119"/>
      <c r="E35" s="120">
        <f t="shared" si="13"/>
        <v>3.5</v>
      </c>
      <c r="F35" s="91">
        <v>0</v>
      </c>
      <c r="G35" s="91">
        <v>0</v>
      </c>
      <c r="H35" s="91">
        <v>0</v>
      </c>
      <c r="I35" s="91">
        <f t="shared" si="7"/>
        <v>103.02873999999998</v>
      </c>
      <c r="J35" s="91">
        <v>0</v>
      </c>
      <c r="K35" s="88">
        <f t="shared" si="8"/>
        <v>113.33161399999999</v>
      </c>
      <c r="L35" s="88" t="e" cm="1">
        <f t="array" aca="1" ref="L35" ca="1">Profile_SM(C35,O35*1000,12)/10^3</f>
        <v>#NAME?</v>
      </c>
      <c r="M35" s="88" t="e" cm="1">
        <f t="array" aca="1" ref="M35" ca="1">Profile_ShearArea(C35,O35,12)</f>
        <v>#NAME?</v>
      </c>
      <c r="N35" s="120">
        <v>2</v>
      </c>
      <c r="O35" s="120">
        <v>0.7</v>
      </c>
      <c r="P35" s="91">
        <v>1</v>
      </c>
      <c r="Q35" s="91">
        <v>355</v>
      </c>
      <c r="R35" s="156">
        <f t="shared" si="14"/>
        <v>8.9337033770814926</v>
      </c>
      <c r="S35" s="91">
        <v>0</v>
      </c>
      <c r="T35" s="91">
        <v>150.7667677</v>
      </c>
      <c r="U35" s="91">
        <f t="shared" si="10"/>
        <v>261.2884723522011</v>
      </c>
      <c r="V35" s="88">
        <f t="shared" si="12"/>
        <v>61.438800375071594</v>
      </c>
      <c r="W35" s="88">
        <f t="shared" si="11"/>
        <v>186.14227610270504</v>
      </c>
      <c r="X35" s="88">
        <f t="shared" si="3"/>
        <v>430.41275391497015</v>
      </c>
      <c r="Y35" s="88">
        <f t="shared" si="4"/>
        <v>426.19082274586589</v>
      </c>
      <c r="Z35" s="122" t="e">
        <f t="shared" ca="1" si="5"/>
        <v>#NAME?</v>
      </c>
      <c r="AA35" s="123" t="e">
        <f t="shared" ca="1" si="6"/>
        <v>#NAME?</v>
      </c>
    </row>
    <row r="36" spans="1:27" ht="12" customHeight="1" x14ac:dyDescent="0.45">
      <c r="A36" s="87">
        <v>13</v>
      </c>
      <c r="B36" s="87" t="s">
        <v>221</v>
      </c>
      <c r="C36" s="119" t="s">
        <v>216</v>
      </c>
      <c r="D36" s="119"/>
      <c r="E36" s="120">
        <f t="shared" si="13"/>
        <v>4.2</v>
      </c>
      <c r="F36" s="91">
        <v>0</v>
      </c>
      <c r="G36" s="91">
        <v>0</v>
      </c>
      <c r="H36" s="91">
        <v>0</v>
      </c>
      <c r="I36" s="91">
        <f t="shared" si="7"/>
        <v>95.990064999999987</v>
      </c>
      <c r="J36" s="91">
        <v>0</v>
      </c>
      <c r="K36" s="88">
        <f t="shared" si="8"/>
        <v>105.58907149999999</v>
      </c>
      <c r="L36" s="88" t="e" cm="1">
        <f t="array" aca="1" ref="L36" ca="1">Profile_SM(C36,O36*1000,12)/10^3</f>
        <v>#NAME?</v>
      </c>
      <c r="M36" s="88" t="e" cm="1">
        <f t="array" aca="1" ref="M36" ca="1">Profile_ShearArea(C36,O36,12)</f>
        <v>#NAME?</v>
      </c>
      <c r="N36" s="120">
        <v>2</v>
      </c>
      <c r="O36" s="120">
        <v>0.7</v>
      </c>
      <c r="P36" s="91">
        <v>1</v>
      </c>
      <c r="Q36" s="91">
        <v>355</v>
      </c>
      <c r="R36" s="156">
        <f t="shared" si="14"/>
        <v>26.198837993463727</v>
      </c>
      <c r="S36" s="91">
        <v>0</v>
      </c>
      <c r="T36" s="91">
        <v>150.18200759999999</v>
      </c>
      <c r="U36" s="91">
        <f t="shared" si="10"/>
        <v>261.43887494499955</v>
      </c>
      <c r="V36" s="88">
        <f t="shared" si="12"/>
        <v>61.288397782273137</v>
      </c>
      <c r="W36" s="88">
        <f t="shared" si="11"/>
        <v>185.59903786474857</v>
      </c>
      <c r="X36" s="88">
        <f t="shared" si="3"/>
        <v>401.99207204259335</v>
      </c>
      <c r="Y36" s="88">
        <f t="shared" si="4"/>
        <v>398.23670909254423</v>
      </c>
      <c r="Z36" s="122" t="e">
        <f t="shared" ca="1" si="5"/>
        <v>#NAME?</v>
      </c>
      <c r="AA36" s="123" t="e">
        <f t="shared" ca="1" si="6"/>
        <v>#NAME?</v>
      </c>
    </row>
    <row r="37" spans="1:27" ht="12" customHeight="1" x14ac:dyDescent="0.45">
      <c r="A37" s="87">
        <v>14</v>
      </c>
      <c r="B37" s="87" t="s">
        <v>222</v>
      </c>
      <c r="C37" s="119" t="s">
        <v>223</v>
      </c>
      <c r="D37" s="119"/>
      <c r="E37" s="120">
        <f t="shared" si="13"/>
        <v>4.9000000000000004</v>
      </c>
      <c r="F37" s="91">
        <v>0</v>
      </c>
      <c r="G37" s="91">
        <v>0</v>
      </c>
      <c r="H37" s="91">
        <v>0</v>
      </c>
      <c r="I37" s="91">
        <f t="shared" si="7"/>
        <v>88.951389999999989</v>
      </c>
      <c r="J37" s="91">
        <v>0</v>
      </c>
      <c r="K37" s="88">
        <f t="shared" si="8"/>
        <v>97.84652899999999</v>
      </c>
      <c r="L37" s="88"/>
      <c r="M37" s="88"/>
      <c r="N37" s="120"/>
      <c r="O37" s="120"/>
      <c r="P37" s="91"/>
      <c r="Q37" s="91"/>
      <c r="R37" s="156"/>
      <c r="S37" s="91"/>
      <c r="T37" s="91">
        <v>146.119517</v>
      </c>
      <c r="U37" s="91"/>
      <c r="V37" s="88"/>
      <c r="W37" s="88"/>
      <c r="X37" s="88"/>
      <c r="Y37" s="88"/>
      <c r="Z37" s="122"/>
      <c r="AA37" s="123"/>
    </row>
    <row r="38" spans="1:27" ht="12" customHeight="1" x14ac:dyDescent="0.45">
      <c r="A38" s="87">
        <v>15</v>
      </c>
      <c r="B38" s="87" t="s">
        <v>224</v>
      </c>
      <c r="C38" s="119" t="s">
        <v>258</v>
      </c>
      <c r="D38" s="119"/>
      <c r="E38" s="120">
        <f>6.3-0.7</f>
        <v>5.6</v>
      </c>
      <c r="F38" s="91">
        <v>0</v>
      </c>
      <c r="G38" s="91">
        <v>0</v>
      </c>
      <c r="H38" s="91">
        <v>0</v>
      </c>
      <c r="I38" s="91">
        <f t="shared" si="7"/>
        <v>81.912714999999992</v>
      </c>
      <c r="J38" s="91">
        <v>0</v>
      </c>
      <c r="K38" s="88">
        <f t="shared" si="8"/>
        <v>90.103986500000005</v>
      </c>
      <c r="L38" s="88" t="e" cm="1">
        <f t="array" aca="1" ref="L38" ca="1">Profile_SM(C38,O38*1000,12)/10^3</f>
        <v>#NAME?</v>
      </c>
      <c r="M38" s="88" t="e" cm="1">
        <f t="array" aca="1" ref="M38" ca="1">Profile_ShearArea(C38,O38,12)</f>
        <v>#NAME?</v>
      </c>
      <c r="N38" s="120">
        <v>4</v>
      </c>
      <c r="O38" s="120">
        <v>0.7</v>
      </c>
      <c r="P38" s="91">
        <v>1</v>
      </c>
      <c r="Q38" s="91">
        <v>355</v>
      </c>
      <c r="R38" s="156">
        <f t="shared" ref="R38:R52" si="15">$M$11/ABS(($M$12/(E38-$M$13)))/1000</f>
        <v>96.463920734554108</v>
      </c>
      <c r="S38" s="91">
        <v>0</v>
      </c>
      <c r="T38" s="91">
        <v>130.4142233</v>
      </c>
      <c r="U38" s="91">
        <f t="shared" ref="U38:U39" si="16">SQRT(R38^2+S38^2-R38*S38+3*T38^2)</f>
        <v>245.61941478700157</v>
      </c>
      <c r="V38" s="88">
        <f t="shared" ref="V38:V43" si="17">(Q38/$F$7-U38)</f>
        <v>77.107857940271117</v>
      </c>
      <c r="W38" s="88">
        <f t="shared" ref="W38:W39" si="18">0.577*SQRT((Q38/$F$7)^2-R38^2)</f>
        <v>177.70064191796612</v>
      </c>
      <c r="X38" s="88">
        <f t="shared" ref="X38:X52" si="19">N38^2*O38*K38*1000000/($F$8*V38*P38)/10^3</f>
        <v>1090.6418141171744</v>
      </c>
      <c r="Y38" s="88">
        <f t="shared" ref="Y38:Y52" si="20">N38*O38*K38*1000/(2*W38)</f>
        <v>709.87690161656224</v>
      </c>
      <c r="Z38" s="122" t="e">
        <f t="shared" ref="Z38:Z52" ca="1" si="21">IF(AND(L38&gt;=X38,M38&gt;=Y38),"OK","N.G")</f>
        <v>#NAME?</v>
      </c>
      <c r="AA38" s="123" t="e">
        <f t="shared" ref="AA38:AA52" ca="1" si="22">L38/X38</f>
        <v>#NAME?</v>
      </c>
    </row>
    <row r="39" spans="1:27" ht="12" customHeight="1" x14ac:dyDescent="0.45">
      <c r="A39" s="87">
        <v>16</v>
      </c>
      <c r="B39" s="87" t="s">
        <v>226</v>
      </c>
      <c r="C39" s="119" t="s">
        <v>258</v>
      </c>
      <c r="D39" s="119"/>
      <c r="E39" s="120">
        <v>6.3</v>
      </c>
      <c r="F39" s="91">
        <v>0</v>
      </c>
      <c r="G39" s="91">
        <v>0</v>
      </c>
      <c r="H39" s="91">
        <v>0</v>
      </c>
      <c r="I39" s="91">
        <f t="shared" si="7"/>
        <v>74.874039999999994</v>
      </c>
      <c r="J39" s="91">
        <v>0</v>
      </c>
      <c r="K39" s="88">
        <f t="shared" si="8"/>
        <v>82.361444000000006</v>
      </c>
      <c r="L39" s="88" t="e" cm="1">
        <f t="array" aca="1" ref="L39" ca="1">Profile_SM(C39,O39*1000,12)/10^3</f>
        <v>#NAME?</v>
      </c>
      <c r="M39" s="88" t="e" cm="1">
        <f t="array" aca="1" ref="M39" ca="1">Profile_ShearArea(C39,O39,12)</f>
        <v>#NAME?</v>
      </c>
      <c r="N39" s="120">
        <v>4</v>
      </c>
      <c r="O39" s="120">
        <v>0.7</v>
      </c>
      <c r="P39" s="91">
        <v>1</v>
      </c>
      <c r="Q39" s="91">
        <v>355</v>
      </c>
      <c r="R39" s="156">
        <f t="shared" si="15"/>
        <v>131.59646210509931</v>
      </c>
      <c r="S39" s="91">
        <v>0</v>
      </c>
      <c r="T39" s="91">
        <v>119.1303453</v>
      </c>
      <c r="U39" s="91">
        <f t="shared" si="16"/>
        <v>244.73198882138504</v>
      </c>
      <c r="V39" s="88">
        <f t="shared" si="17"/>
        <v>77.995283905887646</v>
      </c>
      <c r="W39" s="88">
        <f t="shared" si="18"/>
        <v>170.02934310338722</v>
      </c>
      <c r="X39" s="88">
        <f t="shared" si="19"/>
        <v>985.58114307811252</v>
      </c>
      <c r="Y39" s="88">
        <f t="shared" si="20"/>
        <v>678.1536615705653</v>
      </c>
      <c r="Z39" s="122" t="e">
        <f t="shared" ca="1" si="21"/>
        <v>#NAME?</v>
      </c>
      <c r="AA39" s="123" t="e">
        <f t="shared" ca="1" si="22"/>
        <v>#NAME?</v>
      </c>
    </row>
    <row r="40" spans="1:27" ht="12" customHeight="1" x14ac:dyDescent="0.45">
      <c r="A40" s="124">
        <v>22</v>
      </c>
      <c r="B40" s="124" t="s">
        <v>232</v>
      </c>
      <c r="C40" s="132" t="s">
        <v>233</v>
      </c>
      <c r="D40" s="125"/>
      <c r="E40" s="126">
        <v>7</v>
      </c>
      <c r="F40" s="127">
        <v>0</v>
      </c>
      <c r="G40" s="127">
        <v>0</v>
      </c>
      <c r="H40" s="127">
        <v>0</v>
      </c>
      <c r="I40" s="127">
        <f t="shared" si="7"/>
        <v>67.835364999999996</v>
      </c>
      <c r="J40" s="127">
        <v>0</v>
      </c>
      <c r="K40" s="128">
        <f>I40*$F$19+J40*$F$18</f>
        <v>74.618901500000007</v>
      </c>
      <c r="L40" s="128" t="e" cm="1">
        <f t="array" aca="1" ref="L40" ca="1">Profile_SM(C40,O40*1000,12)/10^3</f>
        <v>#NAME?</v>
      </c>
      <c r="M40" s="128" t="e" cm="1">
        <f t="array" aca="1" ref="M40" ca="1">Profile_ShearArea(C40,O40,12)</f>
        <v>#NAME?</v>
      </c>
      <c r="N40" s="126">
        <v>4</v>
      </c>
      <c r="O40" s="126">
        <v>0.75</v>
      </c>
      <c r="P40" s="127">
        <v>1</v>
      </c>
      <c r="Q40" s="127">
        <v>355</v>
      </c>
      <c r="R40" s="157">
        <f>$M$11/ABS(($M$12/(E40-$M$13)))/1000</f>
        <v>166.72900347564453</v>
      </c>
      <c r="S40" s="127">
        <v>0</v>
      </c>
      <c r="T40" s="127">
        <v>60.600591909999999</v>
      </c>
      <c r="U40" s="127">
        <f>SQRT(R40^2+S40^2-R40*S40+3*T40^2)</f>
        <v>197.01739978872058</v>
      </c>
      <c r="V40" s="128">
        <f t="shared" si="17"/>
        <v>125.70987293855211</v>
      </c>
      <c r="W40" s="128">
        <f t="shared" ref="W40:W46" si="23">0.577*SQRT((Q40/$F$7)^2-R40^2)</f>
        <v>159.43829962018958</v>
      </c>
      <c r="X40" s="128">
        <f t="shared" si="19"/>
        <v>593.58027938246551</v>
      </c>
      <c r="Y40" s="128">
        <f t="shared" si="20"/>
        <v>702.01672067899165</v>
      </c>
      <c r="Z40" s="130" t="e">
        <f t="shared" ca="1" si="21"/>
        <v>#NAME?</v>
      </c>
      <c r="AA40" s="131" t="e">
        <f t="shared" ca="1" si="22"/>
        <v>#NAME?</v>
      </c>
    </row>
    <row r="41" spans="1:27" ht="12" customHeight="1" x14ac:dyDescent="0.45">
      <c r="A41" s="124">
        <v>23</v>
      </c>
      <c r="B41" s="124" t="s">
        <v>234</v>
      </c>
      <c r="C41" s="132" t="s">
        <v>233</v>
      </c>
      <c r="D41" s="125"/>
      <c r="E41" s="126">
        <v>7</v>
      </c>
      <c r="F41" s="127">
        <v>0</v>
      </c>
      <c r="G41" s="127">
        <v>0</v>
      </c>
      <c r="H41" s="127">
        <v>0</v>
      </c>
      <c r="I41" s="127">
        <f t="shared" si="7"/>
        <v>67.835364999999996</v>
      </c>
      <c r="J41" s="127">
        <v>0</v>
      </c>
      <c r="K41" s="128">
        <f t="shared" ref="K41:K55" si="24">I41*$F$19+J41*$F$18</f>
        <v>74.618901500000007</v>
      </c>
      <c r="L41" s="128" t="e" cm="1">
        <f t="array" aca="1" ref="L41" ca="1">Profile_SM(C41,O41*1000,12)/10^3</f>
        <v>#NAME?</v>
      </c>
      <c r="M41" s="128" t="e" cm="1">
        <f t="array" aca="1" ref="M41" ca="1">Profile_ShearArea(C41,O41,12)</f>
        <v>#NAME?</v>
      </c>
      <c r="N41" s="126">
        <v>4</v>
      </c>
      <c r="O41" s="126">
        <v>0.75</v>
      </c>
      <c r="P41" s="127">
        <v>1</v>
      </c>
      <c r="Q41" s="127">
        <v>355</v>
      </c>
      <c r="R41" s="157">
        <f t="shared" si="15"/>
        <v>166.72900347564453</v>
      </c>
      <c r="S41" s="127">
        <v>0</v>
      </c>
      <c r="T41" s="127">
        <v>41.978815330000003</v>
      </c>
      <c r="U41" s="127">
        <f t="shared" ref="U41:U43" si="25">SQRT(R41^2+S41^2-R41*S41+3*T41^2)</f>
        <v>181.89343970993627</v>
      </c>
      <c r="V41" s="128">
        <f t="shared" si="17"/>
        <v>140.83383301733642</v>
      </c>
      <c r="W41" s="128">
        <f t="shared" si="23"/>
        <v>159.43829962018958</v>
      </c>
      <c r="X41" s="128">
        <f t="shared" si="19"/>
        <v>529.83647395874357</v>
      </c>
      <c r="Y41" s="128">
        <f t="shared" si="20"/>
        <v>702.01672067899165</v>
      </c>
      <c r="Z41" s="130" t="e">
        <f t="shared" ca="1" si="21"/>
        <v>#NAME?</v>
      </c>
      <c r="AA41" s="131" t="e">
        <f t="shared" ca="1" si="22"/>
        <v>#NAME?</v>
      </c>
    </row>
    <row r="42" spans="1:27" ht="12" customHeight="1" x14ac:dyDescent="0.45">
      <c r="A42" s="124">
        <v>24</v>
      </c>
      <c r="B42" s="124" t="s">
        <v>235</v>
      </c>
      <c r="C42" s="132" t="s">
        <v>233</v>
      </c>
      <c r="D42" s="125"/>
      <c r="E42" s="126">
        <v>7</v>
      </c>
      <c r="F42" s="127">
        <v>0</v>
      </c>
      <c r="G42" s="127">
        <v>0</v>
      </c>
      <c r="H42" s="127">
        <v>0</v>
      </c>
      <c r="I42" s="127">
        <f t="shared" si="7"/>
        <v>67.835364999999996</v>
      </c>
      <c r="J42" s="127">
        <v>0</v>
      </c>
      <c r="K42" s="128">
        <f t="shared" si="24"/>
        <v>74.618901500000007</v>
      </c>
      <c r="L42" s="128" t="e" cm="1">
        <f t="array" aca="1" ref="L42" ca="1">Profile_SM(C42,O42*1000,12)/10^3</f>
        <v>#NAME?</v>
      </c>
      <c r="M42" s="128" t="e" cm="1">
        <f t="array" aca="1" ref="M42" ca="1">Profile_ShearArea(C42,O42,12)</f>
        <v>#NAME?</v>
      </c>
      <c r="N42" s="126">
        <v>4</v>
      </c>
      <c r="O42" s="126">
        <v>0.75</v>
      </c>
      <c r="P42" s="127">
        <v>1</v>
      </c>
      <c r="Q42" s="127">
        <v>355</v>
      </c>
      <c r="R42" s="157">
        <f t="shared" si="15"/>
        <v>166.72900347564453</v>
      </c>
      <c r="S42" s="127">
        <v>0</v>
      </c>
      <c r="T42" s="127">
        <v>23.35703874</v>
      </c>
      <c r="U42" s="127">
        <f t="shared" si="25"/>
        <v>171.56693847034478</v>
      </c>
      <c r="V42" s="128">
        <f t="shared" si="17"/>
        <v>151.16033425692791</v>
      </c>
      <c r="W42" s="128">
        <f t="shared" si="23"/>
        <v>159.43829962018958</v>
      </c>
      <c r="X42" s="128">
        <f t="shared" si="19"/>
        <v>493.64075481051742</v>
      </c>
      <c r="Y42" s="128">
        <f t="shared" si="20"/>
        <v>702.01672067899165</v>
      </c>
      <c r="Z42" s="130" t="e">
        <f t="shared" ca="1" si="21"/>
        <v>#NAME?</v>
      </c>
      <c r="AA42" s="131" t="e">
        <f t="shared" ca="1" si="22"/>
        <v>#NAME?</v>
      </c>
    </row>
    <row r="43" spans="1:27" ht="12" customHeight="1" x14ac:dyDescent="0.45">
      <c r="A43" s="124">
        <v>25</v>
      </c>
      <c r="B43" s="124" t="s">
        <v>236</v>
      </c>
      <c r="C43" s="132" t="s">
        <v>233</v>
      </c>
      <c r="D43" s="125"/>
      <c r="E43" s="126">
        <v>7</v>
      </c>
      <c r="F43" s="127">
        <v>0</v>
      </c>
      <c r="G43" s="127">
        <v>0</v>
      </c>
      <c r="H43" s="127">
        <v>0</v>
      </c>
      <c r="I43" s="127">
        <f t="shared" si="7"/>
        <v>67.835364999999996</v>
      </c>
      <c r="J43" s="127">
        <v>0</v>
      </c>
      <c r="K43" s="128">
        <f t="shared" si="24"/>
        <v>74.618901500000007</v>
      </c>
      <c r="L43" s="128" t="e" cm="1">
        <f t="array" aca="1" ref="L43" ca="1">Profile_SM(C43,O43*1000,12)/10^3</f>
        <v>#NAME?</v>
      </c>
      <c r="M43" s="128" t="e" cm="1">
        <f t="array" aca="1" ref="M43" ca="1">Profile_ShearArea(C43,O43,12)</f>
        <v>#NAME?</v>
      </c>
      <c r="N43" s="126">
        <v>4</v>
      </c>
      <c r="O43" s="126">
        <v>0.75</v>
      </c>
      <c r="P43" s="127">
        <v>1</v>
      </c>
      <c r="Q43" s="127">
        <v>355</v>
      </c>
      <c r="R43" s="157">
        <f t="shared" si="15"/>
        <v>166.72900347564453</v>
      </c>
      <c r="S43" s="127">
        <v>0</v>
      </c>
      <c r="T43" s="127">
        <v>4.7352621560000001</v>
      </c>
      <c r="U43" s="127">
        <f t="shared" si="25"/>
        <v>166.93061050340535</v>
      </c>
      <c r="V43" s="128">
        <f t="shared" si="17"/>
        <v>155.79666222386734</v>
      </c>
      <c r="W43" s="128">
        <f t="shared" si="23"/>
        <v>159.43829962018958</v>
      </c>
      <c r="X43" s="128">
        <f t="shared" si="19"/>
        <v>478.95057849685259</v>
      </c>
      <c r="Y43" s="128">
        <f t="shared" si="20"/>
        <v>702.01672067899165</v>
      </c>
      <c r="Z43" s="130" t="e">
        <f t="shared" ca="1" si="21"/>
        <v>#NAME?</v>
      </c>
      <c r="AA43" s="131" t="e">
        <f t="shared" ca="1" si="22"/>
        <v>#NAME?</v>
      </c>
    </row>
    <row r="44" spans="1:27" ht="12" customHeight="1" x14ac:dyDescent="0.45">
      <c r="A44" s="124">
        <v>26</v>
      </c>
      <c r="B44" s="124" t="s">
        <v>237</v>
      </c>
      <c r="C44" s="132" t="s">
        <v>233</v>
      </c>
      <c r="D44" s="125"/>
      <c r="E44" s="126">
        <v>7</v>
      </c>
      <c r="F44" s="127">
        <v>0</v>
      </c>
      <c r="G44" s="127">
        <v>0</v>
      </c>
      <c r="H44" s="127">
        <v>0</v>
      </c>
      <c r="I44" s="127">
        <f t="shared" si="7"/>
        <v>67.835364999999996</v>
      </c>
      <c r="J44" s="127">
        <v>0</v>
      </c>
      <c r="K44" s="128">
        <f t="shared" si="24"/>
        <v>74.618901500000007</v>
      </c>
      <c r="L44" s="128" t="e" cm="1">
        <f t="array" aca="1" ref="L44" ca="1">Profile_SM(C44,O44*1000,12)/10^3</f>
        <v>#NAME?</v>
      </c>
      <c r="M44" s="128" t="e" cm="1">
        <f t="array" aca="1" ref="M44" ca="1">Profile_ShearArea(C44,O44,12)</f>
        <v>#NAME?</v>
      </c>
      <c r="N44" s="126">
        <v>4</v>
      </c>
      <c r="O44" s="126">
        <v>0.75</v>
      </c>
      <c r="P44" s="127">
        <v>1</v>
      </c>
      <c r="Q44" s="127">
        <v>355</v>
      </c>
      <c r="R44" s="157">
        <f t="shared" si="15"/>
        <v>166.72900347564453</v>
      </c>
      <c r="S44" s="127">
        <v>0</v>
      </c>
      <c r="T44" s="127">
        <v>19.671781630000002</v>
      </c>
      <c r="U44" s="127">
        <f>SQRT(R44^2+S44^2-R44*S44+3*T44^2)</f>
        <v>170.17490290132886</v>
      </c>
      <c r="V44" s="128">
        <f>(Q44/$F$7-U44)</f>
        <v>152.55236982594383</v>
      </c>
      <c r="W44" s="128">
        <f t="shared" si="23"/>
        <v>159.43829962018958</v>
      </c>
      <c r="X44" s="128">
        <f t="shared" si="19"/>
        <v>489.13629847335187</v>
      </c>
      <c r="Y44" s="128">
        <f t="shared" si="20"/>
        <v>702.01672067899165</v>
      </c>
      <c r="Z44" s="130" t="e">
        <f t="shared" ca="1" si="21"/>
        <v>#NAME?</v>
      </c>
      <c r="AA44" s="131" t="e">
        <f t="shared" ca="1" si="22"/>
        <v>#NAME?</v>
      </c>
    </row>
    <row r="45" spans="1:27" ht="12" customHeight="1" x14ac:dyDescent="0.45">
      <c r="A45" s="124">
        <v>27</v>
      </c>
      <c r="B45" s="124" t="s">
        <v>238</v>
      </c>
      <c r="C45" s="132" t="s">
        <v>233</v>
      </c>
      <c r="D45" s="125"/>
      <c r="E45" s="126">
        <v>7</v>
      </c>
      <c r="F45" s="127">
        <v>0</v>
      </c>
      <c r="G45" s="127">
        <v>0</v>
      </c>
      <c r="H45" s="127">
        <v>0</v>
      </c>
      <c r="I45" s="127">
        <f t="shared" si="7"/>
        <v>67.835364999999996</v>
      </c>
      <c r="J45" s="127">
        <v>0</v>
      </c>
      <c r="K45" s="128">
        <f t="shared" si="24"/>
        <v>74.618901500000007</v>
      </c>
      <c r="L45" s="128" t="e" cm="1">
        <f t="array" aca="1" ref="L45" ca="1">Profile_SM(C45,O45*1000,12)/10^3</f>
        <v>#NAME?</v>
      </c>
      <c r="M45" s="128" t="e" cm="1">
        <f t="array" aca="1" ref="M45" ca="1">Profile_ShearArea(C45,O45,12)</f>
        <v>#NAME?</v>
      </c>
      <c r="N45" s="126">
        <v>4</v>
      </c>
      <c r="O45" s="126">
        <v>0.75</v>
      </c>
      <c r="P45" s="127">
        <v>1</v>
      </c>
      <c r="Q45" s="127">
        <v>355</v>
      </c>
      <c r="R45" s="157">
        <f t="shared" si="15"/>
        <v>166.72900347564453</v>
      </c>
      <c r="S45" s="127">
        <v>0</v>
      </c>
      <c r="T45" s="127">
        <v>38.293558220000001</v>
      </c>
      <c r="U45" s="127">
        <f>SQRT(R45^2+S45^2)</f>
        <v>166.72900347564453</v>
      </c>
      <c r="V45" s="128">
        <f t="shared" ref="V45:V52" si="26">(Q45/$F$7-U45)</f>
        <v>155.99826925162816</v>
      </c>
      <c r="W45" s="128">
        <f t="shared" si="23"/>
        <v>159.43829962018958</v>
      </c>
      <c r="X45" s="128">
        <f t="shared" si="19"/>
        <v>478.33159853612415</v>
      </c>
      <c r="Y45" s="128">
        <f t="shared" si="20"/>
        <v>702.01672067899165</v>
      </c>
      <c r="Z45" s="130" t="e">
        <f t="shared" ca="1" si="21"/>
        <v>#NAME?</v>
      </c>
      <c r="AA45" s="131" t="e">
        <f t="shared" ca="1" si="22"/>
        <v>#NAME?</v>
      </c>
    </row>
    <row r="46" spans="1:27" ht="12" customHeight="1" x14ac:dyDescent="0.45">
      <c r="A46" s="124">
        <v>28</v>
      </c>
      <c r="B46" s="124" t="s">
        <v>239</v>
      </c>
      <c r="C46" s="132" t="s">
        <v>233</v>
      </c>
      <c r="D46" s="125"/>
      <c r="E46" s="126">
        <v>7</v>
      </c>
      <c r="F46" s="127">
        <v>0</v>
      </c>
      <c r="G46" s="127">
        <v>0</v>
      </c>
      <c r="H46" s="127">
        <v>0</v>
      </c>
      <c r="I46" s="127">
        <f t="shared" si="7"/>
        <v>67.835364999999996</v>
      </c>
      <c r="J46" s="127">
        <v>0</v>
      </c>
      <c r="K46" s="128">
        <f t="shared" si="24"/>
        <v>74.618901500000007</v>
      </c>
      <c r="L46" s="128" t="e" cm="1">
        <f t="array" aca="1" ref="L46" ca="1">Profile_SM(C46,O46*1000,12)/10^3</f>
        <v>#NAME?</v>
      </c>
      <c r="M46" s="128" t="e" cm="1">
        <f t="array" aca="1" ref="M46" ca="1">Profile_ShearArea(C46,O46,12)</f>
        <v>#NAME?</v>
      </c>
      <c r="N46" s="126">
        <v>4</v>
      </c>
      <c r="O46" s="126">
        <v>0.75</v>
      </c>
      <c r="P46" s="127">
        <v>1</v>
      </c>
      <c r="Q46" s="127">
        <v>355</v>
      </c>
      <c r="R46" s="157">
        <f>$M$11/ABS(($M$12/(E46-$M$13)))/1000</f>
        <v>166.72900347564453</v>
      </c>
      <c r="S46" s="127">
        <v>0</v>
      </c>
      <c r="T46" s="127">
        <v>56.915334799999997</v>
      </c>
      <c r="U46" s="127">
        <f>SQRT(R46^2+S46^2)</f>
        <v>166.72900347564453</v>
      </c>
      <c r="V46" s="128">
        <f t="shared" si="26"/>
        <v>155.99826925162816</v>
      </c>
      <c r="W46" s="128">
        <f t="shared" si="23"/>
        <v>159.43829962018958</v>
      </c>
      <c r="X46" s="128">
        <f t="shared" si="19"/>
        <v>478.33159853612415</v>
      </c>
      <c r="Y46" s="128">
        <f t="shared" si="20"/>
        <v>702.01672067899165</v>
      </c>
      <c r="Z46" s="130" t="e">
        <f t="shared" ca="1" si="21"/>
        <v>#NAME?</v>
      </c>
      <c r="AA46" s="131" t="e">
        <f t="shared" ca="1" si="22"/>
        <v>#NAME?</v>
      </c>
    </row>
    <row r="47" spans="1:27" ht="12" customHeight="1" x14ac:dyDescent="0.45">
      <c r="A47" s="133">
        <v>29</v>
      </c>
      <c r="B47" s="133" t="s">
        <v>240</v>
      </c>
      <c r="C47" s="134" t="s">
        <v>261</v>
      </c>
      <c r="D47" s="134"/>
      <c r="E47" s="135">
        <v>0.7</v>
      </c>
      <c r="F47" s="136">
        <v>0</v>
      </c>
      <c r="G47" s="136">
        <v>0</v>
      </c>
      <c r="H47" s="136">
        <v>0</v>
      </c>
      <c r="I47" s="136">
        <f t="shared" si="7"/>
        <v>131.18343999999999</v>
      </c>
      <c r="J47" s="136">
        <v>0</v>
      </c>
      <c r="K47" s="137">
        <f t="shared" si="24"/>
        <v>144.301784</v>
      </c>
      <c r="L47" s="137" t="e" cm="1">
        <f t="array" aca="1" ref="L47" ca="1">Profile_SM(C47,O47*1000,12)/10^3</f>
        <v>#NAME?</v>
      </c>
      <c r="M47" s="137" t="e" cm="1">
        <f t="array" aca="1" ref="M47" ca="1">Profile_ShearArea(C47,O47,12)</f>
        <v>#NAME?</v>
      </c>
      <c r="N47" s="135">
        <v>2</v>
      </c>
      <c r="O47" s="135">
        <v>0.7</v>
      </c>
      <c r="P47" s="136">
        <v>1</v>
      </c>
      <c r="Q47" s="136">
        <v>355</v>
      </c>
      <c r="R47" s="158">
        <f>$M$11/ABS(($M$12/(E47-$M$13)))/1000</f>
        <v>149.46386885926233</v>
      </c>
      <c r="S47" s="136">
        <v>0</v>
      </c>
      <c r="T47" s="136">
        <v>123.6853545</v>
      </c>
      <c r="U47" s="136">
        <f t="shared" ref="U47:U52" si="27">SQRT(R47^2+S47^2-R47*S47+3*T47^2)</f>
        <v>261.21571324817114</v>
      </c>
      <c r="V47" s="137">
        <f t="shared" si="26"/>
        <v>61.51155947910155</v>
      </c>
      <c r="W47" s="137">
        <f t="shared" ref="W47:W52" si="28">0.577*SQRT((Q47/$F$7)^2-R47^2)</f>
        <v>165.03959601609293</v>
      </c>
      <c r="X47" s="137">
        <f t="shared" si="19"/>
        <v>547.38355768895974</v>
      </c>
      <c r="Y47" s="137">
        <f t="shared" si="20"/>
        <v>612.04251124166854</v>
      </c>
      <c r="Z47" s="139" t="e">
        <f t="shared" ca="1" si="21"/>
        <v>#NAME?</v>
      </c>
      <c r="AA47" s="140" t="e">
        <f t="shared" ca="1" si="22"/>
        <v>#NAME?</v>
      </c>
    </row>
    <row r="48" spans="1:27" ht="12" customHeight="1" x14ac:dyDescent="0.45">
      <c r="A48" s="133">
        <v>30</v>
      </c>
      <c r="B48" s="133" t="s">
        <v>242</v>
      </c>
      <c r="C48" s="134" t="s">
        <v>261</v>
      </c>
      <c r="D48" s="134"/>
      <c r="E48" s="135">
        <f>E47+0.7</f>
        <v>1.4</v>
      </c>
      <c r="F48" s="136">
        <v>0</v>
      </c>
      <c r="G48" s="136">
        <v>0</v>
      </c>
      <c r="H48" s="136">
        <v>0</v>
      </c>
      <c r="I48" s="136">
        <f t="shared" si="7"/>
        <v>124.14476499999999</v>
      </c>
      <c r="J48" s="136">
        <v>0</v>
      </c>
      <c r="K48" s="137">
        <f t="shared" si="24"/>
        <v>136.55924150000001</v>
      </c>
      <c r="L48" s="137" t="e" cm="1">
        <f t="array" aca="1" ref="L48" ca="1">Profile_SM(C48,O48*1000,12)/10^3</f>
        <v>#NAME?</v>
      </c>
      <c r="M48" s="137" t="e" cm="1">
        <f t="array" aca="1" ref="M48" ca="1">Profile_ShearArea(C48,O48,12)</f>
        <v>#NAME?</v>
      </c>
      <c r="N48" s="135">
        <v>2</v>
      </c>
      <c r="O48" s="135">
        <v>0.7</v>
      </c>
      <c r="P48" s="136">
        <v>1</v>
      </c>
      <c r="Q48" s="136">
        <v>355</v>
      </c>
      <c r="R48" s="158">
        <f t="shared" si="15"/>
        <v>114.33132748871712</v>
      </c>
      <c r="S48" s="136">
        <v>0</v>
      </c>
      <c r="T48" s="136">
        <v>133.23035730000001</v>
      </c>
      <c r="U48" s="136">
        <f t="shared" si="27"/>
        <v>257.53181699391877</v>
      </c>
      <c r="V48" s="137">
        <f t="shared" si="26"/>
        <v>65.195455733353924</v>
      </c>
      <c r="W48" s="137">
        <f t="shared" si="28"/>
        <v>174.13668823885604</v>
      </c>
      <c r="X48" s="137">
        <f t="shared" si="19"/>
        <v>488.74300606146647</v>
      </c>
      <c r="Y48" s="137">
        <f t="shared" si="20"/>
        <v>548.94502713225586</v>
      </c>
      <c r="Z48" s="139" t="e">
        <f t="shared" ca="1" si="21"/>
        <v>#NAME?</v>
      </c>
      <c r="AA48" s="140" t="e">
        <f t="shared" ca="1" si="22"/>
        <v>#NAME?</v>
      </c>
    </row>
    <row r="49" spans="1:27" ht="12" customHeight="1" x14ac:dyDescent="0.45">
      <c r="A49" s="133">
        <v>31</v>
      </c>
      <c r="B49" s="133" t="s">
        <v>243</v>
      </c>
      <c r="C49" s="134" t="s">
        <v>216</v>
      </c>
      <c r="D49" s="134"/>
      <c r="E49" s="135">
        <f t="shared" ref="E49:E54" si="29">E48+0.7</f>
        <v>2.0999999999999996</v>
      </c>
      <c r="F49" s="136">
        <v>0</v>
      </c>
      <c r="G49" s="136">
        <v>0</v>
      </c>
      <c r="H49" s="136">
        <v>0</v>
      </c>
      <c r="I49" s="136">
        <f t="shared" si="7"/>
        <v>117.10608999999999</v>
      </c>
      <c r="J49" s="136">
        <v>0</v>
      </c>
      <c r="K49" s="137">
        <f t="shared" si="24"/>
        <v>128.816699</v>
      </c>
      <c r="L49" s="137" t="e" cm="1">
        <f t="array" aca="1" ref="L49" ca="1">Profile_SM(C49,O49*1000,12)/10^3</f>
        <v>#NAME?</v>
      </c>
      <c r="M49" s="137" t="e" cm="1">
        <f t="array" aca="1" ref="M49" ca="1">Profile_ShearArea(C49,O49,12)</f>
        <v>#NAME?</v>
      </c>
      <c r="N49" s="135">
        <v>2</v>
      </c>
      <c r="O49" s="135">
        <v>0.7</v>
      </c>
      <c r="P49" s="136">
        <v>1</v>
      </c>
      <c r="Q49" s="136">
        <v>355</v>
      </c>
      <c r="R49" s="158">
        <f t="shared" si="15"/>
        <v>79.198786118171938</v>
      </c>
      <c r="S49" s="136">
        <v>0</v>
      </c>
      <c r="T49" s="136">
        <v>140.24291940000001</v>
      </c>
      <c r="U49" s="136">
        <f t="shared" si="27"/>
        <v>255.49300782623513</v>
      </c>
      <c r="V49" s="137">
        <f t="shared" si="26"/>
        <v>67.234264901037562</v>
      </c>
      <c r="W49" s="137">
        <f t="shared" si="28"/>
        <v>180.51935801994691</v>
      </c>
      <c r="X49" s="137">
        <f t="shared" si="19"/>
        <v>447.05225543713527</v>
      </c>
      <c r="Y49" s="137">
        <f t="shared" si="20"/>
        <v>499.51257465715264</v>
      </c>
      <c r="Z49" s="139" t="e">
        <f t="shared" ca="1" si="21"/>
        <v>#NAME?</v>
      </c>
      <c r="AA49" s="140" t="e">
        <f t="shared" ca="1" si="22"/>
        <v>#NAME?</v>
      </c>
    </row>
    <row r="50" spans="1:27" ht="12" customHeight="1" x14ac:dyDescent="0.45">
      <c r="A50" s="133">
        <v>32</v>
      </c>
      <c r="B50" s="133" t="s">
        <v>244</v>
      </c>
      <c r="C50" s="134" t="s">
        <v>216</v>
      </c>
      <c r="D50" s="134"/>
      <c r="E50" s="135">
        <f t="shared" si="29"/>
        <v>2.8</v>
      </c>
      <c r="F50" s="136">
        <v>0</v>
      </c>
      <c r="G50" s="136">
        <v>0</v>
      </c>
      <c r="H50" s="136">
        <v>0</v>
      </c>
      <c r="I50" s="136">
        <f t="shared" si="7"/>
        <v>110.067415</v>
      </c>
      <c r="J50" s="136">
        <v>0</v>
      </c>
      <c r="K50" s="137">
        <f t="shared" si="24"/>
        <v>121.0741565</v>
      </c>
      <c r="L50" s="137" t="e" cm="1">
        <f t="array" aca="1" ref="L50" ca="1">Profile_SM(C50,O50*1000,12)/10^3</f>
        <v>#NAME?</v>
      </c>
      <c r="M50" s="137" t="e" cm="1">
        <f t="array" aca="1" ref="M50" ca="1">Profile_ShearArea(C50,O50,12)</f>
        <v>#NAME?</v>
      </c>
      <c r="N50" s="135">
        <v>2</v>
      </c>
      <c r="O50" s="135">
        <v>0.7</v>
      </c>
      <c r="P50" s="136">
        <v>1</v>
      </c>
      <c r="Q50" s="136">
        <v>355</v>
      </c>
      <c r="R50" s="158">
        <f t="shared" si="15"/>
        <v>44.066244747626712</v>
      </c>
      <c r="S50" s="136">
        <v>0</v>
      </c>
      <c r="T50" s="136">
        <v>144.72304080000001</v>
      </c>
      <c r="U50" s="136">
        <f t="shared" si="27"/>
        <v>254.51151160871513</v>
      </c>
      <c r="V50" s="137">
        <f t="shared" si="26"/>
        <v>68.215761118557566</v>
      </c>
      <c r="W50" s="137">
        <f t="shared" si="28"/>
        <v>184.46957890277412</v>
      </c>
      <c r="X50" s="137">
        <f t="shared" si="19"/>
        <v>414.13649944574615</v>
      </c>
      <c r="Y50" s="137">
        <f t="shared" si="20"/>
        <v>459.43569695396246</v>
      </c>
      <c r="Z50" s="139" t="e">
        <f t="shared" ca="1" si="21"/>
        <v>#NAME?</v>
      </c>
      <c r="AA50" s="140" t="e">
        <f t="shared" ca="1" si="22"/>
        <v>#NAME?</v>
      </c>
    </row>
    <row r="51" spans="1:27" ht="12" customHeight="1" x14ac:dyDescent="0.45">
      <c r="A51" s="133">
        <v>33</v>
      </c>
      <c r="B51" s="133" t="s">
        <v>246</v>
      </c>
      <c r="C51" s="134" t="s">
        <v>216</v>
      </c>
      <c r="D51" s="134"/>
      <c r="E51" s="135">
        <f t="shared" si="29"/>
        <v>3.5</v>
      </c>
      <c r="F51" s="136">
        <v>0</v>
      </c>
      <c r="G51" s="136">
        <v>0</v>
      </c>
      <c r="H51" s="136">
        <v>0</v>
      </c>
      <c r="I51" s="136">
        <f t="shared" si="7"/>
        <v>103.02873999999998</v>
      </c>
      <c r="J51" s="136">
        <v>0</v>
      </c>
      <c r="K51" s="137">
        <f t="shared" si="24"/>
        <v>113.33161399999999</v>
      </c>
      <c r="L51" s="137" t="e" cm="1">
        <f t="array" aca="1" ref="L51" ca="1">Profile_SM(C51,O51*1000,12)/10^3</f>
        <v>#NAME?</v>
      </c>
      <c r="M51" s="137" t="e" cm="1">
        <f t="array" aca="1" ref="M51" ca="1">Profile_ShearArea(C51,O51,12)</f>
        <v>#NAME?</v>
      </c>
      <c r="N51" s="135">
        <v>2</v>
      </c>
      <c r="O51" s="135">
        <v>0.7</v>
      </c>
      <c r="P51" s="136">
        <v>1</v>
      </c>
      <c r="Q51" s="136">
        <v>355</v>
      </c>
      <c r="R51" s="158">
        <f t="shared" si="15"/>
        <v>8.9337033770814926</v>
      </c>
      <c r="S51" s="136">
        <v>0</v>
      </c>
      <c r="T51" s="136">
        <v>146.67072139999999</v>
      </c>
      <c r="U51" s="136">
        <f t="shared" si="27"/>
        <v>254.19817584715065</v>
      </c>
      <c r="V51" s="137">
        <f t="shared" si="26"/>
        <v>68.52909688012204</v>
      </c>
      <c r="W51" s="137">
        <f t="shared" si="28"/>
        <v>186.14227610270504</v>
      </c>
      <c r="X51" s="137">
        <f t="shared" si="19"/>
        <v>385.88051602263539</v>
      </c>
      <c r="Y51" s="137">
        <f t="shared" si="20"/>
        <v>426.19082274586589</v>
      </c>
      <c r="Z51" s="139" t="e">
        <f t="shared" ca="1" si="21"/>
        <v>#NAME?</v>
      </c>
      <c r="AA51" s="140" t="e">
        <f t="shared" ca="1" si="22"/>
        <v>#NAME?</v>
      </c>
    </row>
    <row r="52" spans="1:27" ht="12" customHeight="1" x14ac:dyDescent="0.45">
      <c r="A52" s="133">
        <v>34</v>
      </c>
      <c r="B52" s="133" t="s">
        <v>248</v>
      </c>
      <c r="C52" s="134" t="s">
        <v>216</v>
      </c>
      <c r="D52" s="134"/>
      <c r="E52" s="135">
        <f t="shared" si="29"/>
        <v>4.2</v>
      </c>
      <c r="F52" s="136">
        <v>0</v>
      </c>
      <c r="G52" s="136">
        <v>0</v>
      </c>
      <c r="H52" s="136">
        <v>0</v>
      </c>
      <c r="I52" s="136">
        <f t="shared" si="7"/>
        <v>95.990064999999987</v>
      </c>
      <c r="J52" s="136">
        <v>0</v>
      </c>
      <c r="K52" s="137">
        <f t="shared" si="24"/>
        <v>105.58907149999999</v>
      </c>
      <c r="L52" s="137" t="e" cm="1">
        <f t="array" aca="1" ref="L52" ca="1">Profile_SM(C52,O52*1000,12)/10^3</f>
        <v>#NAME?</v>
      </c>
      <c r="M52" s="137" t="e" cm="1">
        <f t="array" aca="1" ref="M52" ca="1">Profile_ShearArea(C52,O52,12)</f>
        <v>#NAME?</v>
      </c>
      <c r="N52" s="135">
        <v>2</v>
      </c>
      <c r="O52" s="135">
        <v>0.7</v>
      </c>
      <c r="P52" s="136">
        <v>1</v>
      </c>
      <c r="Q52" s="136">
        <v>355</v>
      </c>
      <c r="R52" s="158">
        <f t="shared" si="15"/>
        <v>26.198837993463727</v>
      </c>
      <c r="S52" s="136">
        <v>0</v>
      </c>
      <c r="T52" s="136">
        <v>146.0859614</v>
      </c>
      <c r="U52" s="136">
        <f t="shared" si="27"/>
        <v>254.38102025641504</v>
      </c>
      <c r="V52" s="137">
        <f t="shared" si="26"/>
        <v>68.34625247085765</v>
      </c>
      <c r="W52" s="137">
        <f t="shared" si="28"/>
        <v>185.59903786474857</v>
      </c>
      <c r="X52" s="137">
        <f t="shared" si="19"/>
        <v>360.4798964972058</v>
      </c>
      <c r="Y52" s="137">
        <f t="shared" si="20"/>
        <v>398.23670909254423</v>
      </c>
      <c r="Z52" s="139" t="e">
        <f t="shared" ca="1" si="21"/>
        <v>#NAME?</v>
      </c>
      <c r="AA52" s="140" t="e">
        <f t="shared" ca="1" si="22"/>
        <v>#NAME?</v>
      </c>
    </row>
    <row r="53" spans="1:27" ht="12" customHeight="1" x14ac:dyDescent="0.45">
      <c r="A53" s="133">
        <v>35</v>
      </c>
      <c r="B53" s="133" t="s">
        <v>249</v>
      </c>
      <c r="C53" s="134" t="s">
        <v>223</v>
      </c>
      <c r="D53" s="134"/>
      <c r="E53" s="135">
        <f t="shared" si="29"/>
        <v>4.9000000000000004</v>
      </c>
      <c r="F53" s="136">
        <v>0</v>
      </c>
      <c r="G53" s="136">
        <v>0</v>
      </c>
      <c r="H53" s="136">
        <v>0</v>
      </c>
      <c r="I53" s="136">
        <f t="shared" si="7"/>
        <v>88.951389999999989</v>
      </c>
      <c r="J53" s="136">
        <v>0</v>
      </c>
      <c r="K53" s="137">
        <f t="shared" si="24"/>
        <v>97.84652899999999</v>
      </c>
      <c r="L53" s="137"/>
      <c r="M53" s="137"/>
      <c r="N53" s="135"/>
      <c r="O53" s="135"/>
      <c r="P53" s="136"/>
      <c r="Q53" s="136"/>
      <c r="R53" s="158"/>
      <c r="S53" s="136"/>
      <c r="T53" s="136">
        <v>142.9687606</v>
      </c>
      <c r="U53" s="136"/>
      <c r="V53" s="137"/>
      <c r="W53" s="137"/>
      <c r="X53" s="137"/>
      <c r="Y53" s="137"/>
      <c r="Z53" s="139"/>
      <c r="AA53" s="140"/>
    </row>
    <row r="54" spans="1:27" ht="12" customHeight="1" x14ac:dyDescent="0.45">
      <c r="A54" s="133">
        <v>36</v>
      </c>
      <c r="B54" s="133" t="s">
        <v>250</v>
      </c>
      <c r="C54" s="134" t="s">
        <v>258</v>
      </c>
      <c r="D54" s="134"/>
      <c r="E54" s="135">
        <f t="shared" si="29"/>
        <v>5.6000000000000005</v>
      </c>
      <c r="F54" s="136">
        <v>0</v>
      </c>
      <c r="G54" s="136">
        <v>0</v>
      </c>
      <c r="H54" s="136">
        <v>0</v>
      </c>
      <c r="I54" s="136">
        <f t="shared" si="7"/>
        <v>81.912714999999992</v>
      </c>
      <c r="J54" s="136">
        <v>0</v>
      </c>
      <c r="K54" s="137">
        <f t="shared" si="24"/>
        <v>90.103986500000005</v>
      </c>
      <c r="L54" s="137" t="e" cm="1">
        <f t="array" aca="1" ref="L54" ca="1">Profile_SM(C54,O54*1000,12)/10^3</f>
        <v>#NAME?</v>
      </c>
      <c r="M54" s="137" t="e" cm="1">
        <f t="array" aca="1" ref="M54" ca="1">Profile_ShearArea(C54,O54,12)</f>
        <v>#NAME?</v>
      </c>
      <c r="N54" s="135">
        <v>4</v>
      </c>
      <c r="O54" s="135">
        <v>0.7</v>
      </c>
      <c r="P54" s="136">
        <v>1</v>
      </c>
      <c r="Q54" s="136">
        <v>355</v>
      </c>
      <c r="R54" s="158">
        <f t="shared" ref="R54:R55" si="30">$M$11/ABS(($M$12/(E54-$M$13)))/1000</f>
        <v>96.463920734554165</v>
      </c>
      <c r="S54" s="136">
        <v>0</v>
      </c>
      <c r="T54" s="136">
        <v>132.3595914</v>
      </c>
      <c r="U54" s="136">
        <f t="shared" ref="U54:U55" si="31">SQRT(R54^2+S54^2-R54*S54+3*T54^2)</f>
        <v>248.72167639795128</v>
      </c>
      <c r="V54" s="137">
        <f t="shared" ref="V54:V55" si="32">(Q54/$F$7-U54)</f>
        <v>74.005596329321406</v>
      </c>
      <c r="W54" s="137">
        <f t="shared" ref="W54:W55" si="33">0.577*SQRT((Q54/$F$7)^2-R54^2)</f>
        <v>177.7006419179661</v>
      </c>
      <c r="X54" s="137">
        <f>N54^2*O54*K54*1000000/($F$8*V54*P54)/10^3</f>
        <v>1136.3607380776821</v>
      </c>
      <c r="Y54" s="137">
        <f>N54*O54*K54*1000/(2*W54)</f>
        <v>709.87690161656235</v>
      </c>
      <c r="Z54" s="139" t="e">
        <f ca="1">IF(AND(L54&gt;=X54,M54&gt;=Y54),"OK","N.G")</f>
        <v>#NAME?</v>
      </c>
      <c r="AA54" s="140" t="e">
        <f ca="1">L54/X54</f>
        <v>#NAME?</v>
      </c>
    </row>
    <row r="55" spans="1:27" ht="12" customHeight="1" x14ac:dyDescent="0.45">
      <c r="A55" s="133">
        <v>37</v>
      </c>
      <c r="B55" s="133" t="s">
        <v>251</v>
      </c>
      <c r="C55" s="134" t="s">
        <v>258</v>
      </c>
      <c r="D55" s="134"/>
      <c r="E55" s="135">
        <v>6.3</v>
      </c>
      <c r="F55" s="136">
        <v>0</v>
      </c>
      <c r="G55" s="136">
        <v>0</v>
      </c>
      <c r="H55" s="136">
        <v>0</v>
      </c>
      <c r="I55" s="136">
        <f t="shared" si="7"/>
        <v>74.874039999999994</v>
      </c>
      <c r="J55" s="136">
        <v>0</v>
      </c>
      <c r="K55" s="137">
        <f t="shared" si="24"/>
        <v>82.361444000000006</v>
      </c>
      <c r="L55" s="137" t="e" cm="1">
        <f t="array" aca="1" ref="L55" ca="1">Profile_SM(C55,O55*1000,12)/10^3</f>
        <v>#NAME?</v>
      </c>
      <c r="M55" s="137" t="e" cm="1">
        <f t="array" aca="1" ref="M55" ca="1">Profile_ShearArea(C55,O55,12)</f>
        <v>#NAME?</v>
      </c>
      <c r="N55" s="135">
        <v>4</v>
      </c>
      <c r="O55" s="135">
        <v>0.7</v>
      </c>
      <c r="P55" s="136">
        <v>1</v>
      </c>
      <c r="Q55" s="136">
        <v>355</v>
      </c>
      <c r="R55" s="158">
        <f t="shared" si="30"/>
        <v>131.59646210509931</v>
      </c>
      <c r="S55" s="136">
        <v>0</v>
      </c>
      <c r="T55" s="136">
        <v>124.1775092</v>
      </c>
      <c r="U55" s="136">
        <f t="shared" si="31"/>
        <v>252.14636664431055</v>
      </c>
      <c r="V55" s="137">
        <f t="shared" si="32"/>
        <v>70.580906082962144</v>
      </c>
      <c r="W55" s="137">
        <f t="shared" si="33"/>
        <v>170.02934310338722</v>
      </c>
      <c r="X55" s="137">
        <f>N55^2*O55*K55*1000000/($F$8*V55*P55)/10^3</f>
        <v>1089.1143983942541</v>
      </c>
      <c r="Y55" s="137">
        <f>N55*O55*K55*1000/(2*W55)</f>
        <v>678.1536615705653</v>
      </c>
      <c r="Z55" s="139" t="e">
        <f ca="1">IF(AND(L55&gt;=X55,M55&gt;=Y55),"OK","N.G")</f>
        <v>#NAME?</v>
      </c>
      <c r="AA55" s="140" t="e">
        <f ca="1">L55/X55</f>
        <v>#NAME?</v>
      </c>
    </row>
    <row r="73" ht="15" customHeight="1" x14ac:dyDescent="0.45"/>
    <row r="74" ht="15" customHeight="1" x14ac:dyDescent="0.45"/>
    <row r="75" ht="15" customHeight="1" x14ac:dyDescent="0.45"/>
    <row r="76" ht="15" customHeight="1" x14ac:dyDescent="0.45"/>
    <row r="77" ht="15" customHeight="1" x14ac:dyDescent="0.45"/>
    <row r="78" ht="15" customHeight="1" x14ac:dyDescent="0.45"/>
    <row r="79" ht="15" customHeight="1" x14ac:dyDescent="0.45"/>
    <row r="80" ht="15" customHeight="1" x14ac:dyDescent="0.45"/>
    <row r="81" ht="15" customHeight="1" x14ac:dyDescent="0.45"/>
    <row r="82" ht="15" customHeight="1" x14ac:dyDescent="0.45"/>
    <row r="83" ht="15" customHeight="1" x14ac:dyDescent="0.45"/>
    <row r="84" ht="15" customHeight="1" x14ac:dyDescent="0.45"/>
    <row r="85" ht="15" customHeight="1" x14ac:dyDescent="0.45"/>
    <row r="86" ht="15" customHeight="1" x14ac:dyDescent="0.45"/>
    <row r="87" ht="15" customHeight="1" x14ac:dyDescent="0.45"/>
    <row r="88" ht="15" customHeight="1" x14ac:dyDescent="0.45"/>
    <row r="89" ht="15" customHeight="1" x14ac:dyDescent="0.45"/>
    <row r="90" ht="15" customHeight="1" x14ac:dyDescent="0.45"/>
    <row r="91" ht="15" customHeight="1" x14ac:dyDescent="0.45"/>
    <row r="92" ht="15" customHeight="1" x14ac:dyDescent="0.45"/>
    <row r="93" ht="15" customHeight="1" x14ac:dyDescent="0.45"/>
    <row r="94" ht="15" customHeight="1" x14ac:dyDescent="0.45"/>
    <row r="95" ht="15" customHeight="1" x14ac:dyDescent="0.45"/>
    <row r="96" ht="15" customHeight="1" x14ac:dyDescent="0.45"/>
    <row r="97" ht="15" customHeight="1" x14ac:dyDescent="0.45"/>
    <row r="98" ht="15" customHeight="1" x14ac:dyDescent="0.45"/>
    <row r="99" ht="15" customHeight="1" x14ac:dyDescent="0.45"/>
    <row r="100" ht="15" customHeight="1" x14ac:dyDescent="0.45"/>
    <row r="101" ht="15" customHeight="1" x14ac:dyDescent="0.45"/>
    <row r="102" ht="15" customHeight="1" x14ac:dyDescent="0.45"/>
  </sheetData>
  <mergeCells count="4">
    <mergeCell ref="F4:N5"/>
    <mergeCell ref="A22:D22"/>
    <mergeCell ref="Z22:Z23"/>
    <mergeCell ref="A23:D23"/>
  </mergeCells>
  <phoneticPr fontId="4" type="noConversion"/>
  <conditionalFormatting sqref="Z24:Z55">
    <cfRule type="cellIs" dxfId="1" priority="2" operator="equal">
      <formula>"N.G"</formula>
    </cfRule>
  </conditionalFormatting>
  <conditionalFormatting sqref="Y24:Y30">
    <cfRule type="cellIs" dxfId="0" priority="1" operator="greaterThan">
      <formula>$M$24</formula>
    </cfRule>
  </conditionalFormatting>
  <pageMargins left="0.7" right="0.7" top="0.75" bottom="0.75" header="0.3" footer="0.3"/>
  <pageSetup paperSize="9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0DD53-C536-4EC7-97F8-B995233F2FFF}">
  <sheetPr codeName="Sheet2"/>
  <dimension ref="B5:F21"/>
  <sheetViews>
    <sheetView topLeftCell="A4" workbookViewId="0">
      <selection activeCell="E14" sqref="E14:E16"/>
    </sheetView>
  </sheetViews>
  <sheetFormatPr defaultRowHeight="17" x14ac:dyDescent="0.45"/>
  <cols>
    <col min="2" max="2" width="8.75" bestFit="1" customWidth="1"/>
    <col min="3" max="6" width="9.75" bestFit="1" customWidth="1"/>
  </cols>
  <sheetData>
    <row r="5" spans="2:6" x14ac:dyDescent="0.45">
      <c r="C5" s="55" t="s">
        <v>262</v>
      </c>
      <c r="D5" s="55" t="s">
        <v>263</v>
      </c>
      <c r="E5" s="55" t="s">
        <v>264</v>
      </c>
      <c r="F5" s="55" t="s">
        <v>265</v>
      </c>
    </row>
    <row r="6" spans="2:6" x14ac:dyDescent="0.45">
      <c r="B6" s="56">
        <v>0</v>
      </c>
      <c r="C6" s="57">
        <v>178.73608200000001</v>
      </c>
      <c r="D6" s="57">
        <v>182.18977899999999</v>
      </c>
      <c r="E6" s="57">
        <v>183.486797</v>
      </c>
      <c r="F6" s="57">
        <v>209.18444600000001</v>
      </c>
    </row>
    <row r="7" spans="2:6" x14ac:dyDescent="0.45">
      <c r="B7" s="56">
        <v>0.7</v>
      </c>
      <c r="C7" s="57">
        <v>154.28995900000001</v>
      </c>
      <c r="D7" s="57">
        <v>152.420208</v>
      </c>
      <c r="E7" s="57">
        <v>146.504143</v>
      </c>
      <c r="F7" s="57">
        <v>167.19158300000001</v>
      </c>
    </row>
    <row r="8" spans="2:6" x14ac:dyDescent="0.45">
      <c r="B8" s="56">
        <v>1.4</v>
      </c>
      <c r="C8" s="57">
        <v>129.84383600000001</v>
      </c>
      <c r="D8" s="57">
        <v>122.65063600000001</v>
      </c>
      <c r="E8" s="57">
        <v>109.521489</v>
      </c>
      <c r="F8" s="57">
        <v>125.19871999999999</v>
      </c>
    </row>
    <row r="9" spans="2:6" x14ac:dyDescent="0.45">
      <c r="B9" s="56">
        <v>2.1</v>
      </c>
      <c r="C9" s="57">
        <v>105.397713</v>
      </c>
      <c r="D9" s="57">
        <v>92.881063999999995</v>
      </c>
      <c r="E9" s="57">
        <v>72.538833999999994</v>
      </c>
      <c r="F9" s="57">
        <v>83.205858000000006</v>
      </c>
    </row>
    <row r="10" spans="2:6" x14ac:dyDescent="0.45">
      <c r="B10" s="56">
        <v>2.8</v>
      </c>
      <c r="C10" s="57">
        <v>80.951589999999996</v>
      </c>
      <c r="D10" s="57">
        <v>63.111491999999998</v>
      </c>
      <c r="E10" s="57">
        <v>35.556179999999998</v>
      </c>
      <c r="F10" s="57">
        <v>41.212994999999999</v>
      </c>
    </row>
    <row r="11" spans="2:6" x14ac:dyDescent="0.45">
      <c r="B11" s="56">
        <v>3.5</v>
      </c>
      <c r="C11" s="57">
        <v>56.505467000000003</v>
      </c>
      <c r="D11" s="57">
        <v>33.341920000000002</v>
      </c>
      <c r="E11" s="57">
        <v>1.426474</v>
      </c>
      <c r="F11" s="57">
        <v>0.77986699999999998</v>
      </c>
    </row>
    <row r="12" spans="2:6" x14ac:dyDescent="0.45">
      <c r="B12" s="56">
        <v>4.2</v>
      </c>
      <c r="C12" s="57">
        <v>32.059344000000003</v>
      </c>
      <c r="D12" s="57">
        <v>3.572349</v>
      </c>
      <c r="E12" s="57">
        <v>38.409128000000003</v>
      </c>
      <c r="F12" s="57">
        <v>42.772730000000003</v>
      </c>
    </row>
    <row r="13" spans="2:6" x14ac:dyDescent="0.45">
      <c r="B13" s="56">
        <v>4.9000000000000004</v>
      </c>
      <c r="C13" s="57">
        <v>7.6132210000000002</v>
      </c>
      <c r="D13" s="57">
        <v>26.197223000000001</v>
      </c>
      <c r="E13" s="57">
        <v>75.391782000000006</v>
      </c>
      <c r="F13" s="57">
        <v>84.765592999999996</v>
      </c>
    </row>
    <row r="14" spans="2:6" x14ac:dyDescent="0.45">
      <c r="B14" s="56">
        <v>5.6</v>
      </c>
      <c r="C14" s="57">
        <v>16.832902000000001</v>
      </c>
      <c r="D14" s="57">
        <v>55.966794999999998</v>
      </c>
      <c r="E14" s="57">
        <v>112.374436</v>
      </c>
      <c r="F14" s="57">
        <v>126.758455</v>
      </c>
    </row>
    <row r="15" spans="2:6" x14ac:dyDescent="0.45">
      <c r="B15" s="56">
        <v>6.3</v>
      </c>
      <c r="C15" s="57">
        <v>41.279024999999997</v>
      </c>
      <c r="D15" s="57">
        <v>85.736367000000001</v>
      </c>
      <c r="E15" s="57">
        <v>149.35709</v>
      </c>
      <c r="F15" s="57">
        <v>168.751318</v>
      </c>
    </row>
    <row r="16" spans="2:6" x14ac:dyDescent="0.45">
      <c r="B16" s="56">
        <v>7</v>
      </c>
      <c r="C16" s="57">
        <v>65.725148000000004</v>
      </c>
      <c r="D16" s="57">
        <v>115.505939</v>
      </c>
      <c r="E16" s="57">
        <v>186.339744</v>
      </c>
      <c r="F16" s="57">
        <v>210.74418</v>
      </c>
    </row>
    <row r="17" spans="2:6" x14ac:dyDescent="0.45">
      <c r="B17" s="56">
        <v>7.7</v>
      </c>
      <c r="C17" s="57">
        <v>90.171271000000004</v>
      </c>
      <c r="D17" s="57">
        <v>145.27551</v>
      </c>
      <c r="E17" s="57">
        <v>223.32239799999999</v>
      </c>
      <c r="F17" s="57">
        <v>252.737043</v>
      </c>
    </row>
    <row r="18" spans="2:6" x14ac:dyDescent="0.45">
      <c r="B18" s="56">
        <v>8.4</v>
      </c>
      <c r="C18" s="57">
        <v>114.617394</v>
      </c>
      <c r="D18" s="57">
        <v>175.04508200000001</v>
      </c>
      <c r="E18" s="57">
        <v>260.30505299999999</v>
      </c>
      <c r="F18" s="57">
        <v>294.72990600000003</v>
      </c>
    </row>
    <row r="19" spans="2:6" x14ac:dyDescent="0.45">
      <c r="B19" s="56">
        <v>9.1</v>
      </c>
      <c r="C19" s="57">
        <v>139.06351699999999</v>
      </c>
      <c r="D19" s="57">
        <v>204.81465399999999</v>
      </c>
      <c r="E19" s="57">
        <v>297.28770700000001</v>
      </c>
      <c r="F19" s="57">
        <v>336.72276799999997</v>
      </c>
    </row>
    <row r="20" spans="2:6" x14ac:dyDescent="0.45">
      <c r="B20" s="56">
        <v>9.8000000000000007</v>
      </c>
      <c r="C20" s="57">
        <v>163.50963999999999</v>
      </c>
      <c r="D20" s="57">
        <v>234.584226</v>
      </c>
      <c r="E20" s="57">
        <v>334.27036099999998</v>
      </c>
      <c r="F20" s="57">
        <v>378.71563099999997</v>
      </c>
    </row>
    <row r="21" spans="2:6" x14ac:dyDescent="0.45">
      <c r="B21" s="56">
        <v>10.5</v>
      </c>
      <c r="C21" s="57">
        <v>187.95576299999999</v>
      </c>
      <c r="D21" s="57">
        <v>264.35379799999998</v>
      </c>
      <c r="E21" s="57">
        <v>371.253015</v>
      </c>
      <c r="F21" s="57">
        <v>420.70849299999998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Front</vt:lpstr>
      <vt:lpstr>Global Strength</vt:lpstr>
      <vt:lpstr>Plates(FR#0)</vt:lpstr>
      <vt:lpstr>Plates(FR#2)</vt:lpstr>
      <vt:lpstr>Plates(FR#4+2000)</vt:lpstr>
      <vt:lpstr>Plates(FR#5)</vt:lpstr>
      <vt:lpstr>Plates(FR#7)</vt:lpstr>
      <vt:lpstr>Stiffeners(FR#2)</vt:lpstr>
      <vt:lpstr>Stiffeners(FR#4+2000)</vt:lpstr>
      <vt:lpstr>Stiffeners(FR#7)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정우열</dc:creator>
  <cp:keywords/>
  <dc:description/>
  <cp:lastModifiedBy>우열 정</cp:lastModifiedBy>
  <cp:revision/>
  <dcterms:created xsi:type="dcterms:W3CDTF">2015-06-05T18:19:34Z</dcterms:created>
  <dcterms:modified xsi:type="dcterms:W3CDTF">2025-05-09T02:24:17Z</dcterms:modified>
  <cp:category/>
  <cp:contentStatus/>
</cp:coreProperties>
</file>