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735635C1-1BC1-4E94-AB6A-14BF7748D398}" xr6:coauthVersionLast="47" xr6:coauthVersionMax="47" xr10:uidLastSave="{00000000-0000-0000-0000-000000000000}"/>
  <bookViews>
    <workbookView xWindow="38280" yWindow="-120" windowWidth="38640" windowHeight="21120" firstSheet="3" activeTab="13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Plates(FR#11)" sheetId="22" r:id="rId11"/>
    <sheet name="Stiffeners(FR#0)" sheetId="23" r:id="rId12"/>
    <sheet name="Stiffeners(FR#2)" sheetId="10" r:id="rId13"/>
    <sheet name="Stiffeners(FR#4)" sheetId="13" r:id="rId14"/>
    <sheet name="Stiffeners(FR#6)" sheetId="24" r:id="rId15"/>
    <sheet name="Stiffeners(FR#7+2000)" sheetId="14" r:id="rId16"/>
    <sheet name="Stiffeners(FR#9)" sheetId="25" r:id="rId17"/>
    <sheet name="Stiffeners(FR#11)" sheetId="26" r:id="rId18"/>
    <sheet name="Sheet3" sheetId="4" r:id="rId19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10">'Plates(FR#11)'!#REF!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1">'Stiffeners(FR#0)'!#REF!</definedName>
    <definedName name="grav" localSheetId="17">'Stiffeners(FR#11)'!#REF!</definedName>
    <definedName name="grav" localSheetId="12">'Stiffeners(FR#2)'!#REF!</definedName>
    <definedName name="grav" localSheetId="13">'Stiffeners(FR#4)'!#REF!</definedName>
    <definedName name="grav" localSheetId="14">'Stiffeners(FR#6)'!#REF!</definedName>
    <definedName name="grav" localSheetId="15">'Stiffeners(FR#7+2000)'!#REF!</definedName>
    <definedName name="grav" localSheetId="16">'Stiffeners(FR#9)'!#REF!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10">'Plates(FR#11)'!#REF!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1">'Stiffeners(FR#0)'!#REF!</definedName>
    <definedName name="rho" localSheetId="17">'Stiffeners(FR#11)'!#REF!</definedName>
    <definedName name="rho" localSheetId="12">'Stiffeners(FR#2)'!#REF!</definedName>
    <definedName name="rho" localSheetId="13">'Stiffeners(FR#4)'!#REF!</definedName>
    <definedName name="rho" localSheetId="14">'Stiffeners(FR#6)'!#REF!</definedName>
    <definedName name="rho" localSheetId="15">'Stiffeners(FR#7+2000)'!#REF!</definedName>
    <definedName name="rho" localSheetId="16">'Stiffeners(FR#9)'!#REF!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5" l="1"/>
  <c r="H23" i="5"/>
  <c r="J23" i="5"/>
  <c r="Q23" i="5"/>
  <c r="T23" i="5"/>
  <c r="U23" i="5" s="1"/>
  <c r="W23" i="5" s="1"/>
  <c r="X23" i="5" s="1"/>
  <c r="Z23" i="5" s="1"/>
  <c r="G24" i="5"/>
  <c r="H24" i="5"/>
  <c r="J24" i="5"/>
  <c r="Q24" i="5"/>
  <c r="T24" i="5"/>
  <c r="U24" i="5"/>
  <c r="G25" i="5"/>
  <c r="H25" i="5"/>
  <c r="J25" i="5"/>
  <c r="Q25" i="5"/>
  <c r="T25" i="5"/>
  <c r="U25" i="5"/>
  <c r="W25" i="5" s="1"/>
  <c r="X25" i="5" s="1"/>
  <c r="Z25" i="5" s="1"/>
  <c r="G26" i="5"/>
  <c r="H26" i="5"/>
  <c r="J26" i="5"/>
  <c r="Q26" i="5"/>
  <c r="T26" i="5"/>
  <c r="U26" i="5" s="1"/>
  <c r="W26" i="5" s="1"/>
  <c r="G27" i="5"/>
  <c r="H27" i="5"/>
  <c r="J27" i="5"/>
  <c r="W27" i="5" s="1"/>
  <c r="X27" i="5" s="1"/>
  <c r="Z27" i="5" s="1"/>
  <c r="Q27" i="5"/>
  <c r="T27" i="5"/>
  <c r="U27" i="5"/>
  <c r="G28" i="5"/>
  <c r="H28" i="5"/>
  <c r="J28" i="5"/>
  <c r="W28" i="5" s="1"/>
  <c r="X28" i="5" s="1"/>
  <c r="Z28" i="5" s="1"/>
  <c r="Q28" i="5"/>
  <c r="T28" i="5"/>
  <c r="U28" i="5"/>
  <c r="G29" i="5"/>
  <c r="H29" i="5"/>
  <c r="J29" i="5"/>
  <c r="W29" i="5" s="1"/>
  <c r="X29" i="5" s="1"/>
  <c r="Z29" i="5" s="1"/>
  <c r="Q29" i="5"/>
  <c r="T29" i="5"/>
  <c r="U29" i="5" s="1"/>
  <c r="G30" i="5"/>
  <c r="H30" i="5"/>
  <c r="J30" i="5" s="1"/>
  <c r="Q30" i="5"/>
  <c r="T30" i="5" s="1"/>
  <c r="U30" i="5" s="1"/>
  <c r="G31" i="5"/>
  <c r="H31" i="5"/>
  <c r="J31" i="5"/>
  <c r="Q31" i="5"/>
  <c r="T31" i="5"/>
  <c r="U31" i="5"/>
  <c r="G32" i="5"/>
  <c r="H32" i="5"/>
  <c r="J32" i="5"/>
  <c r="W32" i="5" s="1"/>
  <c r="X32" i="5" s="1"/>
  <c r="Z32" i="5" s="1"/>
  <c r="Q32" i="5"/>
  <c r="T32" i="5"/>
  <c r="U32" i="5"/>
  <c r="G33" i="5"/>
  <c r="H33" i="5"/>
  <c r="J33" i="5" s="1"/>
  <c r="Q33" i="5"/>
  <c r="T33" i="5" s="1"/>
  <c r="U33" i="5" s="1"/>
  <c r="D34" i="5"/>
  <c r="G34" i="5"/>
  <c r="H34" i="5"/>
  <c r="J34" i="5"/>
  <c r="Q34" i="5"/>
  <c r="T34" i="5"/>
  <c r="U34" i="5"/>
  <c r="D35" i="5"/>
  <c r="G35" i="5"/>
  <c r="H35" i="5"/>
  <c r="J35" i="5"/>
  <c r="Q35" i="5"/>
  <c r="T35" i="5"/>
  <c r="U35" i="5"/>
  <c r="W35" i="5" s="1"/>
  <c r="X35" i="5" s="1"/>
  <c r="Z35" i="5" s="1"/>
  <c r="D36" i="5"/>
  <c r="H36" i="5" s="1"/>
  <c r="J36" i="5" s="1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V23" i="5"/>
  <c r="V24" i="5"/>
  <c r="W24" i="5"/>
  <c r="X24" i="5"/>
  <c r="Z24" i="5"/>
  <c r="V25" i="5"/>
  <c r="V26" i="5"/>
  <c r="X26" i="5" s="1"/>
  <c r="Z26" i="5" s="1"/>
  <c r="V27" i="5"/>
  <c r="V28" i="5"/>
  <c r="V29" i="5"/>
  <c r="V30" i="5"/>
  <c r="V31" i="5"/>
  <c r="X31" i="5" s="1"/>
  <c r="Z31" i="5" s="1"/>
  <c r="W31" i="5"/>
  <c r="V32" i="5"/>
  <c r="V33" i="5"/>
  <c r="V34" i="5"/>
  <c r="W34" i="5"/>
  <c r="X34" i="5"/>
  <c r="Z34" i="5"/>
  <c r="V35" i="5"/>
  <c r="V36" i="5"/>
  <c r="V37" i="5"/>
  <c r="V38" i="5"/>
  <c r="V39" i="5"/>
  <c r="V40" i="5"/>
  <c r="V41" i="5"/>
  <c r="V42" i="5"/>
  <c r="V43" i="5"/>
  <c r="J47" i="23"/>
  <c r="L47" i="23"/>
  <c r="S37" i="25"/>
  <c r="V37" i="25"/>
  <c r="W37" i="25"/>
  <c r="X37" i="25"/>
  <c r="Z37" i="25" s="1"/>
  <c r="Y37" i="25"/>
  <c r="S55" i="25"/>
  <c r="V55" i="25"/>
  <c r="W55" i="25" s="1"/>
  <c r="Y55" i="25" s="1"/>
  <c r="X55" i="25"/>
  <c r="Z55" i="25"/>
  <c r="S55" i="26"/>
  <c r="V55" i="26" s="1"/>
  <c r="W55" i="26" s="1"/>
  <c r="Y55" i="26" s="1"/>
  <c r="X55" i="26"/>
  <c r="Z55" i="26" s="1"/>
  <c r="S37" i="26"/>
  <c r="V37" i="26"/>
  <c r="W37" i="26" s="1"/>
  <c r="Y37" i="26" s="1"/>
  <c r="X37" i="26"/>
  <c r="Z37" i="26" s="1"/>
  <c r="J30" i="14"/>
  <c r="L30" i="14" s="1"/>
  <c r="J29" i="14"/>
  <c r="J28" i="14"/>
  <c r="J27" i="14"/>
  <c r="J26" i="14"/>
  <c r="J25" i="14"/>
  <c r="L25" i="14"/>
  <c r="L26" i="14"/>
  <c r="L27" i="14"/>
  <c r="L28" i="14"/>
  <c r="L29" i="14"/>
  <c r="L25" i="10"/>
  <c r="L26" i="10"/>
  <c r="L27" i="10"/>
  <c r="L28" i="10"/>
  <c r="L29" i="10"/>
  <c r="L30" i="10"/>
  <c r="J25" i="10"/>
  <c r="J26" i="10"/>
  <c r="J27" i="10"/>
  <c r="J28" i="10"/>
  <c r="J29" i="10"/>
  <c r="J30" i="10"/>
  <c r="Y24" i="26"/>
  <c r="Y25" i="26"/>
  <c r="L25" i="26"/>
  <c r="L26" i="26"/>
  <c r="L27" i="26"/>
  <c r="L28" i="26"/>
  <c r="L29" i="26"/>
  <c r="L30" i="26"/>
  <c r="J25" i="26"/>
  <c r="J26" i="26"/>
  <c r="J27" i="26"/>
  <c r="J28" i="26"/>
  <c r="J29" i="26"/>
  <c r="J30" i="26"/>
  <c r="J24" i="26"/>
  <c r="M15" i="26"/>
  <c r="M13" i="26"/>
  <c r="M12" i="26"/>
  <c r="M11" i="26"/>
  <c r="M15" i="22"/>
  <c r="M13" i="22"/>
  <c r="M12" i="22"/>
  <c r="M11" i="22"/>
  <c r="J65" i="13"/>
  <c r="L65" i="13" s="1"/>
  <c r="S65" i="13"/>
  <c r="X65" i="13" s="1"/>
  <c r="F44" i="13"/>
  <c r="F43" i="13" s="1"/>
  <c r="F41" i="24"/>
  <c r="F42" i="24"/>
  <c r="J62" i="24"/>
  <c r="L62" i="24" s="1"/>
  <c r="S62" i="24"/>
  <c r="V62" i="24" s="1"/>
  <c r="W62" i="24" s="1"/>
  <c r="X62" i="24"/>
  <c r="J63" i="24"/>
  <c r="L63" i="24"/>
  <c r="S63" i="24"/>
  <c r="V63" i="24" s="1"/>
  <c r="W63" i="24" s="1"/>
  <c r="F43" i="24"/>
  <c r="F42" i="14"/>
  <c r="F41" i="14"/>
  <c r="J40" i="14"/>
  <c r="L40" i="14" s="1"/>
  <c r="J41" i="14"/>
  <c r="L41" i="14" s="1"/>
  <c r="J42" i="14"/>
  <c r="L42" i="14" s="1"/>
  <c r="J59" i="14"/>
  <c r="L59" i="14" s="1"/>
  <c r="J60" i="14"/>
  <c r="L60" i="14" s="1"/>
  <c r="J61" i="14"/>
  <c r="L61" i="14"/>
  <c r="J56" i="14"/>
  <c r="L56" i="14"/>
  <c r="J24" i="14"/>
  <c r="L24" i="14" s="1"/>
  <c r="L24" i="26"/>
  <c r="J24" i="25"/>
  <c r="L24" i="25" s="1"/>
  <c r="M49" i="23" a="1"/>
  <c r="M50" i="23" a="1"/>
  <c r="M52" i="23" a="1"/>
  <c r="M51" i="23" a="1"/>
  <c r="M53" i="23" a="1"/>
  <c r="M48" i="23" a="1"/>
  <c r="M47" i="23" a="1"/>
  <c r="M43" i="23" a="1"/>
  <c r="M33" i="23" a="1"/>
  <c r="M42" i="23" a="1"/>
  <c r="M32" i="23" a="1"/>
  <c r="M41" i="23" a="1"/>
  <c r="M31" i="23" a="1"/>
  <c r="M30" i="23" a="1"/>
  <c r="M39" i="23" a="1"/>
  <c r="M29" i="23" a="1"/>
  <c r="M27" i="23" a="1"/>
  <c r="M36" i="23" a="1"/>
  <c r="M45" i="23" a="1"/>
  <c r="M34" i="23" a="1"/>
  <c r="M28" i="23" a="1"/>
  <c r="M44" i="23" a="1"/>
  <c r="M40" i="23" a="1"/>
  <c r="M37" i="23" a="1"/>
  <c r="M46" i="23" a="1"/>
  <c r="M35" i="23" a="1"/>
  <c r="M26" i="23" a="1"/>
  <c r="M25" i="23" a="1"/>
  <c r="M24" i="23" a="1"/>
  <c r="M37" i="25" a="1"/>
  <c r="N37" i="25" a="1"/>
  <c r="M55" i="25" a="1"/>
  <c r="N55" i="25" a="1"/>
  <c r="M55" i="26" a="1"/>
  <c r="N55" i="26" a="1"/>
  <c r="M37" i="26" a="1"/>
  <c r="N37" i="26" a="1"/>
  <c r="N61" i="14" a="1"/>
  <c r="N41" i="14" a="1"/>
  <c r="N65" i="13" a="1"/>
  <c r="M65" i="13" a="1"/>
  <c r="N64" i="13" a="1"/>
  <c r="N62" i="24" a="1"/>
  <c r="N60" i="14" a="1"/>
  <c r="M59" i="14" a="1"/>
  <c r="M63" i="13" a="1"/>
  <c r="M62" i="24" a="1"/>
  <c r="M64" i="13" a="1"/>
  <c r="N40" i="14" a="1"/>
  <c r="M56" i="14" a="1"/>
  <c r="M32" i="14" a="1"/>
  <c r="N56" i="14" a="1"/>
  <c r="N42" i="14" a="1"/>
  <c r="M63" i="24" a="1"/>
  <c r="M60" i="14" a="1"/>
  <c r="M41" i="14" a="1"/>
  <c r="M40" i="14" a="1"/>
  <c r="M42" i="14" a="1"/>
  <c r="N59" i="14" a="1"/>
  <c r="M61" i="14" a="1"/>
  <c r="N63" i="24" a="1"/>
  <c r="N63" i="13" a="1"/>
  <c r="N29" i="10" a="1"/>
  <c r="N28" i="10" a="1"/>
  <c r="N27" i="10" a="1"/>
  <c r="N26" i="10" a="1"/>
  <c r="N25" i="10" a="1"/>
  <c r="N24" i="10" a="1"/>
  <c r="N30" i="10" a="1"/>
  <c r="M24" i="26" a="1"/>
  <c r="M48" i="23" l="1"/>
  <c r="M53" i="23"/>
  <c r="M51" i="23"/>
  <c r="M52" i="23"/>
  <c r="M50" i="23"/>
  <c r="M49" i="23"/>
  <c r="M47" i="23"/>
  <c r="M25" i="23"/>
  <c r="M26" i="23"/>
  <c r="M35" i="23"/>
  <c r="M46" i="23"/>
  <c r="M37" i="23"/>
  <c r="M40" i="23"/>
  <c r="M44" i="23"/>
  <c r="M28" i="23"/>
  <c r="M34" i="23"/>
  <c r="M45" i="23"/>
  <c r="M36" i="23"/>
  <c r="M27" i="23"/>
  <c r="M29" i="23"/>
  <c r="M39" i="23"/>
  <c r="M30" i="23"/>
  <c r="M31" i="23"/>
  <c r="M41" i="23"/>
  <c r="M32" i="23"/>
  <c r="M42" i="23"/>
  <c r="M33" i="23"/>
  <c r="M43" i="23"/>
  <c r="M24" i="23"/>
  <c r="W33" i="5"/>
  <c r="X33" i="5" s="1"/>
  <c r="Z33" i="5" s="1"/>
  <c r="W30" i="5"/>
  <c r="X30" i="5" s="1"/>
  <c r="Z30" i="5" s="1"/>
  <c r="D37" i="5"/>
  <c r="Q36" i="5"/>
  <c r="T36" i="5" s="1"/>
  <c r="U36" i="5" s="1"/>
  <c r="W36" i="5" s="1"/>
  <c r="X36" i="5" s="1"/>
  <c r="Z36" i="5" s="1"/>
  <c r="N37" i="25"/>
  <c r="M37" i="25"/>
  <c r="N55" i="25"/>
  <c r="M55" i="25"/>
  <c r="N55" i="26"/>
  <c r="M55" i="26"/>
  <c r="N37" i="26"/>
  <c r="M37" i="26"/>
  <c r="N29" i="10"/>
  <c r="N28" i="10"/>
  <c r="N27" i="10"/>
  <c r="N26" i="10"/>
  <c r="N25" i="10"/>
  <c r="N24" i="10"/>
  <c r="N30" i="10"/>
  <c r="M24" i="26"/>
  <c r="Z65" i="13"/>
  <c r="S63" i="13"/>
  <c r="J63" i="13"/>
  <c r="L63" i="13" s="1"/>
  <c r="S64" i="13"/>
  <c r="X64" i="13" s="1"/>
  <c r="J64" i="13"/>
  <c r="L64" i="13" s="1"/>
  <c r="N64" i="13"/>
  <c r="M64" i="13"/>
  <c r="M65" i="13"/>
  <c r="M63" i="13"/>
  <c r="N65" i="13"/>
  <c r="N63" i="13"/>
  <c r="V65" i="13"/>
  <c r="W65" i="13" s="1"/>
  <c r="Y65" i="13" s="1"/>
  <c r="J43" i="13"/>
  <c r="F42" i="13"/>
  <c r="F41" i="13" s="1"/>
  <c r="N63" i="24"/>
  <c r="M63" i="24"/>
  <c r="M62" i="24"/>
  <c r="N62" i="24"/>
  <c r="Y63" i="24"/>
  <c r="Y62" i="24"/>
  <c r="Z62" i="24"/>
  <c r="X63" i="24"/>
  <c r="Z63" i="24" s="1"/>
  <c r="N41" i="14"/>
  <c r="M41" i="14"/>
  <c r="N42" i="14"/>
  <c r="M42" i="14"/>
  <c r="N40" i="14"/>
  <c r="M40" i="14"/>
  <c r="M60" i="14"/>
  <c r="N61" i="14"/>
  <c r="M61" i="14"/>
  <c r="N59" i="14"/>
  <c r="M59" i="14"/>
  <c r="N60" i="14"/>
  <c r="N56" i="14"/>
  <c r="M56" i="14"/>
  <c r="M32" i="14"/>
  <c r="N32" i="14" a="1"/>
  <c r="H37" i="5" l="1"/>
  <c r="J37" i="5" s="1"/>
  <c r="Q37" i="5"/>
  <c r="T37" i="5" s="1"/>
  <c r="U37" i="5" s="1"/>
  <c r="D38" i="5"/>
  <c r="AA37" i="25"/>
  <c r="AB37" i="25"/>
  <c r="AB55" i="25"/>
  <c r="AA55" i="25"/>
  <c r="AA55" i="26"/>
  <c r="AB55" i="26"/>
  <c r="AA37" i="26"/>
  <c r="AB37" i="26"/>
  <c r="Z64" i="13"/>
  <c r="V63" i="13"/>
  <c r="W63" i="13" s="1"/>
  <c r="Y63" i="13" s="1"/>
  <c r="X63" i="13"/>
  <c r="Z63" i="13" s="1"/>
  <c r="AA63" i="13" s="1"/>
  <c r="V64" i="13"/>
  <c r="W64" i="13" s="1"/>
  <c r="Y64" i="13" s="1"/>
  <c r="AA64" i="13" s="1"/>
  <c r="AB63" i="13"/>
  <c r="AB65" i="13"/>
  <c r="AA65" i="13"/>
  <c r="AA62" i="24"/>
  <c r="AB62" i="24"/>
  <c r="AA63" i="24"/>
  <c r="AB63" i="24"/>
  <c r="N32" i="14"/>
  <c r="J24" i="24"/>
  <c r="L24" i="24" s="1"/>
  <c r="J24" i="13"/>
  <c r="L24" i="13" s="1"/>
  <c r="J24" i="10"/>
  <c r="L24" i="10" s="1"/>
  <c r="F69" i="10"/>
  <c r="S69" i="10" s="1"/>
  <c r="F68" i="10"/>
  <c r="S68" i="10" s="1"/>
  <c r="J53" i="23"/>
  <c r="L53" i="23" s="1"/>
  <c r="J52" i="23"/>
  <c r="L52" i="23" s="1"/>
  <c r="J51" i="23"/>
  <c r="L51" i="23" s="1"/>
  <c r="J50" i="23"/>
  <c r="L50" i="23" s="1"/>
  <c r="J49" i="23"/>
  <c r="L49" i="23" s="1"/>
  <c r="J48" i="23"/>
  <c r="L48" i="23" s="1"/>
  <c r="J32" i="23"/>
  <c r="L32" i="23" s="1"/>
  <c r="J31" i="23"/>
  <c r="L31" i="23" s="1"/>
  <c r="J25" i="23"/>
  <c r="L25" i="23" s="1"/>
  <c r="J26" i="23"/>
  <c r="L26" i="23" s="1"/>
  <c r="J27" i="23"/>
  <c r="L27" i="23" s="1"/>
  <c r="J28" i="23"/>
  <c r="J29" i="23"/>
  <c r="L29" i="23" s="1"/>
  <c r="J30" i="23"/>
  <c r="J24" i="23"/>
  <c r="L30" i="23"/>
  <c r="L28" i="23"/>
  <c r="L24" i="23"/>
  <c r="S48" i="26"/>
  <c r="V48" i="26" s="1"/>
  <c r="W48" i="26" s="1"/>
  <c r="M15" i="25"/>
  <c r="M13" i="25"/>
  <c r="M12" i="25"/>
  <c r="M11" i="25"/>
  <c r="S48" i="25" s="1"/>
  <c r="M15" i="14"/>
  <c r="M13" i="14"/>
  <c r="M12" i="14"/>
  <c r="M11" i="14"/>
  <c r="M15" i="24"/>
  <c r="M13" i="24"/>
  <c r="M12" i="24"/>
  <c r="M11" i="24"/>
  <c r="S29" i="24" s="1"/>
  <c r="X29" i="24" s="1"/>
  <c r="M15" i="13"/>
  <c r="M13" i="13"/>
  <c r="M12" i="13"/>
  <c r="M11" i="13"/>
  <c r="S43" i="13" s="1"/>
  <c r="M15" i="10"/>
  <c r="M13" i="10"/>
  <c r="M12" i="10"/>
  <c r="M11" i="10"/>
  <c r="M15" i="23"/>
  <c r="M13" i="23"/>
  <c r="M12" i="23"/>
  <c r="M11" i="23"/>
  <c r="S49" i="23" s="1"/>
  <c r="X49" i="23" s="1"/>
  <c r="J59" i="26"/>
  <c r="L59" i="26" s="1"/>
  <c r="J58" i="26"/>
  <c r="L58" i="26" s="1"/>
  <c r="J57" i="26"/>
  <c r="L57" i="26" s="1"/>
  <c r="F50" i="26"/>
  <c r="J50" i="26" s="1"/>
  <c r="L50" i="26" s="1"/>
  <c r="S49" i="26"/>
  <c r="V49" i="26" s="1"/>
  <c r="W49" i="26" s="1"/>
  <c r="J49" i="26"/>
  <c r="L49" i="26" s="1"/>
  <c r="J48" i="26"/>
  <c r="L48" i="26" s="1"/>
  <c r="J47" i="26"/>
  <c r="L47" i="26" s="1"/>
  <c r="J46" i="26"/>
  <c r="L46" i="26" s="1"/>
  <c r="J45" i="26"/>
  <c r="L45" i="26" s="1"/>
  <c r="J44" i="26"/>
  <c r="L44" i="26" s="1"/>
  <c r="J43" i="26"/>
  <c r="L43" i="26" s="1"/>
  <c r="J42" i="26"/>
  <c r="L42" i="26" s="1"/>
  <c r="F40" i="26"/>
  <c r="J39" i="26"/>
  <c r="L39" i="26" s="1"/>
  <c r="F32" i="26"/>
  <c r="J31" i="26"/>
  <c r="L31" i="26" s="1"/>
  <c r="S25" i="26"/>
  <c r="X25" i="26" s="1"/>
  <c r="S24" i="26"/>
  <c r="X24" i="26" s="1"/>
  <c r="AC16" i="26"/>
  <c r="F16" i="26"/>
  <c r="AC15" i="26"/>
  <c r="AC14" i="26"/>
  <c r="F14" i="26"/>
  <c r="AC13" i="26"/>
  <c r="AC12" i="26"/>
  <c r="AC11" i="26"/>
  <c r="AC10" i="26"/>
  <c r="AC9" i="26"/>
  <c r="AC8" i="26"/>
  <c r="J59" i="25"/>
  <c r="L59" i="25" s="1"/>
  <c r="J58" i="25"/>
  <c r="L58" i="25" s="1"/>
  <c r="J57" i="25"/>
  <c r="L57" i="25" s="1"/>
  <c r="S51" i="25"/>
  <c r="S50" i="25"/>
  <c r="V50" i="25" s="1"/>
  <c r="W50" i="25" s="1"/>
  <c r="J50" i="25"/>
  <c r="L50" i="25" s="1"/>
  <c r="S49" i="25"/>
  <c r="X49" i="25" s="1"/>
  <c r="J49" i="25"/>
  <c r="L49" i="25" s="1"/>
  <c r="J48" i="25"/>
  <c r="L48" i="25" s="1"/>
  <c r="J47" i="25"/>
  <c r="L47" i="25" s="1"/>
  <c r="S46" i="25"/>
  <c r="V46" i="25" s="1"/>
  <c r="W46" i="25" s="1"/>
  <c r="J46" i="25"/>
  <c r="L46" i="25" s="1"/>
  <c r="J45" i="25"/>
  <c r="L45" i="25" s="1"/>
  <c r="J44" i="25"/>
  <c r="L44" i="25" s="1"/>
  <c r="J43" i="25"/>
  <c r="L43" i="25" s="1"/>
  <c r="J42" i="25"/>
  <c r="L42" i="25" s="1"/>
  <c r="S41" i="25"/>
  <c r="J39" i="25"/>
  <c r="L39" i="25" s="1"/>
  <c r="S32" i="25"/>
  <c r="S31" i="25"/>
  <c r="V31" i="25" s="1"/>
  <c r="W31" i="25" s="1"/>
  <c r="J31" i="25"/>
  <c r="L31" i="25" s="1"/>
  <c r="S30" i="25"/>
  <c r="X30" i="25" s="1"/>
  <c r="J30" i="25"/>
  <c r="L30" i="25" s="1"/>
  <c r="J29" i="25"/>
  <c r="L29" i="25" s="1"/>
  <c r="S28" i="25"/>
  <c r="V28" i="25" s="1"/>
  <c r="W28" i="25" s="1"/>
  <c r="J28" i="25"/>
  <c r="L28" i="25" s="1"/>
  <c r="S27" i="25"/>
  <c r="X27" i="25" s="1"/>
  <c r="J27" i="25"/>
  <c r="L27" i="25" s="1"/>
  <c r="J26" i="25"/>
  <c r="L26" i="25" s="1"/>
  <c r="S25" i="25"/>
  <c r="X25" i="25" s="1"/>
  <c r="J25" i="25"/>
  <c r="L25" i="25" s="1"/>
  <c r="AC16" i="25"/>
  <c r="F16" i="25"/>
  <c r="AC15" i="25"/>
  <c r="AC14" i="25"/>
  <c r="F14" i="25"/>
  <c r="AC13" i="25"/>
  <c r="AC12" i="25"/>
  <c r="AC11" i="25"/>
  <c r="AC10" i="25"/>
  <c r="AC9" i="25"/>
  <c r="AC8" i="25"/>
  <c r="J61" i="24"/>
  <c r="L61" i="24" s="1"/>
  <c r="J60" i="24"/>
  <c r="L60" i="24" s="1"/>
  <c r="J59" i="24"/>
  <c r="L59" i="24" s="1"/>
  <c r="F52" i="24"/>
  <c r="J52" i="24" s="1"/>
  <c r="L52" i="24" s="1"/>
  <c r="J51" i="24"/>
  <c r="L51" i="24" s="1"/>
  <c r="J50" i="24"/>
  <c r="L50" i="24" s="1"/>
  <c r="J49" i="24"/>
  <c r="L49" i="24" s="1"/>
  <c r="J48" i="24"/>
  <c r="L48" i="24" s="1"/>
  <c r="J47" i="24"/>
  <c r="L47" i="24" s="1"/>
  <c r="J46" i="24"/>
  <c r="L46" i="24" s="1"/>
  <c r="J45" i="24"/>
  <c r="L45" i="24" s="1"/>
  <c r="J44" i="24"/>
  <c r="L44" i="24" s="1"/>
  <c r="F40" i="24"/>
  <c r="J40" i="24" s="1"/>
  <c r="L40" i="24" s="1"/>
  <c r="J39" i="24"/>
  <c r="L39" i="24" s="1"/>
  <c r="F32" i="24"/>
  <c r="J31" i="24"/>
  <c r="L31" i="24" s="1"/>
  <c r="J30" i="24"/>
  <c r="L30" i="24" s="1"/>
  <c r="J29" i="24"/>
  <c r="L29" i="24" s="1"/>
  <c r="J28" i="24"/>
  <c r="L28" i="24" s="1"/>
  <c r="J27" i="24"/>
  <c r="L27" i="24" s="1"/>
  <c r="J26" i="24"/>
  <c r="L26" i="24" s="1"/>
  <c r="J25" i="24"/>
  <c r="L25" i="24" s="1"/>
  <c r="AC16" i="24"/>
  <c r="F16" i="24"/>
  <c r="AC15" i="24"/>
  <c r="AC14" i="24"/>
  <c r="F14" i="24"/>
  <c r="AC13" i="24"/>
  <c r="AC12" i="24"/>
  <c r="AC11" i="24"/>
  <c r="AC10" i="24"/>
  <c r="AC9" i="24"/>
  <c r="AC8" i="24"/>
  <c r="F32" i="23"/>
  <c r="AC16" i="23"/>
  <c r="F16" i="23"/>
  <c r="AC15" i="23"/>
  <c r="AC14" i="23"/>
  <c r="F14" i="23"/>
  <c r="AC13" i="23"/>
  <c r="AC12" i="23"/>
  <c r="AC11" i="23"/>
  <c r="AC10" i="23"/>
  <c r="AC9" i="23"/>
  <c r="AC8" i="23"/>
  <c r="G44" i="12"/>
  <c r="H44" i="12"/>
  <c r="J44" i="12" s="1"/>
  <c r="Q44" i="12"/>
  <c r="T44" i="12"/>
  <c r="U44" i="12" s="1"/>
  <c r="V44" i="12"/>
  <c r="G45" i="12"/>
  <c r="H45" i="12"/>
  <c r="J45" i="12"/>
  <c r="Q45" i="12"/>
  <c r="T45" i="12"/>
  <c r="U45" i="12"/>
  <c r="V45" i="12"/>
  <c r="W45" i="12"/>
  <c r="X45" i="12"/>
  <c r="Z45" i="12"/>
  <c r="G46" i="12"/>
  <c r="H46" i="12"/>
  <c r="J46" i="12" s="1"/>
  <c r="Q46" i="12"/>
  <c r="T46" i="12" s="1"/>
  <c r="U46" i="12" s="1"/>
  <c r="V46" i="12"/>
  <c r="G47" i="12"/>
  <c r="H47" i="12"/>
  <c r="J47" i="12" s="1"/>
  <c r="Q47" i="12"/>
  <c r="T47" i="12" s="1"/>
  <c r="U47" i="12" s="1"/>
  <c r="V47" i="12"/>
  <c r="G48" i="12"/>
  <c r="H48" i="12"/>
  <c r="J48" i="12"/>
  <c r="W48" i="12" s="1"/>
  <c r="X48" i="12" s="1"/>
  <c r="Z48" i="12" s="1"/>
  <c r="Q48" i="12"/>
  <c r="T48" i="12"/>
  <c r="U48" i="12"/>
  <c r="V48" i="12"/>
  <c r="G49" i="12"/>
  <c r="H49" i="12"/>
  <c r="J49" i="12"/>
  <c r="Q49" i="12"/>
  <c r="T49" i="12" s="1"/>
  <c r="U49" i="12" s="1"/>
  <c r="W49" i="12" s="1"/>
  <c r="X49" i="12" s="1"/>
  <c r="Z49" i="12" s="1"/>
  <c r="V49" i="12"/>
  <c r="G50" i="12"/>
  <c r="H50" i="12"/>
  <c r="J50" i="12"/>
  <c r="Q50" i="12"/>
  <c r="T50" i="12"/>
  <c r="U50" i="12"/>
  <c r="V50" i="12"/>
  <c r="W50" i="12"/>
  <c r="G51" i="12"/>
  <c r="H51" i="12"/>
  <c r="J51" i="12"/>
  <c r="Q51" i="12"/>
  <c r="T51" i="12" s="1"/>
  <c r="U51" i="12" s="1"/>
  <c r="W51" i="12" s="1"/>
  <c r="X51" i="12" s="1"/>
  <c r="Z51" i="12" s="1"/>
  <c r="V51" i="12"/>
  <c r="G23" i="12"/>
  <c r="H23" i="12"/>
  <c r="G24" i="12"/>
  <c r="H24" i="12"/>
  <c r="G25" i="12"/>
  <c r="H25" i="12"/>
  <c r="J25" i="12" s="1"/>
  <c r="G26" i="12"/>
  <c r="H26" i="12"/>
  <c r="G27" i="12"/>
  <c r="H27" i="12"/>
  <c r="G28" i="12"/>
  <c r="H28" i="12"/>
  <c r="G29" i="12"/>
  <c r="H29" i="12"/>
  <c r="G30" i="12"/>
  <c r="H30" i="12"/>
  <c r="J30" i="12" s="1"/>
  <c r="G31" i="12"/>
  <c r="H31" i="12"/>
  <c r="J31" i="12" s="1"/>
  <c r="G32" i="12"/>
  <c r="H32" i="12"/>
  <c r="G33" i="12"/>
  <c r="H33" i="12"/>
  <c r="D34" i="12"/>
  <c r="G34" i="12"/>
  <c r="H34" i="12"/>
  <c r="D35" i="12"/>
  <c r="G35" i="12"/>
  <c r="H35" i="12"/>
  <c r="D36" i="12"/>
  <c r="H36" i="12" s="1"/>
  <c r="G36" i="12"/>
  <c r="D37" i="12"/>
  <c r="G37" i="12"/>
  <c r="H37" i="12"/>
  <c r="D38" i="12"/>
  <c r="D39" i="12" s="1"/>
  <c r="G38" i="12"/>
  <c r="H38" i="12"/>
  <c r="G39" i="12"/>
  <c r="G40" i="12"/>
  <c r="D41" i="12"/>
  <c r="H41" i="12" s="1"/>
  <c r="G41" i="12"/>
  <c r="D42" i="12"/>
  <c r="G42" i="12"/>
  <c r="H42" i="12"/>
  <c r="G43" i="12"/>
  <c r="H43" i="12"/>
  <c r="W31" i="21"/>
  <c r="W30" i="21"/>
  <c r="X31" i="21"/>
  <c r="X30" i="21"/>
  <c r="Q24" i="22"/>
  <c r="T24" i="22" s="1"/>
  <c r="U24" i="22" s="1"/>
  <c r="V47" i="22"/>
  <c r="J47" i="22"/>
  <c r="G47" i="22"/>
  <c r="V46" i="22"/>
  <c r="J46" i="22"/>
  <c r="G46" i="22"/>
  <c r="V45" i="22"/>
  <c r="J45" i="22"/>
  <c r="G45" i="22"/>
  <c r="V44" i="22"/>
  <c r="J44" i="22"/>
  <c r="G44" i="22"/>
  <c r="V43" i="22"/>
  <c r="J43" i="22"/>
  <c r="G43" i="22"/>
  <c r="V42" i="22"/>
  <c r="J42" i="22"/>
  <c r="G42" i="22"/>
  <c r="V41" i="22"/>
  <c r="G41" i="22"/>
  <c r="V40" i="22"/>
  <c r="G40" i="22"/>
  <c r="V39" i="22"/>
  <c r="G39" i="22"/>
  <c r="V38" i="22"/>
  <c r="G38" i="22"/>
  <c r="V37" i="22"/>
  <c r="G37" i="22"/>
  <c r="V36" i="22"/>
  <c r="G36" i="22"/>
  <c r="V35" i="22"/>
  <c r="G35" i="22"/>
  <c r="V34" i="22"/>
  <c r="G34" i="22"/>
  <c r="V33" i="22"/>
  <c r="G33" i="22"/>
  <c r="V32" i="22"/>
  <c r="G32" i="22"/>
  <c r="D32" i="22"/>
  <c r="J32" i="22" s="1"/>
  <c r="V31" i="22"/>
  <c r="J31" i="22"/>
  <c r="G31" i="22"/>
  <c r="V30" i="22"/>
  <c r="J30" i="22"/>
  <c r="G30" i="22"/>
  <c r="V29" i="22"/>
  <c r="J29" i="22"/>
  <c r="G29" i="22"/>
  <c r="V28" i="22"/>
  <c r="J28" i="22"/>
  <c r="G28" i="22"/>
  <c r="V27" i="22"/>
  <c r="J27" i="22"/>
  <c r="G27" i="22"/>
  <c r="V26" i="22"/>
  <c r="J26" i="22"/>
  <c r="G26" i="22"/>
  <c r="V25" i="22"/>
  <c r="J25" i="22"/>
  <c r="G25" i="22"/>
  <c r="V24" i="22"/>
  <c r="J24" i="22"/>
  <c r="G24" i="22"/>
  <c r="V23" i="22"/>
  <c r="J23" i="22"/>
  <c r="G23" i="22"/>
  <c r="H50" i="21"/>
  <c r="M15" i="21"/>
  <c r="M13" i="21"/>
  <c r="M12" i="21"/>
  <c r="Q41" i="21" s="1"/>
  <c r="M11" i="21"/>
  <c r="H43" i="21"/>
  <c r="V23" i="12"/>
  <c r="M15" i="12"/>
  <c r="M12" i="12"/>
  <c r="M13" i="12"/>
  <c r="M11" i="12"/>
  <c r="T54" i="15"/>
  <c r="U54" i="15" s="1"/>
  <c r="W54" i="15" s="1"/>
  <c r="X54" i="15" s="1"/>
  <c r="Z54" i="15" s="1"/>
  <c r="V54" i="15"/>
  <c r="D43" i="15"/>
  <c r="D42" i="15" s="1"/>
  <c r="M15" i="15"/>
  <c r="M13" i="15"/>
  <c r="M12" i="15"/>
  <c r="M11" i="15"/>
  <c r="Q30" i="15"/>
  <c r="T30" i="15" s="1"/>
  <c r="U30" i="15" s="1"/>
  <c r="Q51" i="15"/>
  <c r="T51" i="15" s="1"/>
  <c r="U51" i="15" s="1"/>
  <c r="M13" i="11"/>
  <c r="M12" i="11"/>
  <c r="M11" i="11"/>
  <c r="Q30" i="11" s="1"/>
  <c r="T30" i="11" s="1"/>
  <c r="U30" i="11" s="1"/>
  <c r="M15" i="11"/>
  <c r="G49" i="5"/>
  <c r="H49" i="5"/>
  <c r="J49" i="5"/>
  <c r="V23" i="11"/>
  <c r="V64" i="21"/>
  <c r="T64" i="21"/>
  <c r="U64" i="21" s="1"/>
  <c r="H64" i="21"/>
  <c r="J64" i="21" s="1"/>
  <c r="G64" i="21"/>
  <c r="V63" i="21"/>
  <c r="T63" i="21"/>
  <c r="U63" i="21" s="1"/>
  <c r="H63" i="21"/>
  <c r="J63" i="21" s="1"/>
  <c r="G63" i="21"/>
  <c r="V62" i="21"/>
  <c r="T62" i="21"/>
  <c r="U62" i="21" s="1"/>
  <c r="H62" i="21"/>
  <c r="J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G60" i="21"/>
  <c r="V59" i="21"/>
  <c r="T59" i="21"/>
  <c r="U59" i="21" s="1"/>
  <c r="H59" i="21"/>
  <c r="J59" i="21" s="1"/>
  <c r="G59" i="21"/>
  <c r="V58" i="21"/>
  <c r="T58" i="21"/>
  <c r="U58" i="21" s="1"/>
  <c r="H58" i="21"/>
  <c r="J58" i="21" s="1"/>
  <c r="G58" i="21"/>
  <c r="V57" i="21"/>
  <c r="T57" i="21"/>
  <c r="U57" i="21" s="1"/>
  <c r="H57" i="21"/>
  <c r="J57" i="21" s="1"/>
  <c r="G57" i="21"/>
  <c r="V56" i="21"/>
  <c r="T56" i="21"/>
  <c r="U56" i="21" s="1"/>
  <c r="H56" i="21"/>
  <c r="J56" i="21" s="1"/>
  <c r="G56" i="21"/>
  <c r="V55" i="21"/>
  <c r="T55" i="21"/>
  <c r="U55" i="21" s="1"/>
  <c r="H55" i="21"/>
  <c r="J55" i="21" s="1"/>
  <c r="G55" i="21"/>
  <c r="V54" i="21"/>
  <c r="T54" i="21"/>
  <c r="U54" i="21" s="1"/>
  <c r="H54" i="21"/>
  <c r="J54" i="21" s="1"/>
  <c r="G54" i="21"/>
  <c r="V53" i="21"/>
  <c r="T53" i="21"/>
  <c r="U53" i="21" s="1"/>
  <c r="H53" i="21"/>
  <c r="J53" i="21" s="1"/>
  <c r="G53" i="21"/>
  <c r="V52" i="21"/>
  <c r="T52" i="21"/>
  <c r="U52" i="21" s="1"/>
  <c r="H52" i="21"/>
  <c r="J52" i="21" s="1"/>
  <c r="W52" i="21" s="1"/>
  <c r="G52" i="21"/>
  <c r="V51" i="21"/>
  <c r="H51" i="21"/>
  <c r="J51" i="21" s="1"/>
  <c r="G51" i="21"/>
  <c r="V50" i="21"/>
  <c r="J50" i="21"/>
  <c r="G50" i="21"/>
  <c r="V49" i="21"/>
  <c r="H49" i="21"/>
  <c r="J49" i="21" s="1"/>
  <c r="G49" i="21"/>
  <c r="V48" i="21"/>
  <c r="H48" i="21"/>
  <c r="J48" i="21" s="1"/>
  <c r="G48" i="21"/>
  <c r="V47" i="21"/>
  <c r="H47" i="21"/>
  <c r="J47" i="21" s="1"/>
  <c r="G47" i="21"/>
  <c r="V46" i="21"/>
  <c r="H46" i="21"/>
  <c r="J46" i="21" s="1"/>
  <c r="G46" i="21"/>
  <c r="V45" i="21"/>
  <c r="H45" i="21"/>
  <c r="J45" i="21" s="1"/>
  <c r="G45" i="21"/>
  <c r="V44" i="21"/>
  <c r="H44" i="21"/>
  <c r="J44" i="21" s="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H33" i="21"/>
  <c r="J33" i="21" s="1"/>
  <c r="G33" i="21"/>
  <c r="V32" i="21"/>
  <c r="H32" i="21"/>
  <c r="J32" i="21" s="1"/>
  <c r="G32" i="21"/>
  <c r="V31" i="21"/>
  <c r="H31" i="21"/>
  <c r="J31" i="21" s="1"/>
  <c r="G31" i="21"/>
  <c r="V30" i="21"/>
  <c r="H30" i="21"/>
  <c r="J30" i="21" s="1"/>
  <c r="G30" i="21"/>
  <c r="V29" i="21"/>
  <c r="H29" i="21"/>
  <c r="J29" i="21" s="1"/>
  <c r="G29" i="21"/>
  <c r="V28" i="21"/>
  <c r="H28" i="21"/>
  <c r="J28" i="21" s="1"/>
  <c r="G28" i="21"/>
  <c r="V27" i="21"/>
  <c r="H27" i="21"/>
  <c r="J27" i="21" s="1"/>
  <c r="G27" i="21"/>
  <c r="V26" i="21"/>
  <c r="H26" i="21"/>
  <c r="J26" i="21" s="1"/>
  <c r="G26" i="21"/>
  <c r="V25" i="21"/>
  <c r="H25" i="21"/>
  <c r="J25" i="21" s="1"/>
  <c r="G25" i="21"/>
  <c r="V24" i="21"/>
  <c r="H24" i="21"/>
  <c r="J24" i="21" s="1"/>
  <c r="G24" i="21"/>
  <c r="V23" i="21"/>
  <c r="H23" i="21"/>
  <c r="J23" i="21" s="1"/>
  <c r="G23" i="21"/>
  <c r="V64" i="12"/>
  <c r="T64" i="12"/>
  <c r="U64" i="12" s="1"/>
  <c r="H64" i="12"/>
  <c r="J64" i="12" s="1"/>
  <c r="G64" i="12"/>
  <c r="V63" i="12"/>
  <c r="T63" i="12"/>
  <c r="U63" i="12" s="1"/>
  <c r="H63" i="12"/>
  <c r="J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G61" i="12"/>
  <c r="V60" i="12"/>
  <c r="T60" i="12"/>
  <c r="U60" i="12" s="1"/>
  <c r="H60" i="12"/>
  <c r="J60" i="12" s="1"/>
  <c r="G60" i="12"/>
  <c r="V59" i="12"/>
  <c r="T59" i="12"/>
  <c r="U59" i="12" s="1"/>
  <c r="H59" i="12"/>
  <c r="J59" i="12" s="1"/>
  <c r="W59" i="12" s="1"/>
  <c r="G59" i="12"/>
  <c r="V58" i="12"/>
  <c r="T58" i="12"/>
  <c r="U58" i="12" s="1"/>
  <c r="H58" i="12"/>
  <c r="J58" i="12" s="1"/>
  <c r="G58" i="12"/>
  <c r="V57" i="12"/>
  <c r="T57" i="12"/>
  <c r="U57" i="12" s="1"/>
  <c r="H57" i="12"/>
  <c r="J57" i="12" s="1"/>
  <c r="G57" i="12"/>
  <c r="V56" i="12"/>
  <c r="T56" i="12"/>
  <c r="U56" i="12" s="1"/>
  <c r="H56" i="12"/>
  <c r="J56" i="12" s="1"/>
  <c r="G56" i="12"/>
  <c r="V55" i="12"/>
  <c r="T55" i="12"/>
  <c r="U55" i="12" s="1"/>
  <c r="H55" i="12"/>
  <c r="J55" i="12" s="1"/>
  <c r="G55" i="12"/>
  <c r="V54" i="12"/>
  <c r="T54" i="12"/>
  <c r="U54" i="12" s="1"/>
  <c r="H54" i="12"/>
  <c r="J54" i="12" s="1"/>
  <c r="G54" i="12"/>
  <c r="V53" i="12"/>
  <c r="T53" i="12"/>
  <c r="U53" i="12" s="1"/>
  <c r="H53" i="12"/>
  <c r="J53" i="12" s="1"/>
  <c r="G53" i="12"/>
  <c r="V52" i="12"/>
  <c r="T52" i="12"/>
  <c r="U52" i="12" s="1"/>
  <c r="H52" i="12"/>
  <c r="J52" i="12" s="1"/>
  <c r="G52" i="12"/>
  <c r="V43" i="12"/>
  <c r="V42" i="12"/>
  <c r="V41" i="12"/>
  <c r="V40" i="12"/>
  <c r="V39" i="12"/>
  <c r="V38" i="12"/>
  <c r="V37" i="12"/>
  <c r="V36" i="12"/>
  <c r="V35" i="12"/>
  <c r="V34" i="12"/>
  <c r="V33" i="12"/>
  <c r="J33" i="12"/>
  <c r="V32" i="12"/>
  <c r="J32" i="12"/>
  <c r="V31" i="12"/>
  <c r="V30" i="12"/>
  <c r="V29" i="12"/>
  <c r="J29" i="12"/>
  <c r="V28" i="12"/>
  <c r="J28" i="12"/>
  <c r="V27" i="12"/>
  <c r="J27" i="12"/>
  <c r="V26" i="12"/>
  <c r="J26" i="12"/>
  <c r="V25" i="12"/>
  <c r="V24" i="12"/>
  <c r="J24" i="12"/>
  <c r="J23" i="12"/>
  <c r="V68" i="15"/>
  <c r="T68" i="15"/>
  <c r="U68" i="15" s="1"/>
  <c r="H68" i="15"/>
  <c r="J68" i="15" s="1"/>
  <c r="G68" i="15"/>
  <c r="V67" i="15"/>
  <c r="T67" i="15"/>
  <c r="U67" i="15" s="1"/>
  <c r="H67" i="15"/>
  <c r="J67" i="15" s="1"/>
  <c r="G67" i="15"/>
  <c r="V66" i="15"/>
  <c r="T66" i="15"/>
  <c r="U66" i="15" s="1"/>
  <c r="H66" i="15"/>
  <c r="J66" i="15" s="1"/>
  <c r="G66" i="15"/>
  <c r="V65" i="15"/>
  <c r="T65" i="15"/>
  <c r="U65" i="15" s="1"/>
  <c r="H65" i="15"/>
  <c r="J65" i="15" s="1"/>
  <c r="G65" i="15"/>
  <c r="V64" i="15"/>
  <c r="T64" i="15"/>
  <c r="U64" i="15" s="1"/>
  <c r="H64" i="15"/>
  <c r="J64" i="15" s="1"/>
  <c r="G64" i="15"/>
  <c r="V63" i="15"/>
  <c r="T63" i="15"/>
  <c r="U63" i="15" s="1"/>
  <c r="H63" i="15"/>
  <c r="J63" i="15" s="1"/>
  <c r="G63" i="15"/>
  <c r="V62" i="15"/>
  <c r="T62" i="15"/>
  <c r="U62" i="15" s="1"/>
  <c r="H62" i="15"/>
  <c r="J62" i="15" s="1"/>
  <c r="G62" i="15"/>
  <c r="V61" i="15"/>
  <c r="T61" i="15"/>
  <c r="U61" i="15" s="1"/>
  <c r="H61" i="15"/>
  <c r="J61" i="15" s="1"/>
  <c r="G61" i="15"/>
  <c r="V60" i="15"/>
  <c r="T60" i="15"/>
  <c r="U60" i="15" s="1"/>
  <c r="H60" i="15"/>
  <c r="J60" i="15" s="1"/>
  <c r="G60" i="15"/>
  <c r="V59" i="15"/>
  <c r="T59" i="15"/>
  <c r="U59" i="15" s="1"/>
  <c r="H59" i="15"/>
  <c r="J59" i="15" s="1"/>
  <c r="G59" i="15"/>
  <c r="V58" i="15"/>
  <c r="T58" i="15"/>
  <c r="U58" i="15" s="1"/>
  <c r="H58" i="15"/>
  <c r="J58" i="15" s="1"/>
  <c r="G58" i="15"/>
  <c r="V57" i="15"/>
  <c r="T57" i="15"/>
  <c r="U57" i="15" s="1"/>
  <c r="H57" i="15"/>
  <c r="J57" i="15" s="1"/>
  <c r="W57" i="15" s="1"/>
  <c r="G57" i="15"/>
  <c r="V56" i="15"/>
  <c r="T56" i="15"/>
  <c r="U56" i="15" s="1"/>
  <c r="H56" i="15"/>
  <c r="J56" i="15" s="1"/>
  <c r="G56" i="15"/>
  <c r="V55" i="15"/>
  <c r="T55" i="15"/>
  <c r="U55" i="15" s="1"/>
  <c r="H55" i="15"/>
  <c r="J55" i="15" s="1"/>
  <c r="W55" i="15" s="1"/>
  <c r="G55" i="15"/>
  <c r="H54" i="15"/>
  <c r="J54" i="15" s="1"/>
  <c r="G54" i="15"/>
  <c r="V53" i="15"/>
  <c r="H53" i="15"/>
  <c r="J53" i="15" s="1"/>
  <c r="G53" i="15"/>
  <c r="V52" i="15"/>
  <c r="Q52" i="15"/>
  <c r="T52" i="15" s="1"/>
  <c r="U52" i="15" s="1"/>
  <c r="H52" i="15"/>
  <c r="J52" i="15" s="1"/>
  <c r="G52" i="15"/>
  <c r="V51" i="15"/>
  <c r="H51" i="15"/>
  <c r="J51" i="15" s="1"/>
  <c r="G51" i="15"/>
  <c r="V50" i="15"/>
  <c r="Q50" i="15"/>
  <c r="T50" i="15" s="1"/>
  <c r="U50" i="15" s="1"/>
  <c r="H50" i="15"/>
  <c r="J50" i="15" s="1"/>
  <c r="G50" i="15"/>
  <c r="V49" i="15"/>
  <c r="H49" i="15"/>
  <c r="J49" i="15" s="1"/>
  <c r="G49" i="15"/>
  <c r="V48" i="15"/>
  <c r="H48" i="15"/>
  <c r="J48" i="15" s="1"/>
  <c r="G48" i="15"/>
  <c r="V47" i="15"/>
  <c r="Q47" i="15"/>
  <c r="T47" i="15" s="1"/>
  <c r="U47" i="15" s="1"/>
  <c r="H47" i="15"/>
  <c r="J47" i="15" s="1"/>
  <c r="G47" i="15"/>
  <c r="V46" i="15"/>
  <c r="H46" i="15"/>
  <c r="J46" i="15" s="1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H33" i="15"/>
  <c r="J33" i="15" s="1"/>
  <c r="G33" i="15"/>
  <c r="V32" i="15"/>
  <c r="H32" i="15"/>
  <c r="J32" i="15" s="1"/>
  <c r="G32" i="15"/>
  <c r="V31" i="15"/>
  <c r="Q31" i="15"/>
  <c r="T31" i="15" s="1"/>
  <c r="U31" i="15" s="1"/>
  <c r="H31" i="15"/>
  <c r="J31" i="15" s="1"/>
  <c r="G31" i="15"/>
  <c r="V30" i="15"/>
  <c r="H30" i="15"/>
  <c r="J30" i="15" s="1"/>
  <c r="G30" i="15"/>
  <c r="V29" i="15"/>
  <c r="H29" i="15"/>
  <c r="J29" i="15" s="1"/>
  <c r="G29" i="15"/>
  <c r="V28" i="15"/>
  <c r="H28" i="15"/>
  <c r="J28" i="15" s="1"/>
  <c r="G28" i="15"/>
  <c r="V27" i="15"/>
  <c r="Q27" i="15"/>
  <c r="T27" i="15" s="1"/>
  <c r="U27" i="15" s="1"/>
  <c r="H27" i="15"/>
  <c r="J27" i="15" s="1"/>
  <c r="G27" i="15"/>
  <c r="V26" i="15"/>
  <c r="H26" i="15"/>
  <c r="J26" i="15" s="1"/>
  <c r="G26" i="15"/>
  <c r="V25" i="15"/>
  <c r="Q25" i="15"/>
  <c r="T25" i="15" s="1"/>
  <c r="U25" i="15" s="1"/>
  <c r="H25" i="15"/>
  <c r="J25" i="15" s="1"/>
  <c r="G25" i="15"/>
  <c r="V24" i="15"/>
  <c r="Q24" i="15"/>
  <c r="T24" i="15" s="1"/>
  <c r="U24" i="15" s="1"/>
  <c r="H24" i="15"/>
  <c r="J24" i="15" s="1"/>
  <c r="G24" i="15"/>
  <c r="V23" i="15"/>
  <c r="H23" i="15"/>
  <c r="J23" i="15" s="1"/>
  <c r="G23" i="15"/>
  <c r="F14" i="22"/>
  <c r="F12" i="22"/>
  <c r="V70" i="11"/>
  <c r="T70" i="11"/>
  <c r="U70" i="11" s="1"/>
  <c r="H70" i="11"/>
  <c r="J70" i="11" s="1"/>
  <c r="G70" i="11"/>
  <c r="V69" i="11"/>
  <c r="T69" i="11"/>
  <c r="U69" i="11" s="1"/>
  <c r="H69" i="11"/>
  <c r="J69" i="11" s="1"/>
  <c r="G69" i="11"/>
  <c r="V68" i="11"/>
  <c r="T68" i="11"/>
  <c r="U68" i="11" s="1"/>
  <c r="H68" i="11"/>
  <c r="J68" i="11" s="1"/>
  <c r="W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G65" i="11"/>
  <c r="V64" i="11"/>
  <c r="T64" i="11"/>
  <c r="U64" i="11" s="1"/>
  <c r="H64" i="11"/>
  <c r="J64" i="11" s="1"/>
  <c r="G64" i="11"/>
  <c r="V63" i="11"/>
  <c r="T63" i="11"/>
  <c r="U63" i="11" s="1"/>
  <c r="H63" i="11"/>
  <c r="J63" i="11" s="1"/>
  <c r="W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G58" i="11"/>
  <c r="V57" i="11"/>
  <c r="T57" i="11"/>
  <c r="U57" i="11" s="1"/>
  <c r="H57" i="11"/>
  <c r="J57" i="11" s="1"/>
  <c r="G57" i="11"/>
  <c r="V56" i="11"/>
  <c r="T56" i="11"/>
  <c r="U56" i="11" s="1"/>
  <c r="H56" i="11"/>
  <c r="J56" i="11" s="1"/>
  <c r="G56" i="11"/>
  <c r="V55" i="11"/>
  <c r="T55" i="11"/>
  <c r="U55" i="11" s="1"/>
  <c r="H55" i="11"/>
  <c r="J55" i="11" s="1"/>
  <c r="G55" i="11"/>
  <c r="V54" i="11"/>
  <c r="H54" i="11"/>
  <c r="J54" i="11" s="1"/>
  <c r="G54" i="11"/>
  <c r="V53" i="11"/>
  <c r="H53" i="11"/>
  <c r="J53" i="11" s="1"/>
  <c r="G53" i="11"/>
  <c r="V52" i="11"/>
  <c r="H52" i="11"/>
  <c r="J52" i="11" s="1"/>
  <c r="G52" i="11"/>
  <c r="V51" i="11"/>
  <c r="H51" i="11"/>
  <c r="J51" i="11" s="1"/>
  <c r="G51" i="11"/>
  <c r="V50" i="11"/>
  <c r="H50" i="11"/>
  <c r="J50" i="11" s="1"/>
  <c r="G50" i="11"/>
  <c r="V49" i="11"/>
  <c r="H49" i="11"/>
  <c r="J49" i="11" s="1"/>
  <c r="G49" i="11"/>
  <c r="V48" i="11"/>
  <c r="H48" i="11"/>
  <c r="J48" i="11" s="1"/>
  <c r="G48" i="11"/>
  <c r="V47" i="11"/>
  <c r="H47" i="11"/>
  <c r="J47" i="11" s="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H33" i="11"/>
  <c r="J33" i="11" s="1"/>
  <c r="G33" i="11"/>
  <c r="V32" i="11"/>
  <c r="H32" i="11"/>
  <c r="J32" i="11" s="1"/>
  <c r="G32" i="11"/>
  <c r="V31" i="11"/>
  <c r="H31" i="11"/>
  <c r="J31" i="11" s="1"/>
  <c r="G31" i="11"/>
  <c r="V30" i="11"/>
  <c r="H30" i="11"/>
  <c r="J30" i="11" s="1"/>
  <c r="G30" i="11"/>
  <c r="V29" i="11"/>
  <c r="H29" i="11"/>
  <c r="J29" i="11" s="1"/>
  <c r="G29" i="11"/>
  <c r="V28" i="11"/>
  <c r="H28" i="11"/>
  <c r="J28" i="11" s="1"/>
  <c r="G28" i="11"/>
  <c r="V27" i="11"/>
  <c r="H27" i="11"/>
  <c r="J27" i="11" s="1"/>
  <c r="G27" i="11"/>
  <c r="V26" i="11"/>
  <c r="H26" i="11"/>
  <c r="J26" i="11" s="1"/>
  <c r="G26" i="11"/>
  <c r="V25" i="11"/>
  <c r="H25" i="11"/>
  <c r="J25" i="11" s="1"/>
  <c r="G25" i="11"/>
  <c r="V24" i="11"/>
  <c r="H24" i="11"/>
  <c r="J24" i="11" s="1"/>
  <c r="G24" i="11"/>
  <c r="H23" i="11"/>
  <c r="J23" i="11" s="1"/>
  <c r="G23" i="11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T59" i="5"/>
  <c r="U59" i="5" s="1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V50" i="5"/>
  <c r="H50" i="5"/>
  <c r="J50" i="5" s="1"/>
  <c r="G50" i="5"/>
  <c r="V49" i="5"/>
  <c r="Q49" i="5"/>
  <c r="T49" i="5" s="1"/>
  <c r="U49" i="5" s="1"/>
  <c r="V48" i="5"/>
  <c r="V47" i="5"/>
  <c r="V46" i="5"/>
  <c r="V45" i="5"/>
  <c r="V44" i="5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33" i="16"/>
  <c r="J32" i="16"/>
  <c r="J31" i="16"/>
  <c r="J30" i="16"/>
  <c r="J29" i="16"/>
  <c r="J28" i="16"/>
  <c r="J27" i="16"/>
  <c r="J26" i="16"/>
  <c r="H31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J45" i="16" s="1"/>
  <c r="H44" i="16"/>
  <c r="J44" i="16" s="1"/>
  <c r="H43" i="16"/>
  <c r="J43" i="16" s="1"/>
  <c r="H40" i="16"/>
  <c r="J40" i="16" s="1"/>
  <c r="H39" i="16"/>
  <c r="J39" i="16" s="1"/>
  <c r="H38" i="16"/>
  <c r="J38" i="16" s="1"/>
  <c r="H33" i="16"/>
  <c r="H32" i="16"/>
  <c r="H30" i="16"/>
  <c r="H29" i="16"/>
  <c r="H28" i="16"/>
  <c r="H27" i="16"/>
  <c r="H26" i="16"/>
  <c r="H25" i="16"/>
  <c r="J25" i="16" s="1"/>
  <c r="H24" i="16"/>
  <c r="J24" i="16" s="1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M13" i="16"/>
  <c r="Q23" i="16" s="1"/>
  <c r="M12" i="16"/>
  <c r="M11" i="16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I9" i="18"/>
  <c r="H9" i="18"/>
  <c r="G9" i="18"/>
  <c r="F9" i="18"/>
  <c r="E9" i="18"/>
  <c r="D9" i="18"/>
  <c r="C9" i="18"/>
  <c r="I8" i="18"/>
  <c r="H8" i="18"/>
  <c r="H11" i="18" s="1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M56" i="25" a="1"/>
  <c r="N45" i="23" a="1"/>
  <c r="N50" i="25" a="1"/>
  <c r="M40" i="24" a="1"/>
  <c r="N38" i="25" a="1"/>
  <c r="N44" i="26" a="1"/>
  <c r="M36" i="24" a="1"/>
  <c r="N34" i="24" a="1"/>
  <c r="N32" i="26" a="1"/>
  <c r="N25" i="25" a="1"/>
  <c r="N42" i="26" a="1"/>
  <c r="N50" i="26" a="1"/>
  <c r="N58" i="24" a="1"/>
  <c r="N33" i="25" a="1"/>
  <c r="N36" i="23" a="1"/>
  <c r="N45" i="25" a="1"/>
  <c r="N25" i="24" a="1"/>
  <c r="N47" i="25" a="1"/>
  <c r="N49" i="25" a="1"/>
  <c r="N43" i="25" a="1"/>
  <c r="M27" i="24" a="1"/>
  <c r="M32" i="26" a="1"/>
  <c r="M35" i="24" a="1"/>
  <c r="N26" i="24" a="1"/>
  <c r="N49" i="26" a="1"/>
  <c r="N39" i="26" a="1"/>
  <c r="M40" i="26" a="1"/>
  <c r="N35" i="25" a="1"/>
  <c r="N45" i="26" a="1"/>
  <c r="M50" i="26" a="1"/>
  <c r="N47" i="23" a="1"/>
  <c r="N53" i="25" a="1"/>
  <c r="M27" i="26" a="1"/>
  <c r="M47" i="24" a="1"/>
  <c r="N56" i="26" a="1"/>
  <c r="N37" i="23" a="1"/>
  <c r="N38" i="26" a="1"/>
  <c r="N29" i="24" a="1"/>
  <c r="M35" i="26" a="1"/>
  <c r="N46" i="26" a="1"/>
  <c r="N32" i="25" a="1"/>
  <c r="M51" i="24" a="1"/>
  <c r="N54" i="26" a="1"/>
  <c r="M52" i="26" a="1"/>
  <c r="N42" i="23" a="1"/>
  <c r="M56" i="24" a="1"/>
  <c r="N51" i="23" a="1"/>
  <c r="M45" i="25" a="1"/>
  <c r="N43" i="26" a="1"/>
  <c r="N45" i="10" a="1"/>
  <c r="M34" i="25" a="1"/>
  <c r="N46" i="25" a="1"/>
  <c r="M48" i="26" a="1"/>
  <c r="N27" i="23" a="1"/>
  <c r="N27" i="25" a="1"/>
  <c r="M28" i="25" a="1"/>
  <c r="M38" i="26" a="1"/>
  <c r="N30" i="24" a="1"/>
  <c r="N27" i="24" a="1"/>
  <c r="N69" i="10" a="1"/>
  <c r="M33" i="26" a="1"/>
  <c r="M28" i="24" a="1"/>
  <c r="N40" i="24" a="1"/>
  <c r="N28" i="23" a="1"/>
  <c r="N54" i="24" a="1"/>
  <c r="M29" i="24" a="1"/>
  <c r="N41" i="24" a="1"/>
  <c r="N25" i="26" a="1"/>
  <c r="M44" i="25" a="1"/>
  <c r="M41" i="25" a="1"/>
  <c r="M49" i="25" a="1"/>
  <c r="M35" i="25" a="1"/>
  <c r="M38" i="25" a="1"/>
  <c r="M24" i="13" a="1"/>
  <c r="N52" i="25" a="1"/>
  <c r="M54" i="25" a="1"/>
  <c r="M68" i="10" a="1"/>
  <c r="N35" i="24" a="1"/>
  <c r="N36" i="25" a="1"/>
  <c r="N30" i="26" a="1"/>
  <c r="N33" i="24" a="1"/>
  <c r="N24" i="25" a="1"/>
  <c r="N51" i="26" a="1"/>
  <c r="N49" i="23" a="1"/>
  <c r="N54" i="25" a="1"/>
  <c r="M44" i="24" a="1"/>
  <c r="N41" i="26" a="1"/>
  <c r="N60" i="10" a="1"/>
  <c r="N30" i="25" a="1"/>
  <c r="N25" i="23" a="1"/>
  <c r="M41" i="26" a="1"/>
  <c r="N26" i="25" a="1"/>
  <c r="N59" i="25" a="1"/>
  <c r="M50" i="25" a="1"/>
  <c r="M49" i="24" a="1"/>
  <c r="N55" i="24" a="1"/>
  <c r="N38" i="24" a="1"/>
  <c r="N51" i="25" a="1"/>
  <c r="N29" i="23" a="1"/>
  <c r="M30" i="26" a="1"/>
  <c r="N46" i="10" a="1"/>
  <c r="N45" i="24" a="1"/>
  <c r="N39" i="24" a="1"/>
  <c r="N29" i="26" a="1"/>
  <c r="M43" i="25" a="1"/>
  <c r="M41" i="24" a="1"/>
  <c r="M53" i="24" a="1"/>
  <c r="M56" i="26" a="1"/>
  <c r="N27" i="26" a="1"/>
  <c r="M59" i="25" a="1"/>
  <c r="N36" i="24" a="1"/>
  <c r="N47" i="26" a="1"/>
  <c r="M42" i="26" a="1"/>
  <c r="M47" i="25" a="1"/>
  <c r="N40" i="23" a="1"/>
  <c r="M25" i="26" a="1"/>
  <c r="M26" i="24" a="1"/>
  <c r="M40" i="25" a="1"/>
  <c r="M46" i="24" a="1"/>
  <c r="M39" i="24" a="1"/>
  <c r="M60" i="24" a="1"/>
  <c r="N31" i="24" a="1"/>
  <c r="N24" i="23" a="1"/>
  <c r="M34" i="24" a="1"/>
  <c r="M33" i="24" a="1"/>
  <c r="N33" i="23" a="1"/>
  <c r="N41" i="23" a="1"/>
  <c r="M38" i="24" a="1"/>
  <c r="N53" i="23" a="1"/>
  <c r="N48" i="23" a="1"/>
  <c r="M54" i="26" a="1"/>
  <c r="N42" i="25" a="1"/>
  <c r="N43" i="23" a="1"/>
  <c r="M51" i="26" a="1"/>
  <c r="M44" i="26" a="1"/>
  <c r="N48" i="25" a="1"/>
  <c r="N44" i="23" a="1"/>
  <c r="N52" i="23" a="1"/>
  <c r="M39" i="26" a="1"/>
  <c r="N60" i="24" a="1"/>
  <c r="N28" i="24" a="1"/>
  <c r="N48" i="24" a="1"/>
  <c r="M34" i="26" a="1"/>
  <c r="N44" i="24" a="1"/>
  <c r="N56" i="25" a="1"/>
  <c r="N33" i="26" a="1"/>
  <c r="M54" i="24" a="1"/>
  <c r="N57" i="25" a="1"/>
  <c r="N59" i="24" a="1"/>
  <c r="N29" i="25" a="1"/>
  <c r="N40" i="26" a="1"/>
  <c r="M31" i="24" a="1"/>
  <c r="M45" i="24" a="1"/>
  <c r="M26" i="25" a="1"/>
  <c r="M59" i="26" a="1"/>
  <c r="N51" i="24" a="1"/>
  <c r="N46" i="23" a="1"/>
  <c r="N34" i="26" a="1"/>
  <c r="N39" i="23" a="1"/>
  <c r="M57" i="26" a="1"/>
  <c r="M39" i="25" a="1"/>
  <c r="M27" i="25" a="1"/>
  <c r="N31" i="26" a="1"/>
  <c r="M52" i="24" a="1"/>
  <c r="N31" i="23" a="1"/>
  <c r="M47" i="26" a="1"/>
  <c r="M42" i="25" a="1"/>
  <c r="M29" i="26" a="1"/>
  <c r="N56" i="24" a="1"/>
  <c r="M33" i="25" a="1"/>
  <c r="M43" i="26" a="1"/>
  <c r="M32" i="24" a="1"/>
  <c r="M52" i="25" a="1"/>
  <c r="N52" i="26" a="1"/>
  <c r="N52" i="24" a="1"/>
  <c r="M29" i="25" a="1"/>
  <c r="M53" i="25" a="1"/>
  <c r="N28" i="25" a="1"/>
  <c r="N50" i="23" a="1"/>
  <c r="M45" i="10" a="1"/>
  <c r="M36" i="25" a="1"/>
  <c r="M53" i="26" a="1"/>
  <c r="M57" i="25" a="1"/>
  <c r="M36" i="26" a="1"/>
  <c r="N26" i="23" a="1"/>
  <c r="N28" i="26" a="1"/>
  <c r="M31" i="25" a="1"/>
  <c r="M48" i="24" a="1"/>
  <c r="N26" i="26" a="1"/>
  <c r="N59" i="26" a="1"/>
  <c r="M32" i="25" a="1"/>
  <c r="N50" i="24" a="1"/>
  <c r="N47" i="24" a="1"/>
  <c r="N44" i="25" a="1"/>
  <c r="M28" i="26" a="1"/>
  <c r="M30" i="24" a="1"/>
  <c r="M58" i="26" a="1"/>
  <c r="N40" i="25" a="1"/>
  <c r="M25" i="25" a="1"/>
  <c r="N57" i="26" a="1"/>
  <c r="M55" i="24" a="1"/>
  <c r="N30" i="23" a="1"/>
  <c r="M46" i="10" a="1"/>
  <c r="M49" i="26" a="1"/>
  <c r="N35" i="26" a="1"/>
  <c r="M45" i="26" a="1"/>
  <c r="N53" i="26" a="1"/>
  <c r="M24" i="24" a="1"/>
  <c r="M58" i="24" a="1"/>
  <c r="N46" i="24" a="1"/>
  <c r="M26" i="26" a="1"/>
  <c r="M46" i="26" a="1"/>
  <c r="N34" i="25" a="1"/>
  <c r="M58" i="25" a="1"/>
  <c r="M60" i="10" a="1"/>
  <c r="M48" i="25" a="1"/>
  <c r="M25" i="24" a="1"/>
  <c r="N34" i="23" a="1"/>
  <c r="M61" i="24" a="1"/>
  <c r="N31" i="25" a="1"/>
  <c r="N39" i="25" a="1"/>
  <c r="N24" i="24" a="1"/>
  <c r="N58" i="25" a="1"/>
  <c r="N58" i="26" a="1"/>
  <c r="N53" i="24" a="1"/>
  <c r="M30" i="25" a="1"/>
  <c r="N35" i="23" a="1"/>
  <c r="M24" i="25" a="1"/>
  <c r="N61" i="24" a="1"/>
  <c r="M50" i="24" a="1"/>
  <c r="N49" i="24" a="1"/>
  <c r="M69" i="10" a="1"/>
  <c r="N32" i="24" a="1"/>
  <c r="M59" i="24" a="1"/>
  <c r="N48" i="26" a="1"/>
  <c r="M31" i="26" a="1"/>
  <c r="N68" i="10" a="1"/>
  <c r="N32" i="23" a="1"/>
  <c r="N41" i="25" a="1"/>
  <c r="M51" i="25" a="1"/>
  <c r="M46" i="25" a="1"/>
  <c r="N36" i="26" a="1"/>
  <c r="M24" i="10" a="1"/>
  <c r="N24" i="26" a="1"/>
  <c r="AB64" i="13" l="1"/>
  <c r="Q31" i="11"/>
  <c r="T31" i="11" s="1"/>
  <c r="U31" i="11" s="1"/>
  <c r="W31" i="11" s="1"/>
  <c r="X31" i="11" s="1"/>
  <c r="Z31" i="11" s="1"/>
  <c r="Q48" i="11"/>
  <c r="T48" i="11" s="1"/>
  <c r="U48" i="11" s="1"/>
  <c r="Q53" i="11"/>
  <c r="T53" i="11" s="1"/>
  <c r="U53" i="11" s="1"/>
  <c r="W53" i="11" s="1"/>
  <c r="X53" i="11" s="1"/>
  <c r="Z53" i="11" s="1"/>
  <c r="Q54" i="11"/>
  <c r="T54" i="11" s="1"/>
  <c r="U54" i="11" s="1"/>
  <c r="Q33" i="11"/>
  <c r="T33" i="11" s="1"/>
  <c r="U33" i="11" s="1"/>
  <c r="Q49" i="11"/>
  <c r="T49" i="11" s="1"/>
  <c r="U49" i="11" s="1"/>
  <c r="Q28" i="11"/>
  <c r="T28" i="11" s="1"/>
  <c r="U28" i="11" s="1"/>
  <c r="W28" i="11" s="1"/>
  <c r="X28" i="11" s="1"/>
  <c r="Z28" i="11" s="1"/>
  <c r="W55" i="11"/>
  <c r="W60" i="11"/>
  <c r="X60" i="11" s="1"/>
  <c r="Z60" i="11" s="1"/>
  <c r="Q52" i="11"/>
  <c r="T52" i="11" s="1"/>
  <c r="U52" i="11" s="1"/>
  <c r="W52" i="11" s="1"/>
  <c r="X52" i="11" s="1"/>
  <c r="Z52" i="11" s="1"/>
  <c r="Q26" i="11"/>
  <c r="T26" i="11" s="1"/>
  <c r="U26" i="11" s="1"/>
  <c r="W26" i="11" s="1"/>
  <c r="X26" i="11" s="1"/>
  <c r="Z26" i="11" s="1"/>
  <c r="Q27" i="11"/>
  <c r="T27" i="11" s="1"/>
  <c r="U27" i="11" s="1"/>
  <c r="W27" i="11" s="1"/>
  <c r="X27" i="11" s="1"/>
  <c r="Z27" i="11" s="1"/>
  <c r="Q24" i="11"/>
  <c r="T24" i="11" s="1"/>
  <c r="U24" i="11" s="1"/>
  <c r="W24" i="11" s="1"/>
  <c r="X24" i="11" s="1"/>
  <c r="Z24" i="11" s="1"/>
  <c r="Q51" i="11"/>
  <c r="T51" i="11" s="1"/>
  <c r="U51" i="11" s="1"/>
  <c r="W51" i="11" s="1"/>
  <c r="X51" i="11" s="1"/>
  <c r="Z51" i="11" s="1"/>
  <c r="Q47" i="11"/>
  <c r="T47" i="11" s="1"/>
  <c r="U47" i="11" s="1"/>
  <c r="W47" i="11" s="1"/>
  <c r="X47" i="11" s="1"/>
  <c r="Z47" i="11" s="1"/>
  <c r="Q32" i="11"/>
  <c r="T32" i="11" s="1"/>
  <c r="U32" i="11" s="1"/>
  <c r="W32" i="11" s="1"/>
  <c r="X32" i="11" s="1"/>
  <c r="Z32" i="11" s="1"/>
  <c r="Q50" i="11"/>
  <c r="T50" i="11" s="1"/>
  <c r="U50" i="11" s="1"/>
  <c r="W50" i="11" s="1"/>
  <c r="X50" i="11" s="1"/>
  <c r="Z50" i="11" s="1"/>
  <c r="Q29" i="11"/>
  <c r="T29" i="11" s="1"/>
  <c r="U29" i="11" s="1"/>
  <c r="W29" i="11" s="1"/>
  <c r="X29" i="11" s="1"/>
  <c r="Z29" i="11" s="1"/>
  <c r="Q25" i="11"/>
  <c r="T25" i="11" s="1"/>
  <c r="U25" i="11" s="1"/>
  <c r="W25" i="11" s="1"/>
  <c r="X25" i="11" s="1"/>
  <c r="Z25" i="11" s="1"/>
  <c r="Q29" i="16"/>
  <c r="C12" i="18"/>
  <c r="C14" i="18" s="1"/>
  <c r="H41" i="16"/>
  <c r="J41" i="16" s="1"/>
  <c r="H42" i="16"/>
  <c r="J42" i="16" s="1"/>
  <c r="H34" i="16"/>
  <c r="J34" i="16" s="1"/>
  <c r="H35" i="16"/>
  <c r="J35" i="16" s="1"/>
  <c r="H36" i="16"/>
  <c r="J36" i="16" s="1"/>
  <c r="H37" i="16"/>
  <c r="J37" i="16" s="1"/>
  <c r="D39" i="5"/>
  <c r="H38" i="5"/>
  <c r="J38" i="5" s="1"/>
  <c r="Q38" i="5"/>
  <c r="T38" i="5" s="1"/>
  <c r="U38" i="5" s="1"/>
  <c r="W37" i="5"/>
  <c r="X37" i="5" s="1"/>
  <c r="Z37" i="5" s="1"/>
  <c r="S30" i="24"/>
  <c r="X30" i="24" s="1"/>
  <c r="F53" i="24"/>
  <c r="Z30" i="24"/>
  <c r="S49" i="24"/>
  <c r="X49" i="24" s="1"/>
  <c r="S42" i="14"/>
  <c r="S60" i="14"/>
  <c r="S61" i="14"/>
  <c r="S56" i="14"/>
  <c r="S41" i="14"/>
  <c r="S59" i="14"/>
  <c r="S40" i="14"/>
  <c r="S57" i="26"/>
  <c r="X57" i="26" s="1"/>
  <c r="Z57" i="26" s="1"/>
  <c r="S58" i="26"/>
  <c r="V58" i="26" s="1"/>
  <c r="W58" i="26" s="1"/>
  <c r="Y58" i="26" s="1"/>
  <c r="S59" i="26"/>
  <c r="X59" i="26" s="1"/>
  <c r="Z59" i="26" s="1"/>
  <c r="S32" i="26"/>
  <c r="V32" i="26" s="1"/>
  <c r="W32" i="26" s="1"/>
  <c r="S40" i="26"/>
  <c r="X40" i="26" s="1"/>
  <c r="S31" i="26"/>
  <c r="V31" i="26" s="1"/>
  <c r="W31" i="26" s="1"/>
  <c r="Y31" i="26" s="1"/>
  <c r="S42" i="26"/>
  <c r="X42" i="26" s="1"/>
  <c r="Z42" i="26" s="1"/>
  <c r="S39" i="26"/>
  <c r="X39" i="26" s="1"/>
  <c r="Z39" i="26" s="1"/>
  <c r="S43" i="26"/>
  <c r="X43" i="26" s="1"/>
  <c r="Z43" i="26" s="1"/>
  <c r="S32" i="24"/>
  <c r="V32" i="24" s="1"/>
  <c r="W32" i="24" s="1"/>
  <c r="S51" i="24"/>
  <c r="X51" i="24" s="1"/>
  <c r="Z51" i="24" s="1"/>
  <c r="S40" i="24"/>
  <c r="V40" i="24" s="1"/>
  <c r="W40" i="24" s="1"/>
  <c r="Y40" i="24" s="1"/>
  <c r="S50" i="24"/>
  <c r="V50" i="24" s="1"/>
  <c r="W50" i="24" s="1"/>
  <c r="Y50" i="24" s="1"/>
  <c r="S31" i="24"/>
  <c r="X31" i="24" s="1"/>
  <c r="S39" i="24"/>
  <c r="V39" i="24" s="1"/>
  <c r="W39" i="24" s="1"/>
  <c r="Y39" i="24" s="1"/>
  <c r="S52" i="24"/>
  <c r="X52" i="24" s="1"/>
  <c r="S53" i="24"/>
  <c r="V53" i="24" s="1"/>
  <c r="W53" i="24" s="1"/>
  <c r="J41" i="24"/>
  <c r="L41" i="24" s="1"/>
  <c r="S59" i="24"/>
  <c r="X59" i="24" s="1"/>
  <c r="Z59" i="24" s="1"/>
  <c r="S24" i="24"/>
  <c r="V24" i="24" s="1"/>
  <c r="W24" i="24" s="1"/>
  <c r="S44" i="24"/>
  <c r="V44" i="24" s="1"/>
  <c r="W44" i="24" s="1"/>
  <c r="Y44" i="24" s="1"/>
  <c r="S60" i="24"/>
  <c r="V60" i="24" s="1"/>
  <c r="W60" i="24" s="1"/>
  <c r="Y60" i="24" s="1"/>
  <c r="S25" i="24"/>
  <c r="X25" i="24" s="1"/>
  <c r="S45" i="24"/>
  <c r="S61" i="24"/>
  <c r="S28" i="24"/>
  <c r="X28" i="24" s="1"/>
  <c r="Z28" i="24" s="1"/>
  <c r="S46" i="24"/>
  <c r="X46" i="24" s="1"/>
  <c r="Z46" i="24" s="1"/>
  <c r="S27" i="24"/>
  <c r="V27" i="24" s="1"/>
  <c r="W27" i="24" s="1"/>
  <c r="Y27" i="24" s="1"/>
  <c r="S48" i="24"/>
  <c r="V48" i="24" s="1"/>
  <c r="W48" i="24" s="1"/>
  <c r="Y48" i="24" s="1"/>
  <c r="S26" i="24"/>
  <c r="X26" i="24" s="1"/>
  <c r="Z26" i="24" s="1"/>
  <c r="S47" i="24"/>
  <c r="X47" i="24" s="1"/>
  <c r="Z47" i="24" s="1"/>
  <c r="Z49" i="24"/>
  <c r="S29" i="25"/>
  <c r="V29" i="25" s="1"/>
  <c r="W29" i="25" s="1"/>
  <c r="S57" i="25"/>
  <c r="X57" i="25" s="1"/>
  <c r="Z57" i="25" s="1"/>
  <c r="S58" i="25"/>
  <c r="V58" i="25" s="1"/>
  <c r="W58" i="25" s="1"/>
  <c r="Y58" i="25" s="1"/>
  <c r="S42" i="25"/>
  <c r="X42" i="25" s="1"/>
  <c r="Z42" i="25" s="1"/>
  <c r="S24" i="25"/>
  <c r="X24" i="25" s="1"/>
  <c r="S44" i="25"/>
  <c r="X44" i="25" s="1"/>
  <c r="Z44" i="25" s="1"/>
  <c r="S45" i="25"/>
  <c r="V45" i="25" s="1"/>
  <c r="W45" i="25" s="1"/>
  <c r="Y45" i="25" s="1"/>
  <c r="F51" i="26"/>
  <c r="J51" i="26" s="1"/>
  <c r="L51" i="26" s="1"/>
  <c r="F41" i="26"/>
  <c r="J41" i="26" s="1"/>
  <c r="L41" i="26" s="1"/>
  <c r="S50" i="26"/>
  <c r="X50" i="26" s="1"/>
  <c r="Z50" i="26" s="1"/>
  <c r="S44" i="26"/>
  <c r="V44" i="26" s="1"/>
  <c r="W44" i="26" s="1"/>
  <c r="Y44" i="26" s="1"/>
  <c r="S26" i="26"/>
  <c r="X26" i="26" s="1"/>
  <c r="Z26" i="26" s="1"/>
  <c r="S45" i="26"/>
  <c r="F33" i="26"/>
  <c r="F34" i="26" s="1"/>
  <c r="S34" i="26" s="1"/>
  <c r="S27" i="26"/>
  <c r="X27" i="26" s="1"/>
  <c r="Z27" i="26" s="1"/>
  <c r="S28" i="26"/>
  <c r="V28" i="26" s="1"/>
  <c r="W28" i="26" s="1"/>
  <c r="Y28" i="26" s="1"/>
  <c r="J40" i="26"/>
  <c r="L40" i="26" s="1"/>
  <c r="S29" i="26"/>
  <c r="V29" i="26" s="1"/>
  <c r="W29" i="26" s="1"/>
  <c r="Y29" i="26" s="1"/>
  <c r="S47" i="26"/>
  <c r="V47" i="26" s="1"/>
  <c r="W47" i="26" s="1"/>
  <c r="Y47" i="26" s="1"/>
  <c r="M68" i="10"/>
  <c r="N69" i="10"/>
  <c r="N68" i="10"/>
  <c r="M69" i="10"/>
  <c r="V68" i="10"/>
  <c r="W68" i="10" s="1"/>
  <c r="X68" i="10"/>
  <c r="V69" i="10"/>
  <c r="W69" i="10" s="1"/>
  <c r="X69" i="10"/>
  <c r="J69" i="10"/>
  <c r="L69" i="10" s="1"/>
  <c r="J68" i="10"/>
  <c r="L68" i="10" s="1"/>
  <c r="M46" i="10"/>
  <c r="N46" i="10"/>
  <c r="N45" i="10"/>
  <c r="M45" i="10"/>
  <c r="N60" i="10"/>
  <c r="M60" i="10"/>
  <c r="S31" i="23"/>
  <c r="V31" i="23" s="1"/>
  <c r="W31" i="23" s="1"/>
  <c r="Y31" i="23" s="1"/>
  <c r="S51" i="23"/>
  <c r="X51" i="23" s="1"/>
  <c r="Z51" i="23" s="1"/>
  <c r="S24" i="23"/>
  <c r="V24" i="23" s="1"/>
  <c r="W24" i="23" s="1"/>
  <c r="Y24" i="23" s="1"/>
  <c r="S28" i="23"/>
  <c r="X28" i="23" s="1"/>
  <c r="Z28" i="23" s="1"/>
  <c r="S52" i="23"/>
  <c r="X52" i="23" s="1"/>
  <c r="Z52" i="23" s="1"/>
  <c r="N37" i="23"/>
  <c r="N46" i="23"/>
  <c r="N45" i="23"/>
  <c r="S53" i="23"/>
  <c r="X53" i="23" s="1"/>
  <c r="Z53" i="23" s="1"/>
  <c r="S27" i="23"/>
  <c r="X27" i="23" s="1"/>
  <c r="Z27" i="23" s="1"/>
  <c r="Z49" i="23"/>
  <c r="F33" i="23"/>
  <c r="J33" i="23" s="1"/>
  <c r="L33" i="23" s="1"/>
  <c r="S29" i="23"/>
  <c r="V29" i="23" s="1"/>
  <c r="W29" i="23" s="1"/>
  <c r="Y29" i="23" s="1"/>
  <c r="S50" i="23"/>
  <c r="V50" i="23" s="1"/>
  <c r="W50" i="23" s="1"/>
  <c r="Y50" i="23" s="1"/>
  <c r="S30" i="23"/>
  <c r="X30" i="23" s="1"/>
  <c r="Z30" i="23" s="1"/>
  <c r="S32" i="23"/>
  <c r="X32" i="23" s="1"/>
  <c r="Z32" i="23" s="1"/>
  <c r="Y29" i="25"/>
  <c r="Z49" i="25"/>
  <c r="Z31" i="24"/>
  <c r="X48" i="26"/>
  <c r="Z48" i="26" s="1"/>
  <c r="X49" i="26"/>
  <c r="Z49" i="26" s="1"/>
  <c r="S30" i="26"/>
  <c r="X30" i="26" s="1"/>
  <c r="Z30" i="26" s="1"/>
  <c r="S46" i="26"/>
  <c r="X46" i="26" s="1"/>
  <c r="Z46" i="26" s="1"/>
  <c r="V48" i="25"/>
  <c r="W48" i="25" s="1"/>
  <c r="Y48" i="25" s="1"/>
  <c r="X48" i="25"/>
  <c r="Z48" i="25" s="1"/>
  <c r="X31" i="25"/>
  <c r="Z31" i="25" s="1"/>
  <c r="X46" i="25"/>
  <c r="Z46" i="25" s="1"/>
  <c r="S39" i="25"/>
  <c r="X39" i="25" s="1"/>
  <c r="S47" i="25"/>
  <c r="S59" i="25"/>
  <c r="X28" i="25"/>
  <c r="Z28" i="25" s="1"/>
  <c r="S26" i="25"/>
  <c r="V26" i="25" s="1"/>
  <c r="W26" i="25" s="1"/>
  <c r="Y26" i="25" s="1"/>
  <c r="S40" i="25"/>
  <c r="X40" i="25" s="1"/>
  <c r="X29" i="25"/>
  <c r="Z29" i="25" s="1"/>
  <c r="X50" i="25"/>
  <c r="Z50" i="25" s="1"/>
  <c r="V27" i="25"/>
  <c r="W27" i="25" s="1"/>
  <c r="Y27" i="25" s="1"/>
  <c r="S43" i="25"/>
  <c r="V29" i="24"/>
  <c r="W29" i="24" s="1"/>
  <c r="Y29" i="24" s="1"/>
  <c r="S25" i="23"/>
  <c r="X25" i="23" s="1"/>
  <c r="Z25" i="23" s="1"/>
  <c r="S26" i="23"/>
  <c r="X26" i="23" s="1"/>
  <c r="Z26" i="23" s="1"/>
  <c r="S48" i="23"/>
  <c r="N50" i="26"/>
  <c r="M28" i="26"/>
  <c r="N34" i="26"/>
  <c r="N44" i="26"/>
  <c r="M36" i="26"/>
  <c r="M46" i="26"/>
  <c r="N49" i="26"/>
  <c r="N47" i="26"/>
  <c r="M57" i="26"/>
  <c r="N38" i="26"/>
  <c r="M27" i="26"/>
  <c r="N30" i="26"/>
  <c r="N33" i="26"/>
  <c r="N52" i="26"/>
  <c r="M59" i="26"/>
  <c r="N31" i="26"/>
  <c r="M44" i="26"/>
  <c r="M41" i="26"/>
  <c r="N57" i="26"/>
  <c r="M49" i="26"/>
  <c r="N36" i="26"/>
  <c r="M43" i="26"/>
  <c r="N46" i="26"/>
  <c r="M50" i="26"/>
  <c r="N53" i="26"/>
  <c r="M25" i="26"/>
  <c r="N28" i="26"/>
  <c r="N41" i="26"/>
  <c r="M30" i="26"/>
  <c r="N27" i="26"/>
  <c r="M40" i="26"/>
  <c r="M56" i="26"/>
  <c r="N59" i="26"/>
  <c r="M31" i="26"/>
  <c r="M34" i="26"/>
  <c r="N25" i="26"/>
  <c r="M52" i="26"/>
  <c r="N43" i="26"/>
  <c r="M33" i="26"/>
  <c r="N24" i="26"/>
  <c r="N40" i="26"/>
  <c r="N56" i="26"/>
  <c r="M32" i="26"/>
  <c r="M48" i="26"/>
  <c r="M51" i="26"/>
  <c r="M29" i="26"/>
  <c r="M35" i="26"/>
  <c r="M54" i="26"/>
  <c r="N32" i="26"/>
  <c r="M45" i="26"/>
  <c r="N48" i="26"/>
  <c r="N51" i="26"/>
  <c r="M47" i="26"/>
  <c r="M26" i="26"/>
  <c r="N29" i="26"/>
  <c r="N35" i="26"/>
  <c r="N54" i="26"/>
  <c r="M58" i="26"/>
  <c r="M38" i="26"/>
  <c r="M39" i="26"/>
  <c r="M42" i="26"/>
  <c r="N45" i="26"/>
  <c r="N26" i="26"/>
  <c r="N58" i="26"/>
  <c r="M53" i="26"/>
  <c r="N39" i="26"/>
  <c r="N42" i="26"/>
  <c r="J34" i="26"/>
  <c r="L34" i="26" s="1"/>
  <c r="Y48" i="26"/>
  <c r="Y49" i="26"/>
  <c r="Z25" i="26"/>
  <c r="Z24" i="26"/>
  <c r="V25" i="26"/>
  <c r="W25" i="26" s="1"/>
  <c r="V57" i="26"/>
  <c r="W57" i="26" s="1"/>
  <c r="Y57" i="26" s="1"/>
  <c r="J32" i="26"/>
  <c r="L32" i="26" s="1"/>
  <c r="V24" i="26"/>
  <c r="W24" i="26" s="1"/>
  <c r="M34" i="25"/>
  <c r="M53" i="25"/>
  <c r="M28" i="25"/>
  <c r="N34" i="25"/>
  <c r="N53" i="25"/>
  <c r="M25" i="25"/>
  <c r="N28" i="25"/>
  <c r="M57" i="25"/>
  <c r="M47" i="25"/>
  <c r="N31" i="25"/>
  <c r="N50" i="25"/>
  <c r="M44" i="25"/>
  <c r="N47" i="25"/>
  <c r="M38" i="25"/>
  <c r="M41" i="25"/>
  <c r="N44" i="25"/>
  <c r="N25" i="25"/>
  <c r="N57" i="25"/>
  <c r="M30" i="25"/>
  <c r="M27" i="25"/>
  <c r="N33" i="25"/>
  <c r="M24" i="25"/>
  <c r="N27" i="25"/>
  <c r="M40" i="25"/>
  <c r="M56" i="25"/>
  <c r="N59" i="25"/>
  <c r="N43" i="25"/>
  <c r="M36" i="25"/>
  <c r="N30" i="25"/>
  <c r="N46" i="25"/>
  <c r="N24" i="25"/>
  <c r="N40" i="25"/>
  <c r="N56" i="25"/>
  <c r="N38" i="25"/>
  <c r="M49" i="25"/>
  <c r="M33" i="25"/>
  <c r="M46" i="25"/>
  <c r="M59" i="25"/>
  <c r="N36" i="25"/>
  <c r="M43" i="25"/>
  <c r="M32" i="25"/>
  <c r="M48" i="25"/>
  <c r="M51" i="25"/>
  <c r="M50" i="25"/>
  <c r="N41" i="25"/>
  <c r="M52" i="25"/>
  <c r="M29" i="25"/>
  <c r="M35" i="25"/>
  <c r="N32" i="25"/>
  <c r="M45" i="25"/>
  <c r="N48" i="25"/>
  <c r="N51" i="25"/>
  <c r="N49" i="25"/>
  <c r="M54" i="25"/>
  <c r="M26" i="25"/>
  <c r="N29" i="25"/>
  <c r="N35" i="25"/>
  <c r="N54" i="25"/>
  <c r="M58" i="25"/>
  <c r="M39" i="25"/>
  <c r="M42" i="25"/>
  <c r="N45" i="25"/>
  <c r="N58" i="25"/>
  <c r="M31" i="25"/>
  <c r="N52" i="25"/>
  <c r="N26" i="25"/>
  <c r="N39" i="25"/>
  <c r="N42" i="25"/>
  <c r="Y50" i="25"/>
  <c r="Y31" i="25"/>
  <c r="Z24" i="25"/>
  <c r="V51" i="25"/>
  <c r="W51" i="25" s="1"/>
  <c r="X51" i="25"/>
  <c r="Z25" i="25"/>
  <c r="Y25" i="25"/>
  <c r="V32" i="25"/>
  <c r="W32" i="25" s="1"/>
  <c r="X32" i="25"/>
  <c r="Z39" i="25"/>
  <c r="Y28" i="25"/>
  <c r="Y46" i="25"/>
  <c r="Z27" i="25"/>
  <c r="V41" i="25"/>
  <c r="W41" i="25" s="1"/>
  <c r="X41" i="25"/>
  <c r="V42" i="25"/>
  <c r="W42" i="25" s="1"/>
  <c r="Y42" i="25" s="1"/>
  <c r="J41" i="25"/>
  <c r="L41" i="25" s="1"/>
  <c r="X58" i="25"/>
  <c r="Z58" i="25" s="1"/>
  <c r="V25" i="25"/>
  <c r="W25" i="25" s="1"/>
  <c r="J40" i="25"/>
  <c r="L40" i="25" s="1"/>
  <c r="V49" i="25"/>
  <c r="W49" i="25" s="1"/>
  <c r="Y49" i="25" s="1"/>
  <c r="V30" i="25"/>
  <c r="W30" i="25" s="1"/>
  <c r="Y30" i="25" s="1"/>
  <c r="J32" i="25"/>
  <c r="L32" i="25" s="1"/>
  <c r="J51" i="25"/>
  <c r="L51" i="25" s="1"/>
  <c r="V24" i="25"/>
  <c r="W24" i="25" s="1"/>
  <c r="Y24" i="25" s="1"/>
  <c r="Z30" i="25"/>
  <c r="M38" i="24"/>
  <c r="M41" i="24"/>
  <c r="N46" i="24"/>
  <c r="N25" i="24"/>
  <c r="N59" i="24"/>
  <c r="N52" i="24"/>
  <c r="M54" i="24"/>
  <c r="M48" i="24"/>
  <c r="M55" i="24"/>
  <c r="M28" i="24"/>
  <c r="M59" i="24"/>
  <c r="M27" i="24"/>
  <c r="N28" i="24"/>
  <c r="N38" i="24"/>
  <c r="N41" i="24"/>
  <c r="M51" i="24"/>
  <c r="M30" i="24"/>
  <c r="M33" i="24"/>
  <c r="M36" i="24"/>
  <c r="N51" i="24"/>
  <c r="N30" i="24"/>
  <c r="N33" i="24"/>
  <c r="N54" i="24"/>
  <c r="M61" i="24"/>
  <c r="N36" i="24"/>
  <c r="M45" i="24"/>
  <c r="N48" i="24"/>
  <c r="M52" i="24"/>
  <c r="N31" i="24"/>
  <c r="N27" i="24"/>
  <c r="M40" i="24"/>
  <c r="N61" i="24"/>
  <c r="N45" i="24"/>
  <c r="N24" i="24"/>
  <c r="N40" i="24"/>
  <c r="N58" i="24"/>
  <c r="M32" i="24"/>
  <c r="M50" i="24"/>
  <c r="M53" i="24"/>
  <c r="M49" i="24"/>
  <c r="N49" i="24"/>
  <c r="M46" i="24"/>
  <c r="M56" i="24"/>
  <c r="M39" i="24"/>
  <c r="M44" i="24"/>
  <c r="N47" i="24"/>
  <c r="M34" i="24"/>
  <c r="N34" i="24"/>
  <c r="M25" i="24"/>
  <c r="M24" i="24"/>
  <c r="M35" i="24"/>
  <c r="N53" i="24"/>
  <c r="N35" i="24"/>
  <c r="M60" i="24"/>
  <c r="N26" i="24"/>
  <c r="N60" i="24"/>
  <c r="M31" i="24"/>
  <c r="N55" i="24"/>
  <c r="M58" i="24"/>
  <c r="M29" i="24"/>
  <c r="N32" i="24"/>
  <c r="M47" i="24"/>
  <c r="N50" i="24"/>
  <c r="M26" i="24"/>
  <c r="N29" i="24"/>
  <c r="N56" i="24"/>
  <c r="N39" i="24"/>
  <c r="N44" i="24"/>
  <c r="Z25" i="24"/>
  <c r="Y24" i="24"/>
  <c r="Z52" i="24"/>
  <c r="Z29" i="24"/>
  <c r="V31" i="24"/>
  <c r="W31" i="24" s="1"/>
  <c r="Y31" i="24" s="1"/>
  <c r="F33" i="24"/>
  <c r="F54" i="24"/>
  <c r="V49" i="24"/>
  <c r="W49" i="24" s="1"/>
  <c r="Y49" i="24" s="1"/>
  <c r="V30" i="24"/>
  <c r="W30" i="24" s="1"/>
  <c r="Y30" i="24" s="1"/>
  <c r="J32" i="24"/>
  <c r="L32" i="24" s="1"/>
  <c r="J53" i="24"/>
  <c r="L53" i="24" s="1"/>
  <c r="N41" i="23"/>
  <c r="N49" i="23"/>
  <c r="N44" i="23"/>
  <c r="N36" i="23"/>
  <c r="N27" i="23"/>
  <c r="N24" i="23"/>
  <c r="N51" i="23"/>
  <c r="N40" i="23"/>
  <c r="N43" i="23"/>
  <c r="N48" i="23"/>
  <c r="N33" i="23"/>
  <c r="N32" i="23"/>
  <c r="N29" i="23"/>
  <c r="N35" i="23"/>
  <c r="N30" i="23"/>
  <c r="N39" i="23"/>
  <c r="N50" i="23"/>
  <c r="N26" i="23"/>
  <c r="N42" i="23"/>
  <c r="N53" i="23"/>
  <c r="N31" i="23"/>
  <c r="N47" i="23"/>
  <c r="N34" i="23"/>
  <c r="N28" i="23"/>
  <c r="N25" i="23"/>
  <c r="N52" i="23"/>
  <c r="V49" i="23"/>
  <c r="W49" i="23" s="1"/>
  <c r="Y49" i="23" s="1"/>
  <c r="S33" i="23"/>
  <c r="W61" i="21"/>
  <c r="W62" i="21"/>
  <c r="W57" i="21"/>
  <c r="H39" i="12"/>
  <c r="D40" i="12"/>
  <c r="H40" i="12" s="1"/>
  <c r="X50" i="12"/>
  <c r="Z50" i="12" s="1"/>
  <c r="W47" i="12"/>
  <c r="X47" i="12" s="1"/>
  <c r="Z47" i="12" s="1"/>
  <c r="W46" i="12"/>
  <c r="X46" i="12" s="1"/>
  <c r="Z46" i="12" s="1"/>
  <c r="W44" i="12"/>
  <c r="X44" i="12" s="1"/>
  <c r="Z44" i="12" s="1"/>
  <c r="W59" i="21"/>
  <c r="Q29" i="22"/>
  <c r="T29" i="22" s="1"/>
  <c r="U29" i="22" s="1"/>
  <c r="W29" i="22" s="1"/>
  <c r="X29" i="22" s="1"/>
  <c r="Z29" i="22" s="1"/>
  <c r="Q30" i="22"/>
  <c r="T30" i="22" s="1"/>
  <c r="U30" i="22" s="1"/>
  <c r="W30" i="22" s="1"/>
  <c r="X30" i="22" s="1"/>
  <c r="Z30" i="22" s="1"/>
  <c r="Q43" i="21"/>
  <c r="Q38" i="21"/>
  <c r="Q42" i="21"/>
  <c r="Q44" i="22"/>
  <c r="T44" i="22" s="1"/>
  <c r="U44" i="22" s="1"/>
  <c r="W44" i="22" s="1"/>
  <c r="X44" i="22" s="1"/>
  <c r="Z44" i="22" s="1"/>
  <c r="Q50" i="21"/>
  <c r="T50" i="21" s="1"/>
  <c r="U50" i="21" s="1"/>
  <c r="W50" i="21" s="1"/>
  <c r="X50" i="21" s="1"/>
  <c r="Z50" i="21" s="1"/>
  <c r="Q44" i="21"/>
  <c r="T44" i="21" s="1"/>
  <c r="U44" i="21" s="1"/>
  <c r="W44" i="21" s="1"/>
  <c r="X44" i="21" s="1"/>
  <c r="Z44" i="21" s="1"/>
  <c r="Q47" i="21"/>
  <c r="T47" i="21" s="1"/>
  <c r="U47" i="21" s="1"/>
  <c r="W47" i="21" s="1"/>
  <c r="X47" i="21" s="1"/>
  <c r="Z47" i="21" s="1"/>
  <c r="Q48" i="21"/>
  <c r="T48" i="21" s="1"/>
  <c r="U48" i="21" s="1"/>
  <c r="W48" i="21" s="1"/>
  <c r="X48" i="21" s="1"/>
  <c r="Z48" i="21" s="1"/>
  <c r="Q24" i="21"/>
  <c r="T24" i="21" s="1"/>
  <c r="U24" i="21" s="1"/>
  <c r="W24" i="21" s="1"/>
  <c r="X24" i="21" s="1"/>
  <c r="Z24" i="21" s="1"/>
  <c r="Q49" i="21"/>
  <c r="T49" i="21" s="1"/>
  <c r="U49" i="21" s="1"/>
  <c r="W49" i="21" s="1"/>
  <c r="X49" i="21" s="1"/>
  <c r="Z49" i="21" s="1"/>
  <c r="Q25" i="21"/>
  <c r="T25" i="21" s="1"/>
  <c r="U25" i="21" s="1"/>
  <c r="W25" i="21" s="1"/>
  <c r="X25" i="21" s="1"/>
  <c r="Z25" i="21" s="1"/>
  <c r="Q51" i="21"/>
  <c r="T51" i="21" s="1"/>
  <c r="U51" i="21" s="1"/>
  <c r="W51" i="21" s="1"/>
  <c r="X51" i="21" s="1"/>
  <c r="Z51" i="21" s="1"/>
  <c r="Q28" i="21"/>
  <c r="T28" i="21" s="1"/>
  <c r="U28" i="21" s="1"/>
  <c r="W28" i="21" s="1"/>
  <c r="X28" i="21" s="1"/>
  <c r="Z28" i="21" s="1"/>
  <c r="Q29" i="21"/>
  <c r="T29" i="21" s="1"/>
  <c r="U29" i="21" s="1"/>
  <c r="W29" i="21" s="1"/>
  <c r="X29" i="21" s="1"/>
  <c r="Z29" i="21" s="1"/>
  <c r="Q30" i="21"/>
  <c r="T30" i="21" s="1"/>
  <c r="U30" i="21" s="1"/>
  <c r="Z30" i="21" s="1"/>
  <c r="Q45" i="21"/>
  <c r="T45" i="21" s="1"/>
  <c r="U45" i="21" s="1"/>
  <c r="W45" i="21" s="1"/>
  <c r="X45" i="21" s="1"/>
  <c r="Z45" i="21" s="1"/>
  <c r="Q23" i="21"/>
  <c r="T23" i="21" s="1"/>
  <c r="U23" i="21" s="1"/>
  <c r="W23" i="21" s="1"/>
  <c r="X23" i="21" s="1"/>
  <c r="Z23" i="21" s="1"/>
  <c r="Q26" i="21"/>
  <c r="T26" i="21" s="1"/>
  <c r="U26" i="21" s="1"/>
  <c r="W26" i="21" s="1"/>
  <c r="X26" i="21" s="1"/>
  <c r="Z26" i="21" s="1"/>
  <c r="Q34" i="21"/>
  <c r="T34" i="21" s="1"/>
  <c r="U34" i="21" s="1"/>
  <c r="Q46" i="21"/>
  <c r="T46" i="21" s="1"/>
  <c r="U46" i="21" s="1"/>
  <c r="W46" i="21" s="1"/>
  <c r="X46" i="21" s="1"/>
  <c r="Z46" i="21" s="1"/>
  <c r="Q27" i="21"/>
  <c r="T27" i="21" s="1"/>
  <c r="U27" i="21" s="1"/>
  <c r="W27" i="21" s="1"/>
  <c r="X27" i="21" s="1"/>
  <c r="Z27" i="21" s="1"/>
  <c r="Q31" i="21"/>
  <c r="T31" i="21" s="1"/>
  <c r="U31" i="21" s="1"/>
  <c r="Z31" i="21" s="1"/>
  <c r="Q32" i="21"/>
  <c r="T32" i="21" s="1"/>
  <c r="U32" i="21" s="1"/>
  <c r="W32" i="21" s="1"/>
  <c r="X32" i="21" s="1"/>
  <c r="Z32" i="21" s="1"/>
  <c r="Q33" i="21"/>
  <c r="T33" i="21" s="1"/>
  <c r="U33" i="21" s="1"/>
  <c r="Q35" i="21"/>
  <c r="T35" i="21" s="1"/>
  <c r="U35" i="21" s="1"/>
  <c r="Q36" i="21"/>
  <c r="Q37" i="21"/>
  <c r="Q39" i="21"/>
  <c r="Q40" i="21"/>
  <c r="Q23" i="12"/>
  <c r="T23" i="12" s="1"/>
  <c r="U23" i="12" s="1"/>
  <c r="W23" i="12" s="1"/>
  <c r="X23" i="12" s="1"/>
  <c r="Z23" i="12" s="1"/>
  <c r="D33" i="22"/>
  <c r="Q33" i="22" s="1"/>
  <c r="T33" i="22" s="1"/>
  <c r="U33" i="22" s="1"/>
  <c r="Q47" i="22"/>
  <c r="T47" i="22" s="1"/>
  <c r="U47" i="22" s="1"/>
  <c r="W47" i="22" s="1"/>
  <c r="X47" i="22" s="1"/>
  <c r="Z47" i="22" s="1"/>
  <c r="Q42" i="22"/>
  <c r="T42" i="22" s="1"/>
  <c r="U42" i="22" s="1"/>
  <c r="W42" i="22" s="1"/>
  <c r="X42" i="22" s="1"/>
  <c r="Z42" i="22" s="1"/>
  <c r="Q25" i="22"/>
  <c r="T25" i="22" s="1"/>
  <c r="U25" i="22" s="1"/>
  <c r="W25" i="22" s="1"/>
  <c r="X25" i="22" s="1"/>
  <c r="Z25" i="22" s="1"/>
  <c r="Q46" i="22"/>
  <c r="T46" i="22" s="1"/>
  <c r="U46" i="22" s="1"/>
  <c r="W46" i="22" s="1"/>
  <c r="X46" i="22" s="1"/>
  <c r="Z46" i="22" s="1"/>
  <c r="Q26" i="22"/>
  <c r="T26" i="22" s="1"/>
  <c r="U26" i="22" s="1"/>
  <c r="W26" i="22" s="1"/>
  <c r="X26" i="22" s="1"/>
  <c r="Z26" i="22" s="1"/>
  <c r="Q31" i="22"/>
  <c r="T31" i="22" s="1"/>
  <c r="U31" i="22" s="1"/>
  <c r="W31" i="22" s="1"/>
  <c r="X31" i="22" s="1"/>
  <c r="Z31" i="22" s="1"/>
  <c r="Q43" i="22"/>
  <c r="T43" i="22" s="1"/>
  <c r="U43" i="22" s="1"/>
  <c r="W43" i="22" s="1"/>
  <c r="X43" i="22" s="1"/>
  <c r="Z43" i="22" s="1"/>
  <c r="Q27" i="22"/>
  <c r="T27" i="22" s="1"/>
  <c r="U27" i="22" s="1"/>
  <c r="W27" i="22" s="1"/>
  <c r="X27" i="22" s="1"/>
  <c r="Z27" i="22" s="1"/>
  <c r="Q32" i="22"/>
  <c r="T32" i="22" s="1"/>
  <c r="U32" i="22" s="1"/>
  <c r="W32" i="22" s="1"/>
  <c r="X32" i="22" s="1"/>
  <c r="Z32" i="22" s="1"/>
  <c r="W24" i="22"/>
  <c r="X24" i="22" s="1"/>
  <c r="Z24" i="22" s="1"/>
  <c r="Q23" i="22"/>
  <c r="T23" i="22" s="1"/>
  <c r="U23" i="22" s="1"/>
  <c r="W23" i="22" s="1"/>
  <c r="X23" i="22" s="1"/>
  <c r="Z23" i="22" s="1"/>
  <c r="Q28" i="22"/>
  <c r="T28" i="22" s="1"/>
  <c r="U28" i="22" s="1"/>
  <c r="W28" i="22" s="1"/>
  <c r="X28" i="22" s="1"/>
  <c r="Z28" i="22" s="1"/>
  <c r="Q45" i="22"/>
  <c r="T45" i="22" s="1"/>
  <c r="U45" i="22" s="1"/>
  <c r="W45" i="22" s="1"/>
  <c r="X45" i="22" s="1"/>
  <c r="Z45" i="22" s="1"/>
  <c r="J33" i="22"/>
  <c r="W33" i="21"/>
  <c r="X33" i="21" s="1"/>
  <c r="Z33" i="21" s="1"/>
  <c r="W64" i="21"/>
  <c r="X64" i="21" s="1"/>
  <c r="Z64" i="21" s="1"/>
  <c r="W53" i="21"/>
  <c r="X53" i="21" s="1"/>
  <c r="Z53" i="21" s="1"/>
  <c r="W63" i="21"/>
  <c r="X63" i="21" s="1"/>
  <c r="Z63" i="21" s="1"/>
  <c r="W55" i="21"/>
  <c r="X55" i="21" s="1"/>
  <c r="Z55" i="21" s="1"/>
  <c r="W58" i="21"/>
  <c r="X58" i="21" s="1"/>
  <c r="Z58" i="21" s="1"/>
  <c r="W54" i="21"/>
  <c r="X54" i="21" s="1"/>
  <c r="Z54" i="21" s="1"/>
  <c r="Q28" i="12"/>
  <c r="T28" i="12" s="1"/>
  <c r="U28" i="12" s="1"/>
  <c r="W28" i="12" s="1"/>
  <c r="X28" i="12" s="1"/>
  <c r="Z28" i="12" s="1"/>
  <c r="Q33" i="12"/>
  <c r="T33" i="12" s="1"/>
  <c r="U33" i="12" s="1"/>
  <c r="W33" i="12" s="1"/>
  <c r="X33" i="12" s="1"/>
  <c r="Z33" i="12" s="1"/>
  <c r="Q31" i="12"/>
  <c r="T31" i="12" s="1"/>
  <c r="U31" i="12" s="1"/>
  <c r="W31" i="12" s="1"/>
  <c r="X31" i="12" s="1"/>
  <c r="Z31" i="12" s="1"/>
  <c r="Q32" i="12"/>
  <c r="T32" i="12" s="1"/>
  <c r="U32" i="12" s="1"/>
  <c r="W32" i="12" s="1"/>
  <c r="X32" i="12" s="1"/>
  <c r="Z32" i="12" s="1"/>
  <c r="Q24" i="12"/>
  <c r="T24" i="12" s="1"/>
  <c r="U24" i="12" s="1"/>
  <c r="W24" i="12" s="1"/>
  <c r="X24" i="12" s="1"/>
  <c r="Z24" i="12" s="1"/>
  <c r="Q26" i="12"/>
  <c r="T26" i="12" s="1"/>
  <c r="U26" i="12" s="1"/>
  <c r="W26" i="12" s="1"/>
  <c r="X26" i="12" s="1"/>
  <c r="Z26" i="12" s="1"/>
  <c r="Q27" i="12"/>
  <c r="T27" i="12" s="1"/>
  <c r="U27" i="12" s="1"/>
  <c r="W27" i="12" s="1"/>
  <c r="X27" i="12" s="1"/>
  <c r="Z27" i="12" s="1"/>
  <c r="W52" i="12"/>
  <c r="X52" i="12" s="1"/>
  <c r="Z52" i="12" s="1"/>
  <c r="W62" i="12"/>
  <c r="X62" i="12" s="1"/>
  <c r="Z62" i="12" s="1"/>
  <c r="W58" i="12"/>
  <c r="X58" i="12" s="1"/>
  <c r="Z58" i="12" s="1"/>
  <c r="W53" i="12"/>
  <c r="X53" i="12" s="1"/>
  <c r="Z53" i="12" s="1"/>
  <c r="Q29" i="12"/>
  <c r="T29" i="12" s="1"/>
  <c r="U29" i="12" s="1"/>
  <c r="W29" i="12" s="1"/>
  <c r="X29" i="12" s="1"/>
  <c r="Z29" i="12" s="1"/>
  <c r="W56" i="12"/>
  <c r="X56" i="12" s="1"/>
  <c r="Z56" i="12" s="1"/>
  <c r="W61" i="12"/>
  <c r="X61" i="12" s="1"/>
  <c r="Z61" i="12" s="1"/>
  <c r="Q25" i="12"/>
  <c r="T25" i="12" s="1"/>
  <c r="U25" i="12" s="1"/>
  <c r="W25" i="12" s="1"/>
  <c r="X25" i="12" s="1"/>
  <c r="Z25" i="12" s="1"/>
  <c r="Q30" i="12"/>
  <c r="T30" i="12" s="1"/>
  <c r="U30" i="12" s="1"/>
  <c r="W30" i="12" s="1"/>
  <c r="X30" i="12" s="1"/>
  <c r="Z30" i="12" s="1"/>
  <c r="W55" i="12"/>
  <c r="X55" i="12" s="1"/>
  <c r="Z55" i="12" s="1"/>
  <c r="W63" i="15"/>
  <c r="X63" i="15" s="1"/>
  <c r="Z63" i="15" s="1"/>
  <c r="W47" i="15"/>
  <c r="X47" i="15" s="1"/>
  <c r="Z47" i="15" s="1"/>
  <c r="Q26" i="15"/>
  <c r="T26" i="15" s="1"/>
  <c r="U26" i="15" s="1"/>
  <c r="W26" i="15" s="1"/>
  <c r="X26" i="15" s="1"/>
  <c r="Z26" i="15" s="1"/>
  <c r="Q53" i="15"/>
  <c r="T53" i="15" s="1"/>
  <c r="U53" i="15" s="1"/>
  <c r="Q32" i="15"/>
  <c r="T32" i="15" s="1"/>
  <c r="U32" i="15" s="1"/>
  <c r="W32" i="15" s="1"/>
  <c r="X32" i="15" s="1"/>
  <c r="Z32" i="15" s="1"/>
  <c r="Q48" i="15"/>
  <c r="T48" i="15" s="1"/>
  <c r="U48" i="15" s="1"/>
  <c r="W48" i="15" s="1"/>
  <c r="X48" i="15" s="1"/>
  <c r="Z48" i="15" s="1"/>
  <c r="Q23" i="15"/>
  <c r="T23" i="15" s="1"/>
  <c r="U23" i="15" s="1"/>
  <c r="W23" i="15" s="1"/>
  <c r="X23" i="15" s="1"/>
  <c r="Z23" i="15" s="1"/>
  <c r="Q33" i="15"/>
  <c r="T33" i="15" s="1"/>
  <c r="U33" i="15" s="1"/>
  <c r="W33" i="15" s="1"/>
  <c r="X33" i="15" s="1"/>
  <c r="Z33" i="15" s="1"/>
  <c r="Q49" i="15"/>
  <c r="T49" i="15" s="1"/>
  <c r="U49" i="15" s="1"/>
  <c r="W49" i="15" s="1"/>
  <c r="X49" i="15" s="1"/>
  <c r="Z49" i="15" s="1"/>
  <c r="Q28" i="15"/>
  <c r="T28" i="15" s="1"/>
  <c r="U28" i="15" s="1"/>
  <c r="W28" i="15" s="1"/>
  <c r="X28" i="15" s="1"/>
  <c r="Z28" i="15" s="1"/>
  <c r="Q29" i="15"/>
  <c r="T29" i="15" s="1"/>
  <c r="U29" i="15" s="1"/>
  <c r="W29" i="15" s="1"/>
  <c r="X29" i="15" s="1"/>
  <c r="Z29" i="15" s="1"/>
  <c r="W51" i="15"/>
  <c r="X51" i="15" s="1"/>
  <c r="Z51" i="15" s="1"/>
  <c r="Q46" i="15"/>
  <c r="T46" i="15" s="1"/>
  <c r="U46" i="15" s="1"/>
  <c r="W46" i="15" s="1"/>
  <c r="X46" i="15" s="1"/>
  <c r="Z46" i="15" s="1"/>
  <c r="Q23" i="11"/>
  <c r="T23" i="11" s="1"/>
  <c r="U23" i="11" s="1"/>
  <c r="W68" i="15"/>
  <c r="X68" i="15" s="1"/>
  <c r="Z68" i="15" s="1"/>
  <c r="W61" i="15"/>
  <c r="X61" i="15" s="1"/>
  <c r="Z61" i="15" s="1"/>
  <c r="W59" i="15"/>
  <c r="X59" i="15" s="1"/>
  <c r="Z59" i="15" s="1"/>
  <c r="W31" i="15"/>
  <c r="X31" i="15" s="1"/>
  <c r="Z31" i="15" s="1"/>
  <c r="W27" i="15"/>
  <c r="X27" i="15" s="1"/>
  <c r="Z27" i="15" s="1"/>
  <c r="W58" i="15"/>
  <c r="X58" i="15" s="1"/>
  <c r="Z58" i="15" s="1"/>
  <c r="W64" i="15"/>
  <c r="X64" i="15" s="1"/>
  <c r="Z64" i="15" s="1"/>
  <c r="W60" i="15"/>
  <c r="X60" i="15" s="1"/>
  <c r="Z60" i="15" s="1"/>
  <c r="W53" i="15"/>
  <c r="X53" i="15" s="1"/>
  <c r="Z53" i="15" s="1"/>
  <c r="W67" i="15"/>
  <c r="X67" i="15" s="1"/>
  <c r="Z67" i="15" s="1"/>
  <c r="W30" i="15"/>
  <c r="X30" i="15" s="1"/>
  <c r="Z30" i="15" s="1"/>
  <c r="W25" i="15"/>
  <c r="X25" i="15" s="1"/>
  <c r="Z25" i="15" s="1"/>
  <c r="W23" i="11"/>
  <c r="X23" i="11" s="1"/>
  <c r="Z23" i="11" s="1"/>
  <c r="W64" i="11"/>
  <c r="X64" i="11" s="1"/>
  <c r="Z64" i="11" s="1"/>
  <c r="W48" i="11"/>
  <c r="X48" i="11" s="1"/>
  <c r="Z48" i="11" s="1"/>
  <c r="W56" i="11"/>
  <c r="X56" i="11" s="1"/>
  <c r="Z56" i="11" s="1"/>
  <c r="W69" i="11"/>
  <c r="X69" i="11" s="1"/>
  <c r="Z69" i="11" s="1"/>
  <c r="W57" i="5"/>
  <c r="X57" i="5" s="1"/>
  <c r="Z57" i="5" s="1"/>
  <c r="W63" i="5"/>
  <c r="X63" i="5" s="1"/>
  <c r="Z63" i="5" s="1"/>
  <c r="W73" i="5"/>
  <c r="W65" i="5"/>
  <c r="W67" i="5"/>
  <c r="M24" i="13"/>
  <c r="M24" i="10"/>
  <c r="W63" i="12"/>
  <c r="X63" i="12" s="1"/>
  <c r="Z63" i="12" s="1"/>
  <c r="W54" i="12"/>
  <c r="X54" i="12" s="1"/>
  <c r="Z54" i="12" s="1"/>
  <c r="W64" i="12"/>
  <c r="X64" i="12" s="1"/>
  <c r="Z64" i="12" s="1"/>
  <c r="W57" i="12"/>
  <c r="X57" i="12" s="1"/>
  <c r="Z57" i="12" s="1"/>
  <c r="W60" i="12"/>
  <c r="X60" i="12" s="1"/>
  <c r="Z60" i="12" s="1"/>
  <c r="W65" i="15"/>
  <c r="X65" i="15" s="1"/>
  <c r="Z65" i="15" s="1"/>
  <c r="W50" i="15"/>
  <c r="X50" i="15" s="1"/>
  <c r="Z50" i="15" s="1"/>
  <c r="W52" i="15"/>
  <c r="X52" i="15" s="1"/>
  <c r="Z52" i="15" s="1"/>
  <c r="W56" i="15"/>
  <c r="X56" i="15" s="1"/>
  <c r="Z56" i="15" s="1"/>
  <c r="W56" i="21"/>
  <c r="X56" i="21" s="1"/>
  <c r="Z56" i="21" s="1"/>
  <c r="X62" i="21"/>
  <c r="Z62" i="21" s="1"/>
  <c r="D36" i="21"/>
  <c r="H35" i="21"/>
  <c r="J35" i="21" s="1"/>
  <c r="X59" i="21"/>
  <c r="Z59" i="21" s="1"/>
  <c r="X57" i="21"/>
  <c r="Z57" i="21" s="1"/>
  <c r="X61" i="21"/>
  <c r="Z61" i="21" s="1"/>
  <c r="X52" i="21"/>
  <c r="Z52" i="21" s="1"/>
  <c r="W60" i="21"/>
  <c r="X60" i="21" s="1"/>
  <c r="Z60" i="21" s="1"/>
  <c r="H34" i="21"/>
  <c r="J34" i="21" s="1"/>
  <c r="X59" i="12"/>
  <c r="Z59" i="12" s="1"/>
  <c r="Q34" i="12"/>
  <c r="T34" i="12" s="1"/>
  <c r="U34" i="12" s="1"/>
  <c r="J34" i="12"/>
  <c r="W24" i="15"/>
  <c r="X24" i="15" s="1"/>
  <c r="Z24" i="15" s="1"/>
  <c r="W66" i="15"/>
  <c r="X66" i="15" s="1"/>
  <c r="Z66" i="15" s="1"/>
  <c r="X55" i="15"/>
  <c r="Z55" i="15" s="1"/>
  <c r="X57" i="15"/>
  <c r="Z57" i="15" s="1"/>
  <c r="W62" i="15"/>
  <c r="X62" i="15" s="1"/>
  <c r="Z62" i="15" s="1"/>
  <c r="D36" i="15"/>
  <c r="Q35" i="15"/>
  <c r="T35" i="15" s="1"/>
  <c r="U35" i="15" s="1"/>
  <c r="H35" i="15"/>
  <c r="J35" i="15" s="1"/>
  <c r="H34" i="15"/>
  <c r="J34" i="15" s="1"/>
  <c r="Q34" i="15"/>
  <c r="T34" i="15" s="1"/>
  <c r="U34" i="15" s="1"/>
  <c r="W61" i="11"/>
  <c r="X61" i="11" s="1"/>
  <c r="Z61" i="11" s="1"/>
  <c r="W70" i="11"/>
  <c r="X70" i="11" s="1"/>
  <c r="Z70" i="11" s="1"/>
  <c r="W59" i="11"/>
  <c r="X59" i="11" s="1"/>
  <c r="Z59" i="11" s="1"/>
  <c r="W33" i="11"/>
  <c r="X33" i="11" s="1"/>
  <c r="Z33" i="11" s="1"/>
  <c r="W57" i="11"/>
  <c r="X57" i="11" s="1"/>
  <c r="Z57" i="11" s="1"/>
  <c r="W30" i="11"/>
  <c r="X30" i="11" s="1"/>
  <c r="Z30" i="11" s="1"/>
  <c r="W49" i="11"/>
  <c r="X49" i="11" s="1"/>
  <c r="Z49" i="11" s="1"/>
  <c r="W58" i="11"/>
  <c r="X58" i="11" s="1"/>
  <c r="Z58" i="11" s="1"/>
  <c r="X67" i="11"/>
  <c r="Z67" i="11" s="1"/>
  <c r="W65" i="11"/>
  <c r="X65" i="11" s="1"/>
  <c r="Z65" i="11" s="1"/>
  <c r="H36" i="11"/>
  <c r="J36" i="11" s="1"/>
  <c r="Q36" i="11"/>
  <c r="T36" i="11" s="1"/>
  <c r="U36" i="11" s="1"/>
  <c r="X63" i="11"/>
  <c r="Z63" i="11" s="1"/>
  <c r="X66" i="11"/>
  <c r="Z66" i="11" s="1"/>
  <c r="X68" i="11"/>
  <c r="Z68" i="11" s="1"/>
  <c r="H35" i="11"/>
  <c r="J35" i="11" s="1"/>
  <c r="X55" i="11"/>
  <c r="Z55" i="11" s="1"/>
  <c r="X62" i="11"/>
  <c r="Z62" i="11" s="1"/>
  <c r="Q35" i="11"/>
  <c r="T35" i="11" s="1"/>
  <c r="U35" i="11" s="1"/>
  <c r="D37" i="11"/>
  <c r="W54" i="11"/>
  <c r="X54" i="11" s="1"/>
  <c r="Z54" i="11" s="1"/>
  <c r="Q34" i="11"/>
  <c r="T34" i="11" s="1"/>
  <c r="U34" i="11" s="1"/>
  <c r="H34" i="11"/>
  <c r="J34" i="11" s="1"/>
  <c r="W70" i="5"/>
  <c r="X70" i="5" s="1"/>
  <c r="Z70" i="5" s="1"/>
  <c r="W49" i="5"/>
  <c r="X49" i="5" s="1"/>
  <c r="Z49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71" i="5"/>
  <c r="X71" i="5" s="1"/>
  <c r="Z71" i="5" s="1"/>
  <c r="W69" i="5"/>
  <c r="X69" i="5" s="1"/>
  <c r="Z69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53" i="5"/>
  <c r="X53" i="5" s="1"/>
  <c r="Z53" i="5" s="1"/>
  <c r="X73" i="5"/>
  <c r="Z73" i="5" s="1"/>
  <c r="X60" i="5"/>
  <c r="Z60" i="5" s="1"/>
  <c r="X65" i="5"/>
  <c r="Z65" i="5" s="1"/>
  <c r="W62" i="5"/>
  <c r="X62" i="5" s="1"/>
  <c r="Z62" i="5" s="1"/>
  <c r="X54" i="5"/>
  <c r="Z54" i="5" s="1"/>
  <c r="W58" i="5"/>
  <c r="X58" i="5" s="1"/>
  <c r="Z58" i="5" s="1"/>
  <c r="Q24" i="16"/>
  <c r="Q27" i="16"/>
  <c r="Q28" i="16"/>
  <c r="Q26" i="16"/>
  <c r="Q25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X24" i="23" l="1"/>
  <c r="Z24" i="23" s="1"/>
  <c r="W38" i="5"/>
  <c r="X38" i="5" s="1"/>
  <c r="Z38" i="5" s="1"/>
  <c r="D40" i="5"/>
  <c r="H39" i="5"/>
  <c r="J39" i="5" s="1"/>
  <c r="Q39" i="5"/>
  <c r="T39" i="5" s="1"/>
  <c r="U39" i="5" s="1"/>
  <c r="V51" i="23"/>
  <c r="W51" i="23" s="1"/>
  <c r="Y51" i="23" s="1"/>
  <c r="AA51" i="23" s="1"/>
  <c r="V40" i="26"/>
  <c r="W40" i="26" s="1"/>
  <c r="V42" i="26"/>
  <c r="W42" i="26" s="1"/>
  <c r="Y42" i="26" s="1"/>
  <c r="X28" i="26"/>
  <c r="Z28" i="26" s="1"/>
  <c r="AA28" i="26" s="1"/>
  <c r="X32" i="26"/>
  <c r="V27" i="26"/>
  <c r="W27" i="26" s="1"/>
  <c r="Y27" i="26" s="1"/>
  <c r="AB27" i="26" s="1"/>
  <c r="V59" i="26"/>
  <c r="W59" i="26" s="1"/>
  <c r="Y59" i="26" s="1"/>
  <c r="AB59" i="26" s="1"/>
  <c r="X31" i="26"/>
  <c r="Z31" i="26" s="1"/>
  <c r="X58" i="26"/>
  <c r="Z58" i="26" s="1"/>
  <c r="AA58" i="26" s="1"/>
  <c r="X24" i="24"/>
  <c r="Z24" i="24" s="1"/>
  <c r="AA24" i="24" s="1"/>
  <c r="X60" i="24"/>
  <c r="Z60" i="24" s="1"/>
  <c r="AA60" i="24" s="1"/>
  <c r="V59" i="24"/>
  <c r="W59" i="24" s="1"/>
  <c r="Y59" i="24" s="1"/>
  <c r="AB59" i="24" s="1"/>
  <c r="S41" i="24"/>
  <c r="X41" i="24" s="1"/>
  <c r="Z41" i="24" s="1"/>
  <c r="X44" i="24"/>
  <c r="Z44" i="24" s="1"/>
  <c r="X32" i="24"/>
  <c r="Z32" i="24" s="1"/>
  <c r="X53" i="24"/>
  <c r="V51" i="24"/>
  <c r="W51" i="24" s="1"/>
  <c r="Y51" i="24" s="1"/>
  <c r="X40" i="24"/>
  <c r="Z40" i="24" s="1"/>
  <c r="X39" i="24"/>
  <c r="Z39" i="24" s="1"/>
  <c r="AA39" i="24" s="1"/>
  <c r="X50" i="24"/>
  <c r="Z50" i="24" s="1"/>
  <c r="V59" i="14"/>
  <c r="W59" i="14" s="1"/>
  <c r="Y59" i="14" s="1"/>
  <c r="X59" i="14"/>
  <c r="Z59" i="14" s="1"/>
  <c r="X60" i="14"/>
  <c r="Z60" i="14" s="1"/>
  <c r="V60" i="14"/>
  <c r="W60" i="14" s="1"/>
  <c r="Y60" i="14" s="1"/>
  <c r="V40" i="14"/>
  <c r="W40" i="14" s="1"/>
  <c r="Y40" i="14" s="1"/>
  <c r="X40" i="14"/>
  <c r="Z40" i="14" s="1"/>
  <c r="X41" i="14"/>
  <c r="Z41" i="14" s="1"/>
  <c r="V41" i="14"/>
  <c r="W41" i="14" s="1"/>
  <c r="Y41" i="14" s="1"/>
  <c r="V56" i="14"/>
  <c r="W56" i="14" s="1"/>
  <c r="Y56" i="14" s="1"/>
  <c r="X56" i="14"/>
  <c r="Z56" i="14" s="1"/>
  <c r="V61" i="14"/>
  <c r="W61" i="14" s="1"/>
  <c r="Y61" i="14" s="1"/>
  <c r="X61" i="14"/>
  <c r="Z61" i="14" s="1"/>
  <c r="V42" i="14"/>
  <c r="W42" i="14" s="1"/>
  <c r="Y42" i="14" s="1"/>
  <c r="X42" i="14"/>
  <c r="Z42" i="14" s="1"/>
  <c r="X45" i="25"/>
  <c r="Z45" i="25" s="1"/>
  <c r="V44" i="25"/>
  <c r="W44" i="25" s="1"/>
  <c r="Y44" i="25" s="1"/>
  <c r="V57" i="25"/>
  <c r="W57" i="25" s="1"/>
  <c r="Y57" i="25" s="1"/>
  <c r="V46" i="26"/>
  <c r="W46" i="26" s="1"/>
  <c r="Y46" i="26" s="1"/>
  <c r="AB46" i="26" s="1"/>
  <c r="V30" i="26"/>
  <c r="W30" i="26" s="1"/>
  <c r="Y30" i="26" s="1"/>
  <c r="AB30" i="26" s="1"/>
  <c r="S33" i="26"/>
  <c r="X33" i="26" s="1"/>
  <c r="V39" i="26"/>
  <c r="W39" i="26" s="1"/>
  <c r="Y39" i="26" s="1"/>
  <c r="AB39" i="26" s="1"/>
  <c r="V26" i="26"/>
  <c r="W26" i="26" s="1"/>
  <c r="Y26" i="26" s="1"/>
  <c r="AB26" i="26" s="1"/>
  <c r="S41" i="26"/>
  <c r="X41" i="26" s="1"/>
  <c r="Z41" i="26" s="1"/>
  <c r="V43" i="26"/>
  <c r="W43" i="26" s="1"/>
  <c r="Y43" i="26" s="1"/>
  <c r="AA43" i="26" s="1"/>
  <c r="Y40" i="26"/>
  <c r="X44" i="26"/>
  <c r="Z44" i="26" s="1"/>
  <c r="AA44" i="26" s="1"/>
  <c r="F35" i="26"/>
  <c r="J35" i="26" s="1"/>
  <c r="L35" i="26" s="1"/>
  <c r="V50" i="26"/>
  <c r="W50" i="26" s="1"/>
  <c r="Y50" i="26" s="1"/>
  <c r="AB50" i="26" s="1"/>
  <c r="V61" i="24"/>
  <c r="W61" i="24" s="1"/>
  <c r="Y61" i="24" s="1"/>
  <c r="AB61" i="24" s="1"/>
  <c r="X61" i="24"/>
  <c r="Z61" i="24" s="1"/>
  <c r="V26" i="24"/>
  <c r="W26" i="24" s="1"/>
  <c r="Y26" i="24" s="1"/>
  <c r="AA26" i="24" s="1"/>
  <c r="V28" i="24"/>
  <c r="W28" i="24" s="1"/>
  <c r="Y28" i="24" s="1"/>
  <c r="AB28" i="24" s="1"/>
  <c r="V46" i="24"/>
  <c r="W46" i="24" s="1"/>
  <c r="Y46" i="24" s="1"/>
  <c r="AB46" i="24" s="1"/>
  <c r="V45" i="24"/>
  <c r="W45" i="24" s="1"/>
  <c r="Y45" i="24" s="1"/>
  <c r="X45" i="24"/>
  <c r="Z45" i="24" s="1"/>
  <c r="V25" i="24"/>
  <c r="W25" i="24" s="1"/>
  <c r="Y25" i="24" s="1"/>
  <c r="AA25" i="24" s="1"/>
  <c r="X48" i="24"/>
  <c r="Z48" i="24" s="1"/>
  <c r="AA48" i="24" s="1"/>
  <c r="V52" i="24"/>
  <c r="W52" i="24" s="1"/>
  <c r="Y52" i="24" s="1"/>
  <c r="AB52" i="24" s="1"/>
  <c r="X27" i="24"/>
  <c r="Z27" i="24" s="1"/>
  <c r="AA27" i="24" s="1"/>
  <c r="V47" i="24"/>
  <c r="W47" i="24" s="1"/>
  <c r="Y47" i="24" s="1"/>
  <c r="AB47" i="24" s="1"/>
  <c r="X26" i="25"/>
  <c r="Z26" i="25" s="1"/>
  <c r="V39" i="25"/>
  <c r="W39" i="25" s="1"/>
  <c r="Y39" i="25" s="1"/>
  <c r="V40" i="25"/>
  <c r="W40" i="25" s="1"/>
  <c r="Y40" i="25" s="1"/>
  <c r="AA40" i="25" s="1"/>
  <c r="X47" i="26"/>
  <c r="Z47" i="26" s="1"/>
  <c r="AA47" i="26" s="1"/>
  <c r="Z40" i="26"/>
  <c r="X29" i="26"/>
  <c r="Z29" i="26" s="1"/>
  <c r="AA29" i="26" s="1"/>
  <c r="X45" i="26"/>
  <c r="Z45" i="26" s="1"/>
  <c r="V45" i="26"/>
  <c r="W45" i="26" s="1"/>
  <c r="Y45" i="26" s="1"/>
  <c r="J33" i="26"/>
  <c r="L33" i="26" s="1"/>
  <c r="S51" i="26"/>
  <c r="F52" i="26"/>
  <c r="Z68" i="10"/>
  <c r="Y68" i="10"/>
  <c r="AB68" i="10" s="1"/>
  <c r="Z69" i="10"/>
  <c r="Y69" i="10"/>
  <c r="AB69" i="10" s="1"/>
  <c r="V27" i="23"/>
  <c r="W27" i="23" s="1"/>
  <c r="Y27" i="23" s="1"/>
  <c r="AA27" i="23" s="1"/>
  <c r="V52" i="23"/>
  <c r="W52" i="23" s="1"/>
  <c r="Y52" i="23" s="1"/>
  <c r="AA52" i="23" s="1"/>
  <c r="X31" i="23"/>
  <c r="Z31" i="23" s="1"/>
  <c r="AA31" i="23" s="1"/>
  <c r="V28" i="23"/>
  <c r="W28" i="23" s="1"/>
  <c r="Y28" i="23" s="1"/>
  <c r="AA28" i="23" s="1"/>
  <c r="V32" i="23"/>
  <c r="W32" i="23" s="1"/>
  <c r="Y32" i="23" s="1"/>
  <c r="AA32" i="23" s="1"/>
  <c r="V53" i="23"/>
  <c r="W53" i="23" s="1"/>
  <c r="Y53" i="23" s="1"/>
  <c r="AB53" i="23" s="1"/>
  <c r="F34" i="23"/>
  <c r="V30" i="23"/>
  <c r="W30" i="23" s="1"/>
  <c r="Y30" i="23" s="1"/>
  <c r="AB30" i="23" s="1"/>
  <c r="X50" i="23"/>
  <c r="Z50" i="23" s="1"/>
  <c r="AA50" i="23" s="1"/>
  <c r="X29" i="23"/>
  <c r="Z29" i="23" s="1"/>
  <c r="AA29" i="23" s="1"/>
  <c r="X47" i="25"/>
  <c r="Z47" i="25" s="1"/>
  <c r="V47" i="25"/>
  <c r="W47" i="25" s="1"/>
  <c r="Y47" i="25" s="1"/>
  <c r="AA47" i="25" s="1"/>
  <c r="X59" i="25"/>
  <c r="Z59" i="25" s="1"/>
  <c r="V59" i="25"/>
  <c r="W59" i="25" s="1"/>
  <c r="Y59" i="25" s="1"/>
  <c r="AB59" i="25" s="1"/>
  <c r="X43" i="25"/>
  <c r="Z43" i="25" s="1"/>
  <c r="V43" i="25"/>
  <c r="W43" i="25" s="1"/>
  <c r="Y43" i="25" s="1"/>
  <c r="AB43" i="25" s="1"/>
  <c r="V26" i="23"/>
  <c r="W26" i="23" s="1"/>
  <c r="Y26" i="23" s="1"/>
  <c r="AA26" i="23" s="1"/>
  <c r="V48" i="23"/>
  <c r="W48" i="23" s="1"/>
  <c r="Y48" i="23" s="1"/>
  <c r="AB48" i="23" s="1"/>
  <c r="X48" i="23"/>
  <c r="Z48" i="23" s="1"/>
  <c r="V25" i="23"/>
  <c r="W25" i="23" s="1"/>
  <c r="Y25" i="23" s="1"/>
  <c r="AB25" i="23" s="1"/>
  <c r="AB44" i="26"/>
  <c r="AA42" i="26"/>
  <c r="AB42" i="26"/>
  <c r="AB58" i="26"/>
  <c r="AB47" i="26"/>
  <c r="Z32" i="26"/>
  <c r="Y32" i="26"/>
  <c r="AA32" i="26" s="1"/>
  <c r="AA24" i="26"/>
  <c r="AB24" i="26"/>
  <c r="AA45" i="26"/>
  <c r="AB45" i="26"/>
  <c r="AB49" i="26"/>
  <c r="AA49" i="26"/>
  <c r="AB57" i="26"/>
  <c r="AA57" i="26"/>
  <c r="X34" i="26"/>
  <c r="Z34" i="26" s="1"/>
  <c r="V34" i="26"/>
  <c r="W34" i="26" s="1"/>
  <c r="Y34" i="26" s="1"/>
  <c r="AB25" i="26"/>
  <c r="AA25" i="26"/>
  <c r="AB29" i="26"/>
  <c r="AA50" i="26"/>
  <c r="AB28" i="26"/>
  <c r="AB31" i="26"/>
  <c r="AA31" i="26"/>
  <c r="AA48" i="26"/>
  <c r="AB48" i="26"/>
  <c r="AA31" i="25"/>
  <c r="AB31" i="25"/>
  <c r="AB48" i="25"/>
  <c r="AA48" i="25"/>
  <c r="AB27" i="25"/>
  <c r="AA27" i="25"/>
  <c r="AB30" i="25"/>
  <c r="AA30" i="25"/>
  <c r="AA39" i="25"/>
  <c r="AB39" i="25"/>
  <c r="AA24" i="25"/>
  <c r="AB24" i="25"/>
  <c r="AB58" i="25"/>
  <c r="AA58" i="25"/>
  <c r="AB49" i="25"/>
  <c r="AA49" i="25"/>
  <c r="Y51" i="25"/>
  <c r="AB51" i="25" s="1"/>
  <c r="Z51" i="25"/>
  <c r="AB44" i="25"/>
  <c r="AA44" i="25"/>
  <c r="Y32" i="25"/>
  <c r="Z32" i="25"/>
  <c r="AB26" i="25"/>
  <c r="AA26" i="25"/>
  <c r="AA50" i="25"/>
  <c r="AB50" i="25"/>
  <c r="AB45" i="25"/>
  <c r="AA45" i="25"/>
  <c r="AB25" i="25"/>
  <c r="AA25" i="25"/>
  <c r="S33" i="25"/>
  <c r="J33" i="25"/>
  <c r="L33" i="25" s="1"/>
  <c r="AB57" i="25"/>
  <c r="AA57" i="25"/>
  <c r="AB29" i="25"/>
  <c r="AA29" i="25"/>
  <c r="AB28" i="25"/>
  <c r="AA28" i="25"/>
  <c r="AB46" i="25"/>
  <c r="AA46" i="25"/>
  <c r="Z41" i="25"/>
  <c r="Y41" i="25"/>
  <c r="AB41" i="25" s="1"/>
  <c r="AB42" i="25"/>
  <c r="AA42" i="25"/>
  <c r="Z40" i="25"/>
  <c r="S52" i="25"/>
  <c r="J52" i="25"/>
  <c r="L52" i="25" s="1"/>
  <c r="AB49" i="24"/>
  <c r="AA49" i="24"/>
  <c r="AA30" i="24"/>
  <c r="AB30" i="24"/>
  <c r="Y32" i="24"/>
  <c r="AA29" i="24"/>
  <c r="AB29" i="24"/>
  <c r="AB50" i="24"/>
  <c r="AA50" i="24"/>
  <c r="AB51" i="24"/>
  <c r="AA51" i="24"/>
  <c r="AB31" i="24"/>
  <c r="AA31" i="24"/>
  <c r="Z53" i="24"/>
  <c r="Y53" i="24"/>
  <c r="AA53" i="24" s="1"/>
  <c r="AB39" i="24"/>
  <c r="AB60" i="24"/>
  <c r="AB48" i="24"/>
  <c r="AB24" i="24"/>
  <c r="V41" i="24"/>
  <c r="W41" i="24" s="1"/>
  <c r="Y41" i="24" s="1"/>
  <c r="F34" i="24"/>
  <c r="S33" i="24"/>
  <c r="J33" i="24"/>
  <c r="L33" i="24" s="1"/>
  <c r="AB27" i="24"/>
  <c r="AB40" i="24"/>
  <c r="AA40" i="24"/>
  <c r="F55" i="24"/>
  <c r="S54" i="24"/>
  <c r="J54" i="24"/>
  <c r="L54" i="24" s="1"/>
  <c r="AB44" i="24"/>
  <c r="AA44" i="24"/>
  <c r="AB49" i="23"/>
  <c r="AA49" i="23"/>
  <c r="AB31" i="23"/>
  <c r="AB24" i="23"/>
  <c r="AA24" i="23"/>
  <c r="X33" i="23"/>
  <c r="Z33" i="23" s="1"/>
  <c r="V33" i="23"/>
  <c r="W33" i="23" s="1"/>
  <c r="Y33" i="23" s="1"/>
  <c r="AB50" i="23"/>
  <c r="AB29" i="23"/>
  <c r="D34" i="22"/>
  <c r="W33" i="22"/>
  <c r="X33" i="22" s="1"/>
  <c r="Z33" i="22" s="1"/>
  <c r="Q34" i="22"/>
  <c r="T34" i="22" s="1"/>
  <c r="U34" i="22" s="1"/>
  <c r="J34" i="22"/>
  <c r="D35" i="22"/>
  <c r="W34" i="21"/>
  <c r="X34" i="21" s="1"/>
  <c r="Z34" i="21" s="1"/>
  <c r="W35" i="15"/>
  <c r="X35" i="15" s="1"/>
  <c r="Z35" i="15" s="1"/>
  <c r="W34" i="11"/>
  <c r="X34" i="11" s="1"/>
  <c r="Z34" i="11" s="1"/>
  <c r="D37" i="21"/>
  <c r="H36" i="21"/>
  <c r="J36" i="21" s="1"/>
  <c r="T36" i="21"/>
  <c r="U36" i="21" s="1"/>
  <c r="W35" i="21"/>
  <c r="X35" i="21" s="1"/>
  <c r="Z35" i="21" s="1"/>
  <c r="W34" i="12"/>
  <c r="X34" i="12" s="1"/>
  <c r="Z34" i="12" s="1"/>
  <c r="J35" i="12"/>
  <c r="Q35" i="12"/>
  <c r="T35" i="12" s="1"/>
  <c r="U35" i="12" s="1"/>
  <c r="W34" i="15"/>
  <c r="X34" i="15" s="1"/>
  <c r="Z34" i="15" s="1"/>
  <c r="H36" i="15"/>
  <c r="J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H12" i="18"/>
  <c r="H14" i="18" s="1"/>
  <c r="H13" i="18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AB51" i="23" l="1"/>
  <c r="W39" i="5"/>
  <c r="X39" i="5" s="1"/>
  <c r="Z39" i="5" s="1"/>
  <c r="Q40" i="5"/>
  <c r="T40" i="5" s="1"/>
  <c r="U40" i="5" s="1"/>
  <c r="D41" i="5"/>
  <c r="H40" i="5"/>
  <c r="J40" i="5" s="1"/>
  <c r="W40" i="5" s="1"/>
  <c r="X40" i="5" s="1"/>
  <c r="Z40" i="5" s="1"/>
  <c r="AB52" i="23"/>
  <c r="AB32" i="23"/>
  <c r="AB28" i="23"/>
  <c r="AB27" i="23"/>
  <c r="AA46" i="26"/>
  <c r="AA27" i="26"/>
  <c r="AA30" i="26"/>
  <c r="AA26" i="26"/>
  <c r="AB43" i="26"/>
  <c r="V33" i="26"/>
  <c r="W33" i="26" s="1"/>
  <c r="Y33" i="26" s="1"/>
  <c r="AA59" i="26"/>
  <c r="AA40" i="26"/>
  <c r="AA41" i="24"/>
  <c r="AA59" i="24"/>
  <c r="AA45" i="24"/>
  <c r="AA61" i="24"/>
  <c r="AB26" i="24"/>
  <c r="AB25" i="24"/>
  <c r="AA52" i="24"/>
  <c r="AA28" i="24"/>
  <c r="AB45" i="24"/>
  <c r="AA46" i="24"/>
  <c r="AB42" i="14"/>
  <c r="AA42" i="14"/>
  <c r="AA56" i="14"/>
  <c r="AB56" i="14"/>
  <c r="AA41" i="14"/>
  <c r="AB41" i="14"/>
  <c r="AA61" i="14"/>
  <c r="AB61" i="14"/>
  <c r="AB40" i="14"/>
  <c r="AA40" i="14"/>
  <c r="AB60" i="14"/>
  <c r="AA60" i="14"/>
  <c r="AB59" i="14"/>
  <c r="AA59" i="14"/>
  <c r="AA51" i="25"/>
  <c r="V41" i="26"/>
  <c r="W41" i="26" s="1"/>
  <c r="Y41" i="26" s="1"/>
  <c r="AB41" i="26" s="1"/>
  <c r="AB40" i="26"/>
  <c r="AA39" i="26"/>
  <c r="S35" i="26"/>
  <c r="X35" i="26" s="1"/>
  <c r="Z35" i="26" s="1"/>
  <c r="F36" i="26"/>
  <c r="Z33" i="26"/>
  <c r="AA47" i="24"/>
  <c r="F53" i="26"/>
  <c r="J52" i="26"/>
  <c r="L52" i="26" s="1"/>
  <c r="S52" i="26"/>
  <c r="V51" i="26"/>
  <c r="W51" i="26" s="1"/>
  <c r="Y51" i="26" s="1"/>
  <c r="AB51" i="26" s="1"/>
  <c r="X51" i="26"/>
  <c r="Z51" i="26" s="1"/>
  <c r="AB47" i="25"/>
  <c r="AA68" i="10"/>
  <c r="AA69" i="10"/>
  <c r="AA53" i="23"/>
  <c r="AB26" i="23"/>
  <c r="AA30" i="23"/>
  <c r="AA48" i="23"/>
  <c r="F35" i="23"/>
  <c r="J34" i="23"/>
  <c r="L34" i="23" s="1"/>
  <c r="S34" i="23"/>
  <c r="AA33" i="23"/>
  <c r="AA43" i="25"/>
  <c r="AA59" i="25"/>
  <c r="AB53" i="24"/>
  <c r="AA25" i="23"/>
  <c r="AB33" i="23"/>
  <c r="AA34" i="26"/>
  <c r="AB34" i="26"/>
  <c r="AA51" i="26"/>
  <c r="AA32" i="25"/>
  <c r="AA32" i="24"/>
  <c r="AB41" i="24"/>
  <c r="F37" i="26"/>
  <c r="S36" i="26"/>
  <c r="J36" i="26"/>
  <c r="L36" i="26" s="1"/>
  <c r="AB32" i="26"/>
  <c r="AA41" i="25"/>
  <c r="X52" i="25"/>
  <c r="Z52" i="25" s="1"/>
  <c r="V52" i="25"/>
  <c r="W52" i="25" s="1"/>
  <c r="Y52" i="25" s="1"/>
  <c r="AB32" i="25"/>
  <c r="J53" i="25"/>
  <c r="L53" i="25" s="1"/>
  <c r="S53" i="25"/>
  <c r="X33" i="25"/>
  <c r="Z33" i="25" s="1"/>
  <c r="V33" i="25"/>
  <c r="W33" i="25" s="1"/>
  <c r="Y33" i="25" s="1"/>
  <c r="AB40" i="25"/>
  <c r="J34" i="25"/>
  <c r="L34" i="25" s="1"/>
  <c r="S34" i="25"/>
  <c r="J34" i="24"/>
  <c r="L34" i="24" s="1"/>
  <c r="F35" i="24"/>
  <c r="S34" i="24"/>
  <c r="X33" i="24"/>
  <c r="Z33" i="24" s="1"/>
  <c r="V33" i="24"/>
  <c r="W33" i="24" s="1"/>
  <c r="Y33" i="24" s="1"/>
  <c r="X54" i="24"/>
  <c r="Z54" i="24" s="1"/>
  <c r="V54" i="24"/>
  <c r="W54" i="24" s="1"/>
  <c r="Y54" i="24" s="1"/>
  <c r="J55" i="24"/>
  <c r="L55" i="24" s="1"/>
  <c r="F56" i="24"/>
  <c r="S55" i="24"/>
  <c r="AB32" i="24"/>
  <c r="D36" i="22"/>
  <c r="J35" i="22"/>
  <c r="Q35" i="22"/>
  <c r="T35" i="22" s="1"/>
  <c r="U35" i="22" s="1"/>
  <c r="W34" i="22"/>
  <c r="X34" i="22" s="1"/>
  <c r="Z34" i="22" s="1"/>
  <c r="W36" i="15"/>
  <c r="X36" i="15" s="1"/>
  <c r="Z36" i="15" s="1"/>
  <c r="W36" i="21"/>
  <c r="X36" i="21" s="1"/>
  <c r="Z36" i="21" s="1"/>
  <c r="T37" i="21"/>
  <c r="U37" i="21" s="1"/>
  <c r="H37" i="21"/>
  <c r="J37" i="21" s="1"/>
  <c r="D38" i="21"/>
  <c r="W35" i="12"/>
  <c r="X35" i="12" s="1"/>
  <c r="Z35" i="12" s="1"/>
  <c r="Q36" i="12"/>
  <c r="T36" i="12" s="1"/>
  <c r="U36" i="12" s="1"/>
  <c r="J36" i="12"/>
  <c r="D38" i="15"/>
  <c r="Q37" i="15"/>
  <c r="T37" i="15" s="1"/>
  <c r="U37" i="15" s="1"/>
  <c r="H37" i="15"/>
  <c r="J37" i="15" s="1"/>
  <c r="W37" i="11"/>
  <c r="X37" i="11" s="1"/>
  <c r="Z37" i="11" s="1"/>
  <c r="Q38" i="11"/>
  <c r="T38" i="11" s="1"/>
  <c r="U38" i="11" s="1"/>
  <c r="H38" i="11"/>
  <c r="J38" i="11" s="1"/>
  <c r="D39" i="11"/>
  <c r="E12" i="18"/>
  <c r="E14" i="18" s="1"/>
  <c r="E11" i="18"/>
  <c r="E13" i="18" s="1"/>
  <c r="H41" i="5" l="1"/>
  <c r="J41" i="5" s="1"/>
  <c r="D42" i="5"/>
  <c r="Q41" i="5"/>
  <c r="T41" i="5" s="1"/>
  <c r="U41" i="5" s="1"/>
  <c r="AB33" i="26"/>
  <c r="AA33" i="26"/>
  <c r="V35" i="26"/>
  <c r="W35" i="26" s="1"/>
  <c r="Y35" i="26" s="1"/>
  <c r="AB35" i="26" s="1"/>
  <c r="AA41" i="26"/>
  <c r="X52" i="26"/>
  <c r="Z52" i="26" s="1"/>
  <c r="V52" i="26"/>
  <c r="W52" i="26" s="1"/>
  <c r="Y52" i="26" s="1"/>
  <c r="S53" i="26"/>
  <c r="J53" i="26"/>
  <c r="L53" i="26" s="1"/>
  <c r="F54" i="26"/>
  <c r="V34" i="23"/>
  <c r="W34" i="23" s="1"/>
  <c r="Y34" i="23" s="1"/>
  <c r="X34" i="23"/>
  <c r="Z34" i="23" s="1"/>
  <c r="J35" i="23"/>
  <c r="L35" i="23" s="1"/>
  <c r="S35" i="23"/>
  <c r="F36" i="23"/>
  <c r="AA35" i="26"/>
  <c r="F38" i="26"/>
  <c r="J37" i="26"/>
  <c r="L37" i="26" s="1"/>
  <c r="X36" i="26"/>
  <c r="Z36" i="26" s="1"/>
  <c r="V36" i="26"/>
  <c r="W36" i="26" s="1"/>
  <c r="Y36" i="26" s="1"/>
  <c r="AA33" i="25"/>
  <c r="AB33" i="25"/>
  <c r="AB52" i="25"/>
  <c r="AA52" i="25"/>
  <c r="X34" i="25"/>
  <c r="V34" i="25"/>
  <c r="W34" i="25" s="1"/>
  <c r="X53" i="25"/>
  <c r="V53" i="25"/>
  <c r="W53" i="25" s="1"/>
  <c r="Y53" i="25" s="1"/>
  <c r="Z53" i="25"/>
  <c r="Z34" i="25"/>
  <c r="Y34" i="25"/>
  <c r="S35" i="25"/>
  <c r="J35" i="25"/>
  <c r="L35" i="25" s="1"/>
  <c r="S54" i="25"/>
  <c r="J54" i="25"/>
  <c r="L54" i="25" s="1"/>
  <c r="AA54" i="24"/>
  <c r="AB54" i="24"/>
  <c r="X55" i="24"/>
  <c r="Z55" i="24" s="1"/>
  <c r="V55" i="24"/>
  <c r="W55" i="24" s="1"/>
  <c r="Y55" i="24"/>
  <c r="AA33" i="24"/>
  <c r="AB33" i="24"/>
  <c r="X34" i="24"/>
  <c r="Z34" i="24" s="1"/>
  <c r="V34" i="24"/>
  <c r="W34" i="24" s="1"/>
  <c r="Y34" i="24" s="1"/>
  <c r="S35" i="24"/>
  <c r="J35" i="24"/>
  <c r="L35" i="24" s="1"/>
  <c r="F36" i="24"/>
  <c r="S56" i="24"/>
  <c r="J56" i="24"/>
  <c r="L56" i="24" s="1"/>
  <c r="F57" i="24"/>
  <c r="J36" i="22"/>
  <c r="D37" i="22"/>
  <c r="Q36" i="22"/>
  <c r="T36" i="22" s="1"/>
  <c r="U36" i="22" s="1"/>
  <c r="W35" i="22"/>
  <c r="X35" i="22" s="1"/>
  <c r="Z35" i="22" s="1"/>
  <c r="W36" i="12"/>
  <c r="X36" i="12" s="1"/>
  <c r="Z36" i="12" s="1"/>
  <c r="W37" i="15"/>
  <c r="X37" i="15" s="1"/>
  <c r="Z37" i="15" s="1"/>
  <c r="W37" i="21"/>
  <c r="X37" i="21" s="1"/>
  <c r="Z37" i="21" s="1"/>
  <c r="D39" i="21"/>
  <c r="T38" i="21"/>
  <c r="U38" i="21" s="1"/>
  <c r="H38" i="21"/>
  <c r="J38" i="21" s="1"/>
  <c r="Q37" i="12"/>
  <c r="T37" i="12" s="1"/>
  <c r="U37" i="12" s="1"/>
  <c r="J37" i="12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V74" i="16"/>
  <c r="T74" i="16"/>
  <c r="U74" i="16" s="1"/>
  <c r="G74" i="16"/>
  <c r="V73" i="16"/>
  <c r="T73" i="16"/>
  <c r="U73" i="16" s="1"/>
  <c r="G73" i="16"/>
  <c r="V72" i="16"/>
  <c r="T72" i="16"/>
  <c r="U72" i="16" s="1"/>
  <c r="G72" i="16"/>
  <c r="V71" i="16"/>
  <c r="T71" i="16"/>
  <c r="U71" i="16" s="1"/>
  <c r="G71" i="16"/>
  <c r="V70" i="16"/>
  <c r="T70" i="16"/>
  <c r="U70" i="16" s="1"/>
  <c r="G70" i="16"/>
  <c r="V69" i="16"/>
  <c r="T69" i="16"/>
  <c r="U69" i="16" s="1"/>
  <c r="G69" i="16"/>
  <c r="V68" i="16"/>
  <c r="T68" i="16"/>
  <c r="U68" i="16" s="1"/>
  <c r="G68" i="16"/>
  <c r="V67" i="16"/>
  <c r="T67" i="16"/>
  <c r="U67" i="16" s="1"/>
  <c r="G67" i="16"/>
  <c r="V66" i="16"/>
  <c r="T66" i="16"/>
  <c r="U66" i="16" s="1"/>
  <c r="G66" i="16"/>
  <c r="V65" i="16"/>
  <c r="T65" i="16"/>
  <c r="U65" i="16" s="1"/>
  <c r="G65" i="16"/>
  <c r="V64" i="16"/>
  <c r="T64" i="16"/>
  <c r="U64" i="16" s="1"/>
  <c r="G64" i="16"/>
  <c r="V63" i="16"/>
  <c r="T63" i="16"/>
  <c r="U63" i="16" s="1"/>
  <c r="G63" i="16"/>
  <c r="V62" i="16"/>
  <c r="T62" i="16"/>
  <c r="U62" i="16" s="1"/>
  <c r="G62" i="16"/>
  <c r="V61" i="16"/>
  <c r="T61" i="16"/>
  <c r="U61" i="16" s="1"/>
  <c r="G61" i="16"/>
  <c r="V60" i="16"/>
  <c r="T60" i="16"/>
  <c r="U60" i="16" s="1"/>
  <c r="G60" i="16"/>
  <c r="V59" i="16"/>
  <c r="T59" i="16"/>
  <c r="U59" i="16" s="1"/>
  <c r="G59" i="16"/>
  <c r="V58" i="16"/>
  <c r="T58" i="16"/>
  <c r="U58" i="16" s="1"/>
  <c r="G58" i="16"/>
  <c r="V57" i="16"/>
  <c r="T57" i="16"/>
  <c r="U57" i="16" s="1"/>
  <c r="G57" i="16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D43" i="5" l="1"/>
  <c r="Q42" i="5"/>
  <c r="T42" i="5" s="1"/>
  <c r="U42" i="5" s="1"/>
  <c r="H42" i="5"/>
  <c r="J42" i="5" s="1"/>
  <c r="W42" i="5" s="1"/>
  <c r="X42" i="5" s="1"/>
  <c r="Z42" i="5" s="1"/>
  <c r="W41" i="5"/>
  <c r="X41" i="5" s="1"/>
  <c r="Z41" i="5" s="1"/>
  <c r="AA52" i="26"/>
  <c r="AB52" i="26"/>
  <c r="S54" i="26"/>
  <c r="J54" i="26"/>
  <c r="L54" i="26" s="1"/>
  <c r="F55" i="26"/>
  <c r="X53" i="26"/>
  <c r="Z53" i="26" s="1"/>
  <c r="V53" i="26"/>
  <c r="W53" i="26" s="1"/>
  <c r="Y53" i="26" s="1"/>
  <c r="AB34" i="23"/>
  <c r="AA34" i="23"/>
  <c r="V35" i="23"/>
  <c r="W35" i="23" s="1"/>
  <c r="Y35" i="23" s="1"/>
  <c r="X35" i="23"/>
  <c r="Z35" i="23" s="1"/>
  <c r="J36" i="23"/>
  <c r="L36" i="23" s="1"/>
  <c r="F37" i="23"/>
  <c r="S36" i="23"/>
  <c r="AB36" i="26"/>
  <c r="AA36" i="26"/>
  <c r="J38" i="26"/>
  <c r="L38" i="26" s="1"/>
  <c r="S38" i="26"/>
  <c r="J55" i="25"/>
  <c r="L55" i="25" s="1"/>
  <c r="J36" i="25"/>
  <c r="L36" i="25" s="1"/>
  <c r="S36" i="25"/>
  <c r="AA34" i="25"/>
  <c r="AB34" i="25"/>
  <c r="AA53" i="25"/>
  <c r="AB53" i="25"/>
  <c r="V35" i="25"/>
  <c r="W35" i="25" s="1"/>
  <c r="Y35" i="25" s="1"/>
  <c r="X35" i="25"/>
  <c r="Z35" i="25" s="1"/>
  <c r="V54" i="25"/>
  <c r="W54" i="25" s="1"/>
  <c r="Y54" i="25" s="1"/>
  <c r="X54" i="25"/>
  <c r="Z54" i="25" s="1"/>
  <c r="V56" i="24"/>
  <c r="W56" i="24" s="1"/>
  <c r="X56" i="24"/>
  <c r="AB55" i="24"/>
  <c r="AA55" i="24"/>
  <c r="Z56" i="24"/>
  <c r="Y56" i="24"/>
  <c r="AA34" i="24"/>
  <c r="AB34" i="24"/>
  <c r="F58" i="24"/>
  <c r="J57" i="24"/>
  <c r="L57" i="24" s="1"/>
  <c r="V35" i="24"/>
  <c r="W35" i="24" s="1"/>
  <c r="Y35" i="24" s="1"/>
  <c r="X35" i="24"/>
  <c r="Z35" i="24" s="1"/>
  <c r="F37" i="24"/>
  <c r="S36" i="24"/>
  <c r="J36" i="24"/>
  <c r="L36" i="24" s="1"/>
  <c r="F39" i="23"/>
  <c r="J39" i="23" s="1"/>
  <c r="L39" i="23" s="1"/>
  <c r="D38" i="22"/>
  <c r="J37" i="22"/>
  <c r="Q37" i="22"/>
  <c r="T37" i="22" s="1"/>
  <c r="U37" i="22" s="1"/>
  <c r="W36" i="22"/>
  <c r="X36" i="22" s="1"/>
  <c r="Z36" i="22" s="1"/>
  <c r="W38" i="21"/>
  <c r="X38" i="21" s="1"/>
  <c r="Z38" i="21" s="1"/>
  <c r="W37" i="12"/>
  <c r="X37" i="12" s="1"/>
  <c r="Z37" i="12" s="1"/>
  <c r="T39" i="21"/>
  <c r="U39" i="21" s="1"/>
  <c r="D40" i="21"/>
  <c r="H39" i="21"/>
  <c r="J39" i="21" s="1"/>
  <c r="J38" i="12"/>
  <c r="Q38" i="12"/>
  <c r="T38" i="12" s="1"/>
  <c r="U38" i="12" s="1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W64" i="16"/>
  <c r="X64" i="16" s="1"/>
  <c r="Z64" i="16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61" i="16"/>
  <c r="X61" i="16" s="1"/>
  <c r="Z61" i="16" s="1"/>
  <c r="W23" i="16"/>
  <c r="X23" i="16" s="1"/>
  <c r="W38" i="16"/>
  <c r="X38" i="16" s="1"/>
  <c r="Z38" i="16" s="1"/>
  <c r="W58" i="16"/>
  <c r="X58" i="16" s="1"/>
  <c r="Z5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66" i="16"/>
  <c r="X66" i="16" s="1"/>
  <c r="Z66" i="16" s="1"/>
  <c r="W62" i="16"/>
  <c r="X62" i="16" s="1"/>
  <c r="Z62" i="16" s="1"/>
  <c r="W60" i="16"/>
  <c r="X60" i="16" s="1"/>
  <c r="Z60" i="16" s="1"/>
  <c r="W50" i="16"/>
  <c r="X50" i="16" s="1"/>
  <c r="Z50" i="16" s="1"/>
  <c r="W55" i="16"/>
  <c r="X55" i="16" s="1"/>
  <c r="Z55" i="16" s="1"/>
  <c r="W69" i="16"/>
  <c r="X69" i="16" s="1"/>
  <c r="Z69" i="16" s="1"/>
  <c r="W47" i="16"/>
  <c r="X47" i="16" s="1"/>
  <c r="Z47" i="16" s="1"/>
  <c r="W73" i="16"/>
  <c r="X73" i="16" s="1"/>
  <c r="Z73" i="16" s="1"/>
  <c r="W25" i="16"/>
  <c r="X25" i="16" s="1"/>
  <c r="Z25" i="16" s="1"/>
  <c r="W26" i="16"/>
  <c r="W39" i="16"/>
  <c r="X39" i="16" s="1"/>
  <c r="Z39" i="16" s="1"/>
  <c r="W74" i="16"/>
  <c r="X74" i="16" s="1"/>
  <c r="Z74" i="16" s="1"/>
  <c r="W35" i="16"/>
  <c r="X35" i="16" s="1"/>
  <c r="Z35" i="16" s="1"/>
  <c r="W57" i="16"/>
  <c r="X57" i="16" s="1"/>
  <c r="Z57" i="16" s="1"/>
  <c r="W71" i="16"/>
  <c r="X71" i="16" s="1"/>
  <c r="Z71" i="16" s="1"/>
  <c r="W53" i="16"/>
  <c r="X53" i="16" s="1"/>
  <c r="Z53" i="16" s="1"/>
  <c r="W28" i="16"/>
  <c r="X28" i="16" s="1"/>
  <c r="Z28" i="16" s="1"/>
  <c r="W72" i="16"/>
  <c r="X72" i="16" s="1"/>
  <c r="Z72" i="16" s="1"/>
  <c r="W45" i="16"/>
  <c r="X45" i="16" s="1"/>
  <c r="Z45" i="16" s="1"/>
  <c r="W59" i="16"/>
  <c r="X59" i="16" s="1"/>
  <c r="Z59" i="16" s="1"/>
  <c r="W40" i="16"/>
  <c r="X40" i="16" s="1"/>
  <c r="Z40" i="16" s="1"/>
  <c r="W67" i="16"/>
  <c r="X67" i="16" s="1"/>
  <c r="Z67" i="16" s="1"/>
  <c r="W46" i="16"/>
  <c r="X46" i="16" s="1"/>
  <c r="Z46" i="16" s="1"/>
  <c r="W54" i="16"/>
  <c r="X54" i="16" s="1"/>
  <c r="Z54" i="16" s="1"/>
  <c r="W68" i="16"/>
  <c r="X68" i="16" s="1"/>
  <c r="Z68" i="16" s="1"/>
  <c r="W65" i="16"/>
  <c r="X65" i="16" s="1"/>
  <c r="Z65" i="16" s="1"/>
  <c r="W41" i="16"/>
  <c r="X41" i="16" s="1"/>
  <c r="Z41" i="16" s="1"/>
  <c r="W49" i="16"/>
  <c r="X49" i="16" s="1"/>
  <c r="Z49" i="16" s="1"/>
  <c r="W63" i="16"/>
  <c r="X63" i="16" s="1"/>
  <c r="Z63" i="16" s="1"/>
  <c r="W33" i="16"/>
  <c r="X33" i="16" s="1"/>
  <c r="Z33" i="16" s="1"/>
  <c r="W70" i="16"/>
  <c r="X70" i="16" s="1"/>
  <c r="Z70" i="16" s="1"/>
  <c r="X30" i="16"/>
  <c r="Z30" i="16" s="1"/>
  <c r="W34" i="16"/>
  <c r="X34" i="16" s="1"/>
  <c r="Z34" i="16" s="1"/>
  <c r="S31" i="14"/>
  <c r="F14" i="15"/>
  <c r="F12" i="15"/>
  <c r="S50" i="14"/>
  <c r="S49" i="14"/>
  <c r="F38" i="14"/>
  <c r="S43" i="14"/>
  <c r="S24" i="14"/>
  <c r="S58" i="14"/>
  <c r="J58" i="14"/>
  <c r="L58" i="14" s="1"/>
  <c r="J50" i="14"/>
  <c r="L50" i="14" s="1"/>
  <c r="J49" i="14"/>
  <c r="L49" i="14" s="1"/>
  <c r="S48" i="14"/>
  <c r="J48" i="14"/>
  <c r="L48" i="14" s="1"/>
  <c r="S47" i="14"/>
  <c r="J47" i="14"/>
  <c r="L47" i="14" s="1"/>
  <c r="S46" i="14"/>
  <c r="J46" i="14"/>
  <c r="L46" i="14" s="1"/>
  <c r="S45" i="14"/>
  <c r="X45" i="14" s="1"/>
  <c r="J45" i="14"/>
  <c r="L45" i="14" s="1"/>
  <c r="S44" i="14"/>
  <c r="X44" i="14" s="1"/>
  <c r="J44" i="14"/>
  <c r="L44" i="14" s="1"/>
  <c r="J43" i="14"/>
  <c r="L43" i="14" s="1"/>
  <c r="S39" i="14"/>
  <c r="J39" i="14"/>
  <c r="L39" i="14" s="1"/>
  <c r="F32" i="14"/>
  <c r="S32" i="14" s="1"/>
  <c r="J31" i="14"/>
  <c r="L31" i="14" s="1"/>
  <c r="S30" i="14"/>
  <c r="S29" i="14"/>
  <c r="S28" i="14"/>
  <c r="S27" i="14"/>
  <c r="S26" i="14"/>
  <c r="S25" i="14"/>
  <c r="AC16" i="14"/>
  <c r="F16" i="14"/>
  <c r="AC15" i="14"/>
  <c r="AC14" i="14"/>
  <c r="F14" i="14"/>
  <c r="AC13" i="14"/>
  <c r="AC12" i="14"/>
  <c r="AC11" i="14"/>
  <c r="AC10" i="14"/>
  <c r="AC9" i="14"/>
  <c r="AC8" i="14"/>
  <c r="S52" i="13"/>
  <c r="J52" i="13"/>
  <c r="L52" i="13" s="1"/>
  <c r="S51" i="13"/>
  <c r="J51" i="13"/>
  <c r="L51" i="13" s="1"/>
  <c r="S50" i="13"/>
  <c r="J50" i="13"/>
  <c r="L50" i="13" s="1"/>
  <c r="S49" i="13"/>
  <c r="J49" i="13"/>
  <c r="L49" i="13" s="1"/>
  <c r="S48" i="13"/>
  <c r="J48" i="13"/>
  <c r="L48" i="13" s="1"/>
  <c r="S47" i="13"/>
  <c r="J47" i="13"/>
  <c r="L47" i="13" s="1"/>
  <c r="S46" i="13"/>
  <c r="J46" i="13"/>
  <c r="L46" i="13" s="1"/>
  <c r="F32" i="13"/>
  <c r="S31" i="13"/>
  <c r="J31" i="13"/>
  <c r="L31" i="13" s="1"/>
  <c r="S30" i="13"/>
  <c r="J30" i="13"/>
  <c r="L30" i="13" s="1"/>
  <c r="S29" i="13"/>
  <c r="J29" i="13"/>
  <c r="L29" i="13" s="1"/>
  <c r="S28" i="13"/>
  <c r="J28" i="13"/>
  <c r="L28" i="13" s="1"/>
  <c r="S27" i="13"/>
  <c r="J27" i="13"/>
  <c r="L27" i="13" s="1"/>
  <c r="S26" i="13"/>
  <c r="J26" i="13"/>
  <c r="L26" i="13" s="1"/>
  <c r="S25" i="13"/>
  <c r="J25" i="13"/>
  <c r="L25" i="13" s="1"/>
  <c r="S24" i="13"/>
  <c r="AC16" i="13"/>
  <c r="F16" i="13"/>
  <c r="AC15" i="13"/>
  <c r="AC14" i="13"/>
  <c r="F14" i="13"/>
  <c r="AC13" i="13"/>
  <c r="AC12" i="13"/>
  <c r="AC11" i="13"/>
  <c r="AC10" i="13"/>
  <c r="AC9" i="13"/>
  <c r="AC8" i="13"/>
  <c r="F55" i="10"/>
  <c r="S54" i="10"/>
  <c r="J54" i="10"/>
  <c r="L54" i="10" s="1"/>
  <c r="J48" i="10"/>
  <c r="L48" i="10" s="1"/>
  <c r="S48" i="10"/>
  <c r="V48" i="10" s="1"/>
  <c r="W48" i="10" s="1"/>
  <c r="J49" i="10"/>
  <c r="L49" i="10"/>
  <c r="S49" i="10"/>
  <c r="V49" i="10" s="1"/>
  <c r="W49" i="10" s="1"/>
  <c r="J50" i="10"/>
  <c r="L50" i="10"/>
  <c r="S50" i="10"/>
  <c r="V50" i="10" s="1"/>
  <c r="W50" i="10" s="1"/>
  <c r="X50" i="10"/>
  <c r="J51" i="10"/>
  <c r="L51" i="10" s="1"/>
  <c r="S51" i="10"/>
  <c r="J52" i="10"/>
  <c r="L52" i="10" s="1"/>
  <c r="S52" i="10"/>
  <c r="J53" i="10"/>
  <c r="L53" i="10" s="1"/>
  <c r="S53" i="10"/>
  <c r="X53" i="10" s="1"/>
  <c r="F32" i="10"/>
  <c r="F33" i="10" s="1"/>
  <c r="F34" i="10" s="1"/>
  <c r="S24" i="10"/>
  <c r="S25" i="10"/>
  <c r="S26" i="10"/>
  <c r="S27" i="10"/>
  <c r="S28" i="10"/>
  <c r="S29" i="10"/>
  <c r="V29" i="10" s="1"/>
  <c r="W29" i="10" s="1"/>
  <c r="S30" i="10"/>
  <c r="V28" i="10"/>
  <c r="W28" i="10" s="1"/>
  <c r="X28" i="10"/>
  <c r="J31" i="10"/>
  <c r="L31" i="10" s="1"/>
  <c r="S31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M58" i="10" a="1"/>
  <c r="N51" i="14" a="1"/>
  <c r="N49" i="14" a="1"/>
  <c r="M59" i="10" a="1"/>
  <c r="M35" i="14" a="1"/>
  <c r="M27" i="14" a="1"/>
  <c r="N55" i="10" a="1"/>
  <c r="M25" i="13" a="1"/>
  <c r="M35" i="10" a="1"/>
  <c r="N39" i="13" a="1"/>
  <c r="M55" i="14" a="1"/>
  <c r="M40" i="10" a="1"/>
  <c r="N54" i="13" a="1"/>
  <c r="M56" i="10" a="1"/>
  <c r="N31" i="14" a="1"/>
  <c r="M44" i="14" a="1"/>
  <c r="N51" i="13" a="1"/>
  <c r="N57" i="13" a="1"/>
  <c r="N36" i="10" a="1"/>
  <c r="M33" i="13" a="1"/>
  <c r="N54" i="10" a="1"/>
  <c r="M27" i="10" a="1"/>
  <c r="N36" i="14" a="1"/>
  <c r="M32" i="13" a="1"/>
  <c r="M47" i="14" a="1"/>
  <c r="N43" i="10" a="1"/>
  <c r="M54" i="13" a="1"/>
  <c r="N55" i="14" a="1"/>
  <c r="N54" i="14" a="1"/>
  <c r="N42" i="13" a="1"/>
  <c r="N50" i="10" a="1"/>
  <c r="M52" i="10" a="1"/>
  <c r="M47" i="13" a="1"/>
  <c r="N55" i="13" a="1"/>
  <c r="N35" i="10" a="1"/>
  <c r="N62" i="10" a="1"/>
  <c r="M33" i="10" a="1"/>
  <c r="M31" i="14" a="1"/>
  <c r="M36" i="10" a="1"/>
  <c r="N38" i="13" a="1"/>
  <c r="N28" i="13" a="1"/>
  <c r="N38" i="10" a="1"/>
  <c r="M40" i="13" a="1"/>
  <c r="N58" i="10" a="1"/>
  <c r="N26" i="13" a="1"/>
  <c r="N48" i="14" a="1"/>
  <c r="N25" i="14" a="1"/>
  <c r="M55" i="10" a="1"/>
  <c r="M25" i="10" a="1"/>
  <c r="M30" i="13" a="1"/>
  <c r="M53" i="13" a="1"/>
  <c r="M45" i="13" a="1"/>
  <c r="N25" i="13" a="1"/>
  <c r="N29" i="14" a="1"/>
  <c r="N48" i="13" a="1"/>
  <c r="M67" i="10" a="1"/>
  <c r="N33" i="13" a="1"/>
  <c r="M39" i="14" a="1"/>
  <c r="M62" i="13" a="1"/>
  <c r="N27" i="14" a="1"/>
  <c r="N44" i="10" a="1"/>
  <c r="M41" i="10" a="1"/>
  <c r="N47" i="13" a="1"/>
  <c r="M34" i="13" a="1"/>
  <c r="M28" i="10" a="1"/>
  <c r="M38" i="10" a="1"/>
  <c r="N44" i="14" a="1"/>
  <c r="M24" i="14" a="1"/>
  <c r="N38" i="14" a="1"/>
  <c r="N32" i="10" a="1"/>
  <c r="M29" i="13" a="1"/>
  <c r="M49" i="13" a="1"/>
  <c r="M61" i="13" a="1"/>
  <c r="M28" i="14" a="1"/>
  <c r="N53" i="14" a="1"/>
  <c r="M58" i="14" a="1"/>
  <c r="N50" i="14" a="1"/>
  <c r="N62" i="13" a="1"/>
  <c r="M51" i="14" a="1"/>
  <c r="M66" i="10" a="1"/>
  <c r="N28" i="14" a="1"/>
  <c r="N43" i="14" a="1"/>
  <c r="M45" i="14" a="1"/>
  <c r="M36" i="13" a="1"/>
  <c r="M39" i="10" a="1"/>
  <c r="N24" i="14" a="1"/>
  <c r="N53" i="13" a="1"/>
  <c r="M52" i="14" a="1"/>
  <c r="M48" i="10" a="1"/>
  <c r="M31" i="10" a="1"/>
  <c r="M26" i="13" a="1"/>
  <c r="N34" i="10" a="1"/>
  <c r="N49" i="10" a="1"/>
  <c r="N56" i="10" a="1"/>
  <c r="M35" i="13" a="1"/>
  <c r="M51" i="13" a="1"/>
  <c r="M27" i="13" a="1"/>
  <c r="N52" i="10" a="1"/>
  <c r="N57" i="10" a="1"/>
  <c r="M25" i="14" a="1"/>
  <c r="N24" i="13" a="1"/>
  <c r="N61" i="13" a="1"/>
  <c r="N40" i="13" a="1"/>
  <c r="M33" i="14" a="1"/>
  <c r="M30" i="10" a="1"/>
  <c r="N59" i="13" a="1"/>
  <c r="M43" i="14" a="1"/>
  <c r="N45" i="13" a="1"/>
  <c r="M46" i="13" a="1"/>
  <c r="M38" i="14" a="1"/>
  <c r="M50" i="13" a="1"/>
  <c r="N41" i="10" a="1"/>
  <c r="N50" i="13" a="1"/>
  <c r="N56" i="13" a="1"/>
  <c r="N52" i="13" a="1"/>
  <c r="M51" i="10" a="1"/>
  <c r="N59" i="10" a="1"/>
  <c r="N27" i="13" a="1"/>
  <c r="N53" i="10" a="1"/>
  <c r="M63" i="10" a="1"/>
  <c r="M62" i="10" a="1"/>
  <c r="N33" i="10" a="1"/>
  <c r="M48" i="13" a="1"/>
  <c r="M54" i="14" a="1"/>
  <c r="N31" i="10" a="1"/>
  <c r="N33" i="14" a="1"/>
  <c r="N47" i="14" a="1"/>
  <c r="M53" i="14" a="1"/>
  <c r="M34" i="14" a="1"/>
  <c r="N34" i="13" a="1"/>
  <c r="N67" i="10" a="1"/>
  <c r="M42" i="10" a="1"/>
  <c r="N32" i="13" a="1"/>
  <c r="M42" i="13" a="1"/>
  <c r="N29" i="13" a="1"/>
  <c r="M46" i="14" a="1"/>
  <c r="N40" i="10" a="1"/>
  <c r="M57" i="10" a="1"/>
  <c r="N51" i="10" a="1"/>
  <c r="N52" i="14" a="1"/>
  <c r="M26" i="14" a="1"/>
  <c r="M59" i="13" a="1"/>
  <c r="N46" i="14" a="1"/>
  <c r="M52" i="13" a="1"/>
  <c r="M54" i="10" a="1"/>
  <c r="M47" i="10" a="1"/>
  <c r="M28" i="13" a="1"/>
  <c r="M65" i="10" a="1"/>
  <c r="N35" i="14" a="1"/>
  <c r="N34" i="14" a="1"/>
  <c r="N30" i="13" a="1"/>
  <c r="M60" i="13" a="1"/>
  <c r="M49" i="14" a="1"/>
  <c r="N36" i="13" a="1"/>
  <c r="M49" i="10" a="1"/>
  <c r="M26" i="10" a="1"/>
  <c r="N31" i="13" a="1"/>
  <c r="M31" i="13" a="1"/>
  <c r="M29" i="10" a="1"/>
  <c r="M56" i="13" a="1"/>
  <c r="N46" i="13" a="1"/>
  <c r="M32" i="10" a="1"/>
  <c r="N39" i="10" a="1"/>
  <c r="M34" i="10" a="1"/>
  <c r="N47" i="10" a="1"/>
  <c r="M30" i="14" a="1"/>
  <c r="M64" i="10" a="1"/>
  <c r="M39" i="13" a="1"/>
  <c r="N63" i="10" a="1"/>
  <c r="N48" i="10" a="1"/>
  <c r="N30" i="14" a="1"/>
  <c r="M29" i="14" a="1"/>
  <c r="M48" i="14" a="1"/>
  <c r="N39" i="14" a="1"/>
  <c r="N45" i="14" a="1"/>
  <c r="N49" i="13" a="1"/>
  <c r="N60" i="13" a="1"/>
  <c r="M55" i="13" a="1"/>
  <c r="N64" i="10" a="1"/>
  <c r="M50" i="10" a="1"/>
  <c r="M36" i="14" a="1"/>
  <c r="N35" i="13" a="1"/>
  <c r="N26" i="14" a="1"/>
  <c r="N58" i="14" a="1"/>
  <c r="N42" i="10" a="1"/>
  <c r="N66" i="10" a="1"/>
  <c r="M57" i="13" a="1"/>
  <c r="M53" i="10" a="1"/>
  <c r="M50" i="14" a="1"/>
  <c r="M38" i="13" a="1"/>
  <c r="N65" i="10" a="1"/>
  <c r="D44" i="5" l="1"/>
  <c r="H43" i="5"/>
  <c r="J43" i="5" s="1"/>
  <c r="Q43" i="5"/>
  <c r="T43" i="5" s="1"/>
  <c r="U43" i="5" s="1"/>
  <c r="J55" i="26"/>
  <c r="L55" i="26" s="1"/>
  <c r="F56" i="26"/>
  <c r="X54" i="26"/>
  <c r="Z54" i="26" s="1"/>
  <c r="V54" i="26"/>
  <c r="W54" i="26" s="1"/>
  <c r="Y54" i="26" s="1"/>
  <c r="AB53" i="26"/>
  <c r="AA53" i="26"/>
  <c r="X49" i="10"/>
  <c r="X48" i="10"/>
  <c r="J37" i="23"/>
  <c r="L37" i="23" s="1"/>
  <c r="S37" i="23"/>
  <c r="AB35" i="23"/>
  <c r="AA35" i="23"/>
  <c r="X36" i="23"/>
  <c r="Z36" i="23" s="1"/>
  <c r="V36" i="23"/>
  <c r="W36" i="23" s="1"/>
  <c r="Y36" i="23" s="1"/>
  <c r="Z48" i="10"/>
  <c r="Y48" i="10"/>
  <c r="V53" i="10"/>
  <c r="W53" i="10" s="1"/>
  <c r="Z50" i="10"/>
  <c r="Z49" i="10"/>
  <c r="Z53" i="10"/>
  <c r="X38" i="26"/>
  <c r="V38" i="26"/>
  <c r="W38" i="26" s="1"/>
  <c r="Y38" i="26" s="1"/>
  <c r="Z38" i="26"/>
  <c r="AB54" i="25"/>
  <c r="AA54" i="25"/>
  <c r="X36" i="25"/>
  <c r="V36" i="25"/>
  <c r="W36" i="25" s="1"/>
  <c r="Y36" i="25" s="1"/>
  <c r="Z36" i="25"/>
  <c r="J37" i="25"/>
  <c r="L37" i="25" s="1"/>
  <c r="AB35" i="25"/>
  <c r="AA35" i="25"/>
  <c r="S56" i="25"/>
  <c r="J56" i="25"/>
  <c r="L56" i="25" s="1"/>
  <c r="AA35" i="24"/>
  <c r="AB35" i="24"/>
  <c r="X36" i="24"/>
  <c r="Z36" i="24" s="1"/>
  <c r="V36" i="24"/>
  <c r="W36" i="24" s="1"/>
  <c r="Y36" i="24" s="1"/>
  <c r="F38" i="24"/>
  <c r="J37" i="24"/>
  <c r="L37" i="24" s="1"/>
  <c r="AB56" i="24"/>
  <c r="AA56" i="24"/>
  <c r="S58" i="24"/>
  <c r="J58" i="24"/>
  <c r="L58" i="24" s="1"/>
  <c r="S39" i="23"/>
  <c r="F40" i="23"/>
  <c r="J40" i="23" s="1"/>
  <c r="L40" i="23" s="1"/>
  <c r="W37" i="22"/>
  <c r="X37" i="22" s="1"/>
  <c r="Z37" i="22" s="1"/>
  <c r="D39" i="22"/>
  <c r="J38" i="22"/>
  <c r="Q38" i="22"/>
  <c r="T38" i="22" s="1"/>
  <c r="U38" i="22" s="1"/>
  <c r="N54" i="10"/>
  <c r="M31" i="13"/>
  <c r="N43" i="14"/>
  <c r="M66" i="10"/>
  <c r="N31" i="13"/>
  <c r="M61" i="13"/>
  <c r="M31" i="14"/>
  <c r="M25" i="10"/>
  <c r="N51" i="13"/>
  <c r="M44" i="14"/>
  <c r="M26" i="10"/>
  <c r="M46" i="13"/>
  <c r="M50" i="14"/>
  <c r="M27" i="10"/>
  <c r="N67" i="10"/>
  <c r="N46" i="13"/>
  <c r="N50" i="14"/>
  <c r="N33" i="10"/>
  <c r="M56" i="10"/>
  <c r="N56" i="10"/>
  <c r="N52" i="13"/>
  <c r="M51" i="14"/>
  <c r="M57" i="10"/>
  <c r="M47" i="13"/>
  <c r="N45" i="14"/>
  <c r="M31" i="10"/>
  <c r="M34" i="13"/>
  <c r="M34" i="14"/>
  <c r="M52" i="14"/>
  <c r="M53" i="10"/>
  <c r="N34" i="13"/>
  <c r="M33" i="10"/>
  <c r="M28" i="13"/>
  <c r="M35" i="14"/>
  <c r="M53" i="14"/>
  <c r="N28" i="13"/>
  <c r="M48" i="13"/>
  <c r="N35" i="14"/>
  <c r="N46" i="14"/>
  <c r="N53" i="14"/>
  <c r="N59" i="10"/>
  <c r="N48" i="13"/>
  <c r="M54" i="14"/>
  <c r="M55" i="13"/>
  <c r="N54" i="14"/>
  <c r="N55" i="13"/>
  <c r="M47" i="14"/>
  <c r="M55" i="14"/>
  <c r="M62" i="10"/>
  <c r="N38" i="13"/>
  <c r="M29" i="14"/>
  <c r="M39" i="13"/>
  <c r="N49" i="13"/>
  <c r="N56" i="13"/>
  <c r="N29" i="14"/>
  <c r="M41" i="10"/>
  <c r="M51" i="10"/>
  <c r="M63" i="10"/>
  <c r="N24" i="13"/>
  <c r="N39" i="13"/>
  <c r="M57" i="13"/>
  <c r="M39" i="14"/>
  <c r="N65" i="10"/>
  <c r="N25" i="14"/>
  <c r="M50" i="10"/>
  <c r="N49" i="14"/>
  <c r="N36" i="10"/>
  <c r="N61" i="13"/>
  <c r="N35" i="10"/>
  <c r="N26" i="13"/>
  <c r="N44" i="14"/>
  <c r="N26" i="14"/>
  <c r="N32" i="13"/>
  <c r="M29" i="10"/>
  <c r="M33" i="13"/>
  <c r="M30" i="10"/>
  <c r="N33" i="13"/>
  <c r="N51" i="14"/>
  <c r="N31" i="10"/>
  <c r="M49" i="10"/>
  <c r="M32" i="10"/>
  <c r="N52" i="14"/>
  <c r="M46" i="14"/>
  <c r="M54" i="13"/>
  <c r="M35" i="10"/>
  <c r="N54" i="13"/>
  <c r="M52" i="10"/>
  <c r="N48" i="10"/>
  <c r="M29" i="13"/>
  <c r="M48" i="10"/>
  <c r="M49" i="13"/>
  <c r="N47" i="14"/>
  <c r="N62" i="10"/>
  <c r="M42" i="10"/>
  <c r="N63" i="10"/>
  <c r="N57" i="13"/>
  <c r="N39" i="14"/>
  <c r="N42" i="10"/>
  <c r="M47" i="10"/>
  <c r="M64" i="10"/>
  <c r="N30" i="13"/>
  <c r="N40" i="13"/>
  <c r="M50" i="13"/>
  <c r="M59" i="13"/>
  <c r="N24" i="14"/>
  <c r="M30" i="14"/>
  <c r="N48" i="14"/>
  <c r="M58" i="14"/>
  <c r="N50" i="10"/>
  <c r="N60" i="13"/>
  <c r="N38" i="10"/>
  <c r="M51" i="13"/>
  <c r="N66" i="10"/>
  <c r="N31" i="14"/>
  <c r="M55" i="10"/>
  <c r="M62" i="13"/>
  <c r="N34" i="10"/>
  <c r="M32" i="13"/>
  <c r="M52" i="13"/>
  <c r="M45" i="14"/>
  <c r="N27" i="13"/>
  <c r="N33" i="14"/>
  <c r="N57" i="10"/>
  <c r="N27" i="14"/>
  <c r="M53" i="13"/>
  <c r="M35" i="13"/>
  <c r="M59" i="10"/>
  <c r="N35" i="13"/>
  <c r="N52" i="10"/>
  <c r="N28" i="14"/>
  <c r="N36" i="13"/>
  <c r="N36" i="14"/>
  <c r="M38" i="14"/>
  <c r="M39" i="10"/>
  <c r="N38" i="14"/>
  <c r="N51" i="10"/>
  <c r="M30" i="13"/>
  <c r="M24" i="14"/>
  <c r="N41" i="10"/>
  <c r="N64" i="10"/>
  <c r="M25" i="13"/>
  <c r="M42" i="13"/>
  <c r="N50" i="13"/>
  <c r="N59" i="13"/>
  <c r="N30" i="14"/>
  <c r="N58" i="14"/>
  <c r="N39" i="10"/>
  <c r="M45" i="13"/>
  <c r="M49" i="14"/>
  <c r="N45" i="13"/>
  <c r="M26" i="13"/>
  <c r="M67" i="10"/>
  <c r="M26" i="14"/>
  <c r="N55" i="10"/>
  <c r="N62" i="13"/>
  <c r="M28" i="10"/>
  <c r="N32" i="10"/>
  <c r="M27" i="13"/>
  <c r="M33" i="14"/>
  <c r="N49" i="10"/>
  <c r="M27" i="14"/>
  <c r="N53" i="10"/>
  <c r="N47" i="13"/>
  <c r="M58" i="10"/>
  <c r="N34" i="14"/>
  <c r="N58" i="10"/>
  <c r="N53" i="13"/>
  <c r="M34" i="10"/>
  <c r="M28" i="14"/>
  <c r="M36" i="13"/>
  <c r="M36" i="14"/>
  <c r="M36" i="10"/>
  <c r="M38" i="10"/>
  <c r="M38" i="13"/>
  <c r="N29" i="13"/>
  <c r="M56" i="13"/>
  <c r="N55" i="14"/>
  <c r="M40" i="10"/>
  <c r="N47" i="10"/>
  <c r="M40" i="13"/>
  <c r="M48" i="14"/>
  <c r="N40" i="10"/>
  <c r="M54" i="10"/>
  <c r="M65" i="10"/>
  <c r="N25" i="13"/>
  <c r="N42" i="13"/>
  <c r="M60" i="13"/>
  <c r="M25" i="14"/>
  <c r="M43" i="14"/>
  <c r="W39" i="21"/>
  <c r="X39" i="21" s="1"/>
  <c r="Z39" i="21" s="1"/>
  <c r="T40" i="21"/>
  <c r="U40" i="21" s="1"/>
  <c r="D41" i="21"/>
  <c r="H40" i="21"/>
  <c r="J40" i="21" s="1"/>
  <c r="Q39" i="12"/>
  <c r="T39" i="12" s="1"/>
  <c r="U39" i="12" s="1"/>
  <c r="J39" i="12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W40" i="11"/>
  <c r="X40" i="11" s="1"/>
  <c r="Z40" i="11" s="1"/>
  <c r="X26" i="16"/>
  <c r="Z26" i="16" s="1"/>
  <c r="Z23" i="16"/>
  <c r="W24" i="16"/>
  <c r="X24" i="16" s="1"/>
  <c r="Z24" i="16" s="1"/>
  <c r="X43" i="14"/>
  <c r="Z43" i="14" s="1"/>
  <c r="V58" i="14"/>
  <c r="W58" i="14" s="1"/>
  <c r="Y58" i="14" s="1"/>
  <c r="X58" i="14"/>
  <c r="Z58" i="14" s="1"/>
  <c r="J51" i="14"/>
  <c r="L51" i="14" s="1"/>
  <c r="S51" i="14"/>
  <c r="X50" i="14"/>
  <c r="Z50" i="14" s="1"/>
  <c r="V50" i="14"/>
  <c r="W50" i="14" s="1"/>
  <c r="Y50" i="14" s="1"/>
  <c r="X49" i="14"/>
  <c r="Z49" i="14" s="1"/>
  <c r="V49" i="14"/>
  <c r="W49" i="14" s="1"/>
  <c r="Y49" i="14" s="1"/>
  <c r="V48" i="14"/>
  <c r="W48" i="14" s="1"/>
  <c r="Y48" i="14" s="1"/>
  <c r="X48" i="14"/>
  <c r="Z48" i="14" s="1"/>
  <c r="X47" i="14"/>
  <c r="Z47" i="14" s="1"/>
  <c r="V47" i="14"/>
  <c r="W47" i="14" s="1"/>
  <c r="Y47" i="14" s="1"/>
  <c r="X46" i="14"/>
  <c r="Z46" i="14" s="1"/>
  <c r="V46" i="14"/>
  <c r="W46" i="14" s="1"/>
  <c r="Y46" i="14" s="1"/>
  <c r="V45" i="14"/>
  <c r="W45" i="14" s="1"/>
  <c r="Y45" i="14" s="1"/>
  <c r="Z45" i="14"/>
  <c r="V44" i="14"/>
  <c r="W44" i="14" s="1"/>
  <c r="Y44" i="14" s="1"/>
  <c r="Z44" i="14"/>
  <c r="V43" i="14"/>
  <c r="W43" i="14" s="1"/>
  <c r="Y43" i="14" s="1"/>
  <c r="X39" i="14"/>
  <c r="Z39" i="14" s="1"/>
  <c r="V39" i="14"/>
  <c r="W39" i="14" s="1"/>
  <c r="Y39" i="14" s="1"/>
  <c r="F33" i="14"/>
  <c r="J32" i="14"/>
  <c r="L32" i="14" s="1"/>
  <c r="V31" i="14"/>
  <c r="W31" i="14" s="1"/>
  <c r="Y31" i="14" s="1"/>
  <c r="X31" i="14"/>
  <c r="Z31" i="14" s="1"/>
  <c r="X30" i="14"/>
  <c r="V30" i="14"/>
  <c r="W30" i="14" s="1"/>
  <c r="Y30" i="14" s="1"/>
  <c r="Z30" i="14"/>
  <c r="X29" i="14"/>
  <c r="Z29" i="14" s="1"/>
  <c r="V29" i="14"/>
  <c r="W29" i="14" s="1"/>
  <c r="Y29" i="14" s="1"/>
  <c r="X28" i="14"/>
  <c r="Z28" i="14" s="1"/>
  <c r="V28" i="14"/>
  <c r="W28" i="14" s="1"/>
  <c r="Y28" i="14" s="1"/>
  <c r="X27" i="14"/>
  <c r="Z27" i="14" s="1"/>
  <c r="V27" i="14"/>
  <c r="W27" i="14" s="1"/>
  <c r="Y27" i="14" s="1"/>
  <c r="V26" i="14"/>
  <c r="W26" i="14" s="1"/>
  <c r="Y26" i="14" s="1"/>
  <c r="X26" i="14"/>
  <c r="Z26" i="14" s="1"/>
  <c r="V25" i="14"/>
  <c r="W25" i="14" s="1"/>
  <c r="Y25" i="14" s="1"/>
  <c r="X25" i="14"/>
  <c r="Z25" i="14" s="1"/>
  <c r="V24" i="14"/>
  <c r="W24" i="14" s="1"/>
  <c r="Y24" i="14" s="1"/>
  <c r="X24" i="14"/>
  <c r="Z24" i="14" s="1"/>
  <c r="Z28" i="10"/>
  <c r="Y29" i="10"/>
  <c r="X27" i="10"/>
  <c r="V27" i="10"/>
  <c r="W27" i="10" s="1"/>
  <c r="Y27" i="10" s="1"/>
  <c r="Y53" i="10"/>
  <c r="Y28" i="10"/>
  <c r="Z27" i="10"/>
  <c r="Y49" i="10"/>
  <c r="Y50" i="10"/>
  <c r="J53" i="13"/>
  <c r="L53" i="13" s="1"/>
  <c r="S53" i="13"/>
  <c r="V52" i="13"/>
  <c r="W52" i="13" s="1"/>
  <c r="Y52" i="13" s="1"/>
  <c r="X52" i="13"/>
  <c r="Z52" i="13" s="1"/>
  <c r="X51" i="13"/>
  <c r="Z51" i="13" s="1"/>
  <c r="V51" i="13"/>
  <c r="W51" i="13" s="1"/>
  <c r="Y51" i="13" s="1"/>
  <c r="X50" i="13"/>
  <c r="Z50" i="13" s="1"/>
  <c r="V50" i="13"/>
  <c r="W50" i="13" s="1"/>
  <c r="Y50" i="13" s="1"/>
  <c r="X49" i="13"/>
  <c r="Z49" i="13" s="1"/>
  <c r="V49" i="13"/>
  <c r="W49" i="13" s="1"/>
  <c r="Y49" i="13" s="1"/>
  <c r="X48" i="13"/>
  <c r="Z48" i="13" s="1"/>
  <c r="V48" i="13"/>
  <c r="W48" i="13" s="1"/>
  <c r="Y48" i="13" s="1"/>
  <c r="X47" i="13"/>
  <c r="Z47" i="13" s="1"/>
  <c r="V47" i="13"/>
  <c r="W47" i="13" s="1"/>
  <c r="Y47" i="13" s="1"/>
  <c r="X46" i="13"/>
  <c r="Z46" i="13" s="1"/>
  <c r="V46" i="13"/>
  <c r="W46" i="13" s="1"/>
  <c r="Y46" i="13" s="1"/>
  <c r="F33" i="13"/>
  <c r="S32" i="13"/>
  <c r="J32" i="13"/>
  <c r="L32" i="13" s="1"/>
  <c r="X31" i="13"/>
  <c r="Z31" i="13" s="1"/>
  <c r="V31" i="13"/>
  <c r="W31" i="13" s="1"/>
  <c r="Y31" i="13" s="1"/>
  <c r="V30" i="13"/>
  <c r="W30" i="13" s="1"/>
  <c r="Y30" i="13" s="1"/>
  <c r="X30" i="13"/>
  <c r="Z30" i="13" s="1"/>
  <c r="X29" i="13"/>
  <c r="Z29" i="13" s="1"/>
  <c r="V29" i="13"/>
  <c r="W29" i="13" s="1"/>
  <c r="Y29" i="13" s="1"/>
  <c r="X28" i="13"/>
  <c r="Z28" i="13" s="1"/>
  <c r="V28" i="13"/>
  <c r="W28" i="13" s="1"/>
  <c r="Y28" i="13" s="1"/>
  <c r="X27" i="13"/>
  <c r="Z27" i="13" s="1"/>
  <c r="V27" i="13"/>
  <c r="W27" i="13" s="1"/>
  <c r="Y27" i="13" s="1"/>
  <c r="X26" i="13"/>
  <c r="Z26" i="13" s="1"/>
  <c r="V26" i="13"/>
  <c r="W26" i="13" s="1"/>
  <c r="Y26" i="13" s="1"/>
  <c r="X25" i="13"/>
  <c r="Z25" i="13" s="1"/>
  <c r="V25" i="13"/>
  <c r="W25" i="13" s="1"/>
  <c r="Y25" i="13" s="1"/>
  <c r="V24" i="13"/>
  <c r="W24" i="13" s="1"/>
  <c r="Y24" i="13" s="1"/>
  <c r="X24" i="13"/>
  <c r="Z24" i="13" s="1"/>
  <c r="J55" i="10"/>
  <c r="L55" i="10" s="1"/>
  <c r="F56" i="10"/>
  <c r="F57" i="10" s="1"/>
  <c r="S55" i="10"/>
  <c r="X55" i="10" s="1"/>
  <c r="S34" i="10"/>
  <c r="J34" i="10"/>
  <c r="L34" i="10" s="1"/>
  <c r="F35" i="10"/>
  <c r="V24" i="10"/>
  <c r="W24" i="10" s="1"/>
  <c r="X24" i="10"/>
  <c r="V25" i="10"/>
  <c r="W25" i="10" s="1"/>
  <c r="Y25" i="10" s="1"/>
  <c r="X25" i="10"/>
  <c r="Z25" i="10" s="1"/>
  <c r="V26" i="10"/>
  <c r="W26" i="10" s="1"/>
  <c r="Y26" i="10" s="1"/>
  <c r="X26" i="10"/>
  <c r="Z26" i="10" s="1"/>
  <c r="X54" i="10"/>
  <c r="Z54" i="10" s="1"/>
  <c r="V54" i="10"/>
  <c r="W54" i="10" s="1"/>
  <c r="Y54" i="10" s="1"/>
  <c r="X51" i="10"/>
  <c r="Z51" i="10" s="1"/>
  <c r="V51" i="10"/>
  <c r="W51" i="10" s="1"/>
  <c r="Y51" i="10" s="1"/>
  <c r="V52" i="10"/>
  <c r="W52" i="10" s="1"/>
  <c r="Y52" i="10" s="1"/>
  <c r="X52" i="10"/>
  <c r="Z52" i="10" s="1"/>
  <c r="J33" i="10"/>
  <c r="L33" i="10" s="1"/>
  <c r="S33" i="10"/>
  <c r="J32" i="10"/>
  <c r="L32" i="10" s="1"/>
  <c r="S32" i="10"/>
  <c r="X31" i="10"/>
  <c r="Z31" i="10" s="1"/>
  <c r="V31" i="10"/>
  <c r="W31" i="10" s="1"/>
  <c r="Y31" i="10" s="1"/>
  <c r="V30" i="10"/>
  <c r="W30" i="10" s="1"/>
  <c r="Y30" i="10" s="1"/>
  <c r="X30" i="10"/>
  <c r="Z30" i="10" s="1"/>
  <c r="X29" i="10"/>
  <c r="Z29" i="10" s="1"/>
  <c r="N43" i="10"/>
  <c r="N44" i="10"/>
  <c r="F16" i="10"/>
  <c r="F14" i="10"/>
  <c r="M44" i="10" a="1"/>
  <c r="M43" i="10" a="1"/>
  <c r="AB48" i="10" l="1"/>
  <c r="W43" i="5"/>
  <c r="X43" i="5" s="1"/>
  <c r="Z43" i="5" s="1"/>
  <c r="Q44" i="5"/>
  <c r="T44" i="5" s="1"/>
  <c r="U44" i="5" s="1"/>
  <c r="H44" i="5"/>
  <c r="J44" i="5" s="1"/>
  <c r="D45" i="5"/>
  <c r="AA54" i="26"/>
  <c r="AB54" i="26"/>
  <c r="J56" i="26"/>
  <c r="L56" i="26" s="1"/>
  <c r="S56" i="26"/>
  <c r="J56" i="10"/>
  <c r="L56" i="10" s="1"/>
  <c r="S56" i="10"/>
  <c r="V56" i="10" s="1"/>
  <c r="W56" i="10" s="1"/>
  <c r="AB36" i="23"/>
  <c r="AA36" i="23"/>
  <c r="V37" i="23"/>
  <c r="W37" i="23" s="1"/>
  <c r="X37" i="23"/>
  <c r="Z37" i="23" s="1"/>
  <c r="Y37" i="23"/>
  <c r="Z24" i="10"/>
  <c r="Z55" i="10"/>
  <c r="V55" i="10"/>
  <c r="W55" i="10" s="1"/>
  <c r="Y55" i="10" s="1"/>
  <c r="AB49" i="10"/>
  <c r="AB38" i="26"/>
  <c r="AA38" i="26"/>
  <c r="AA36" i="25"/>
  <c r="AB36" i="25"/>
  <c r="X56" i="25"/>
  <c r="Z56" i="25" s="1"/>
  <c r="V56" i="25"/>
  <c r="W56" i="25" s="1"/>
  <c r="Y56" i="25" s="1"/>
  <c r="S38" i="25"/>
  <c r="J38" i="25"/>
  <c r="L38" i="25" s="1"/>
  <c r="AB36" i="24"/>
  <c r="AA36" i="24"/>
  <c r="X58" i="24"/>
  <c r="Z58" i="24" s="1"/>
  <c r="V58" i="24"/>
  <c r="W58" i="24" s="1"/>
  <c r="Y58" i="24" s="1"/>
  <c r="S38" i="24"/>
  <c r="J38" i="24"/>
  <c r="L38" i="24" s="1"/>
  <c r="AA50" i="10"/>
  <c r="F41" i="23"/>
  <c r="J41" i="23" s="1"/>
  <c r="L41" i="23" s="1"/>
  <c r="S40" i="23"/>
  <c r="X39" i="23"/>
  <c r="Z39" i="23" s="1"/>
  <c r="V39" i="23"/>
  <c r="W39" i="23" s="1"/>
  <c r="Y39" i="23" s="1"/>
  <c r="W38" i="22"/>
  <c r="X38" i="22" s="1"/>
  <c r="Z38" i="22" s="1"/>
  <c r="Q39" i="22"/>
  <c r="T39" i="22" s="1"/>
  <c r="U39" i="22" s="1"/>
  <c r="J39" i="22"/>
  <c r="D40" i="22"/>
  <c r="W40" i="21"/>
  <c r="X40" i="21" s="1"/>
  <c r="Z40" i="21" s="1"/>
  <c r="AA48" i="10"/>
  <c r="AB50" i="10"/>
  <c r="AA30" i="14"/>
  <c r="AA49" i="10"/>
  <c r="W39" i="12"/>
  <c r="X39" i="12" s="1"/>
  <c r="Z39" i="12" s="1"/>
  <c r="T41" i="21"/>
  <c r="U41" i="21" s="1"/>
  <c r="H41" i="21"/>
  <c r="J41" i="21" s="1"/>
  <c r="D42" i="21"/>
  <c r="Q40" i="12"/>
  <c r="T40" i="12" s="1"/>
  <c r="U40" i="12" s="1"/>
  <c r="J40" i="12"/>
  <c r="H41" i="15"/>
  <c r="J41" i="15" s="1"/>
  <c r="Q41" i="15"/>
  <c r="T41" i="15" s="1"/>
  <c r="U41" i="15" s="1"/>
  <c r="W40" i="15"/>
  <c r="X40" i="15" s="1"/>
  <c r="Z40" i="15" s="1"/>
  <c r="H41" i="11"/>
  <c r="J41" i="11" s="1"/>
  <c r="D42" i="11"/>
  <c r="Q41" i="11"/>
  <c r="T41" i="11" s="1"/>
  <c r="U41" i="11" s="1"/>
  <c r="V51" i="14"/>
  <c r="W51" i="14" s="1"/>
  <c r="Y51" i="14" s="1"/>
  <c r="X51" i="14"/>
  <c r="Z51" i="14" s="1"/>
  <c r="J52" i="14"/>
  <c r="L52" i="14" s="1"/>
  <c r="S52" i="14"/>
  <c r="J33" i="14"/>
  <c r="L33" i="14" s="1"/>
  <c r="S33" i="14"/>
  <c r="F34" i="14"/>
  <c r="V32" i="14"/>
  <c r="W32" i="14" s="1"/>
  <c r="Y32" i="14" s="1"/>
  <c r="X32" i="14"/>
  <c r="Z32" i="14" s="1"/>
  <c r="AA58" i="14"/>
  <c r="AB58" i="14"/>
  <c r="AA50" i="14"/>
  <c r="AB50" i="14"/>
  <c r="AA49" i="14"/>
  <c r="AB49" i="14"/>
  <c r="AB48" i="14"/>
  <c r="AA48" i="14"/>
  <c r="AB47" i="14"/>
  <c r="AA47" i="14"/>
  <c r="AB46" i="14"/>
  <c r="AA46" i="14"/>
  <c r="AB45" i="14"/>
  <c r="AA45" i="14"/>
  <c r="AA44" i="14"/>
  <c r="AB44" i="14"/>
  <c r="AA43" i="14"/>
  <c r="AB43" i="14"/>
  <c r="AB39" i="14"/>
  <c r="AA39" i="14"/>
  <c r="AA31" i="14"/>
  <c r="AB31" i="14"/>
  <c r="AB30" i="14"/>
  <c r="AB29" i="14"/>
  <c r="AA29" i="14"/>
  <c r="AA28" i="14"/>
  <c r="AB28" i="14"/>
  <c r="AA27" i="14"/>
  <c r="AB27" i="14"/>
  <c r="AA26" i="14"/>
  <c r="AB26" i="14"/>
  <c r="AA25" i="14"/>
  <c r="AB25" i="14"/>
  <c r="AB24" i="14"/>
  <c r="AA24" i="14"/>
  <c r="J54" i="13"/>
  <c r="L54" i="13" s="1"/>
  <c r="S54" i="13"/>
  <c r="V53" i="13"/>
  <c r="W53" i="13" s="1"/>
  <c r="Y53" i="13" s="1"/>
  <c r="X53" i="13"/>
  <c r="Z53" i="13" s="1"/>
  <c r="J33" i="13"/>
  <c r="L33" i="13" s="1"/>
  <c r="S33" i="13"/>
  <c r="F34" i="13"/>
  <c r="V32" i="13"/>
  <c r="W32" i="13" s="1"/>
  <c r="Y32" i="13" s="1"/>
  <c r="X32" i="13"/>
  <c r="Z32" i="13" s="1"/>
  <c r="AA52" i="13"/>
  <c r="AB52" i="13"/>
  <c r="AA51" i="13"/>
  <c r="AB51" i="13"/>
  <c r="AB50" i="13"/>
  <c r="AA50" i="13"/>
  <c r="AB49" i="13"/>
  <c r="AA49" i="13"/>
  <c r="AB48" i="13"/>
  <c r="AA48" i="13"/>
  <c r="AA47" i="13"/>
  <c r="AB47" i="13"/>
  <c r="AA46" i="13"/>
  <c r="AB46" i="13"/>
  <c r="AA31" i="13"/>
  <c r="AB31" i="13"/>
  <c r="AB30" i="13"/>
  <c r="AA30" i="13"/>
  <c r="AB29" i="13"/>
  <c r="AA29" i="13"/>
  <c r="AA28" i="13"/>
  <c r="AB28" i="13"/>
  <c r="AA27" i="13"/>
  <c r="AB27" i="13"/>
  <c r="AA26" i="13"/>
  <c r="AB26" i="13"/>
  <c r="AB25" i="13"/>
  <c r="AA25" i="13"/>
  <c r="AA24" i="13"/>
  <c r="AB24" i="13"/>
  <c r="V34" i="10"/>
  <c r="W34" i="10" s="1"/>
  <c r="Y34" i="10" s="1"/>
  <c r="X34" i="10"/>
  <c r="Z34" i="10" s="1"/>
  <c r="S35" i="10"/>
  <c r="J35" i="10"/>
  <c r="L35" i="10" s="1"/>
  <c r="F36" i="10"/>
  <c r="Y24" i="10"/>
  <c r="AA24" i="10" s="1"/>
  <c r="J57" i="10"/>
  <c r="L57" i="10" s="1"/>
  <c r="S57" i="10"/>
  <c r="F58" i="10"/>
  <c r="X56" i="10"/>
  <c r="AB54" i="10"/>
  <c r="AA54" i="10"/>
  <c r="AA51" i="10"/>
  <c r="AB51" i="10"/>
  <c r="AB52" i="10"/>
  <c r="AA52" i="10"/>
  <c r="AB53" i="10"/>
  <c r="AA53" i="10"/>
  <c r="V33" i="10"/>
  <c r="W33" i="10" s="1"/>
  <c r="Y33" i="10" s="1"/>
  <c r="X33" i="10"/>
  <c r="Z33" i="10" s="1"/>
  <c r="V32" i="10"/>
  <c r="W32" i="10" s="1"/>
  <c r="Y32" i="10" s="1"/>
  <c r="X32" i="10"/>
  <c r="Z32" i="10" s="1"/>
  <c r="AB27" i="10"/>
  <c r="AA25" i="10"/>
  <c r="AB25" i="10"/>
  <c r="AA26" i="10"/>
  <c r="AB26" i="10"/>
  <c r="AB29" i="10"/>
  <c r="AA29" i="10"/>
  <c r="AA30" i="10"/>
  <c r="AB30" i="10"/>
  <c r="AA31" i="10"/>
  <c r="AB31" i="10"/>
  <c r="M44" i="10"/>
  <c r="M43" i="10"/>
  <c r="AG17" i="5"/>
  <c r="AD17" i="5"/>
  <c r="H45" i="5" l="1"/>
  <c r="J45" i="5" s="1"/>
  <c r="Q45" i="5"/>
  <c r="T45" i="5" s="1"/>
  <c r="U45" i="5" s="1"/>
  <c r="D46" i="5"/>
  <c r="X56" i="26"/>
  <c r="V56" i="26"/>
  <c r="W56" i="26" s="1"/>
  <c r="Y56" i="26" s="1"/>
  <c r="Z56" i="26"/>
  <c r="Z56" i="10"/>
  <c r="Y56" i="10"/>
  <c r="AA56" i="10" s="1"/>
  <c r="AA37" i="23"/>
  <c r="AB37" i="23"/>
  <c r="AB56" i="25"/>
  <c r="AA56" i="25"/>
  <c r="V38" i="25"/>
  <c r="W38" i="25" s="1"/>
  <c r="Y38" i="25" s="1"/>
  <c r="X38" i="25"/>
  <c r="Z38" i="25" s="1"/>
  <c r="AB58" i="24"/>
  <c r="AA58" i="24"/>
  <c r="X38" i="24"/>
  <c r="Z38" i="24" s="1"/>
  <c r="V38" i="24"/>
  <c r="W38" i="24" s="1"/>
  <c r="Y38" i="24" s="1"/>
  <c r="AA39" i="23"/>
  <c r="AB39" i="23"/>
  <c r="S41" i="23"/>
  <c r="F42" i="23"/>
  <c r="J42" i="23" s="1"/>
  <c r="L42" i="23" s="1"/>
  <c r="X40" i="23"/>
  <c r="Z40" i="23" s="1"/>
  <c r="V40" i="23"/>
  <c r="W40" i="23" s="1"/>
  <c r="Y40" i="23" s="1"/>
  <c r="W39" i="22"/>
  <c r="X39" i="22" s="1"/>
  <c r="Z39" i="22" s="1"/>
  <c r="Q40" i="22"/>
  <c r="T40" i="22" s="1"/>
  <c r="U40" i="22" s="1"/>
  <c r="J40" i="22"/>
  <c r="D41" i="22"/>
  <c r="H42" i="21"/>
  <c r="J42" i="21" s="1"/>
  <c r="T42" i="2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J41" i="12"/>
  <c r="H42" i="15"/>
  <c r="J42" i="15" s="1"/>
  <c r="Q42" i="15"/>
  <c r="T42" i="15" s="1"/>
  <c r="U42" i="15" s="1"/>
  <c r="W41" i="15"/>
  <c r="X41" i="15" s="1"/>
  <c r="Z41" i="15" s="1"/>
  <c r="W41" i="11"/>
  <c r="X41" i="11" s="1"/>
  <c r="Z41" i="11" s="1"/>
  <c r="D43" i="11"/>
  <c r="Q42" i="11"/>
  <c r="T42" i="11" s="1"/>
  <c r="U42" i="11" s="1"/>
  <c r="H42" i="11"/>
  <c r="J42" i="11" s="1"/>
  <c r="AA55" i="10"/>
  <c r="AB55" i="10"/>
  <c r="AA51" i="14"/>
  <c r="AB51" i="14"/>
  <c r="V52" i="14"/>
  <c r="W52" i="14" s="1"/>
  <c r="Y52" i="14" s="1"/>
  <c r="X52" i="14"/>
  <c r="Z52" i="14" s="1"/>
  <c r="J53" i="14"/>
  <c r="L53" i="14" s="1"/>
  <c r="S53" i="14"/>
  <c r="V33" i="14"/>
  <c r="W33" i="14" s="1"/>
  <c r="Y33" i="14" s="1"/>
  <c r="X33" i="14"/>
  <c r="Z33" i="14" s="1"/>
  <c r="J34" i="14"/>
  <c r="L34" i="14" s="1"/>
  <c r="S34" i="14"/>
  <c r="F35" i="14"/>
  <c r="AA32" i="14"/>
  <c r="AB32" i="14"/>
  <c r="AA34" i="10"/>
  <c r="AB34" i="10"/>
  <c r="V54" i="13"/>
  <c r="W54" i="13" s="1"/>
  <c r="Y54" i="13" s="1"/>
  <c r="X54" i="13"/>
  <c r="Z54" i="13" s="1"/>
  <c r="J55" i="13"/>
  <c r="L55" i="13" s="1"/>
  <c r="S55" i="13"/>
  <c r="AB53" i="13"/>
  <c r="AA53" i="13"/>
  <c r="V33" i="13"/>
  <c r="W33" i="13" s="1"/>
  <c r="Y33" i="13" s="1"/>
  <c r="X33" i="13"/>
  <c r="Z33" i="13" s="1"/>
  <c r="J34" i="13"/>
  <c r="L34" i="13" s="1"/>
  <c r="S34" i="13"/>
  <c r="F35" i="13"/>
  <c r="AA32" i="13"/>
  <c r="AB32" i="13"/>
  <c r="X35" i="10"/>
  <c r="Z35" i="10" s="1"/>
  <c r="V35" i="10"/>
  <c r="W35" i="10" s="1"/>
  <c r="Y35" i="10" s="1"/>
  <c r="S36" i="10"/>
  <c r="J36" i="10"/>
  <c r="L36" i="10" s="1"/>
  <c r="F37" i="10"/>
  <c r="X57" i="10"/>
  <c r="Z57" i="10" s="1"/>
  <c r="V57" i="10"/>
  <c r="W57" i="10" s="1"/>
  <c r="Y57" i="10" s="1"/>
  <c r="S58" i="10"/>
  <c r="F59" i="10"/>
  <c r="J58" i="10"/>
  <c r="L58" i="10" s="1"/>
  <c r="AB33" i="10"/>
  <c r="AA33" i="10"/>
  <c r="AA32" i="10"/>
  <c r="AB32" i="10"/>
  <c r="AB28" i="10"/>
  <c r="AA28" i="10"/>
  <c r="AA27" i="10"/>
  <c r="AB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AB56" i="10" l="1"/>
  <c r="Q46" i="5"/>
  <c r="T46" i="5" s="1"/>
  <c r="U46" i="5" s="1"/>
  <c r="D47" i="5"/>
  <c r="H46" i="5"/>
  <c r="J46" i="5" s="1"/>
  <c r="AA56" i="26"/>
  <c r="AB56" i="26"/>
  <c r="AB38" i="25"/>
  <c r="AA38" i="25"/>
  <c r="AB38" i="24"/>
  <c r="AA38" i="24"/>
  <c r="AB40" i="23"/>
  <c r="AA40" i="23"/>
  <c r="X41" i="23"/>
  <c r="Z41" i="23" s="1"/>
  <c r="V41" i="23"/>
  <c r="W41" i="23" s="1"/>
  <c r="Y41" i="23" s="1"/>
  <c r="S42" i="23"/>
  <c r="F43" i="23"/>
  <c r="J43" i="23" s="1"/>
  <c r="L43" i="23" s="1"/>
  <c r="W40" i="22"/>
  <c r="X40" i="22" s="1"/>
  <c r="Z40" i="22" s="1"/>
  <c r="Q41" i="22"/>
  <c r="T41" i="22" s="1"/>
  <c r="U41" i="22" s="1"/>
  <c r="J41" i="22"/>
  <c r="W42" i="11"/>
  <c r="X42" i="11" s="1"/>
  <c r="Z42" i="11" s="1"/>
  <c r="W41" i="12"/>
  <c r="X41" i="12" s="1"/>
  <c r="Z41" i="12" s="1"/>
  <c r="T43" i="21"/>
  <c r="U43" i="21" s="1"/>
  <c r="J43" i="21"/>
  <c r="W42" i="21"/>
  <c r="X42" i="21" s="1"/>
  <c r="Z42" i="21" s="1"/>
  <c r="J42" i="12"/>
  <c r="Q42" i="12"/>
  <c r="T42" i="12" s="1"/>
  <c r="U42" i="12" s="1"/>
  <c r="H43" i="15"/>
  <c r="J43" i="15" s="1"/>
  <c r="Q43" i="15"/>
  <c r="T43" i="15" s="1"/>
  <c r="U43" i="15" s="1"/>
  <c r="W42" i="15"/>
  <c r="X42" i="15" s="1"/>
  <c r="Z42" i="15" s="1"/>
  <c r="D44" i="11"/>
  <c r="D45" i="11" s="1"/>
  <c r="D46" i="11" s="1"/>
  <c r="H43" i="11"/>
  <c r="J43" i="11" s="1"/>
  <c r="Q43" i="11"/>
  <c r="T43" i="11" s="1"/>
  <c r="U43" i="11" s="1"/>
  <c r="AA52" i="14"/>
  <c r="AB52" i="14"/>
  <c r="J54" i="14"/>
  <c r="S54" i="14"/>
  <c r="V53" i="14"/>
  <c r="W53" i="14" s="1"/>
  <c r="Y53" i="14" s="1"/>
  <c r="X53" i="14"/>
  <c r="Z53" i="14" s="1"/>
  <c r="AB33" i="14"/>
  <c r="AA33" i="14"/>
  <c r="X34" i="14"/>
  <c r="Z34" i="14" s="1"/>
  <c r="V34" i="14"/>
  <c r="W34" i="14" s="1"/>
  <c r="Y34" i="14" s="1"/>
  <c r="F36" i="14"/>
  <c r="S35" i="14"/>
  <c r="J35" i="14"/>
  <c r="L35" i="14" s="1"/>
  <c r="AA54" i="13"/>
  <c r="AB54" i="13"/>
  <c r="V55" i="13"/>
  <c r="W55" i="13" s="1"/>
  <c r="Y55" i="13" s="1"/>
  <c r="X55" i="13"/>
  <c r="Z55" i="13" s="1"/>
  <c r="J56" i="13"/>
  <c r="L56" i="13" s="1"/>
  <c r="S56" i="13"/>
  <c r="AB33" i="13"/>
  <c r="AA33" i="13"/>
  <c r="V34" i="13"/>
  <c r="W34" i="13" s="1"/>
  <c r="Y34" i="13" s="1"/>
  <c r="X34" i="13"/>
  <c r="Z34" i="13" s="1"/>
  <c r="J35" i="13"/>
  <c r="L35" i="13" s="1"/>
  <c r="S35" i="13"/>
  <c r="F36" i="13"/>
  <c r="V36" i="10"/>
  <c r="W36" i="10" s="1"/>
  <c r="Y36" i="10" s="1"/>
  <c r="X36" i="10"/>
  <c r="Z36" i="10" s="1"/>
  <c r="J37" i="10"/>
  <c r="L37" i="10" s="1"/>
  <c r="F38" i="10"/>
  <c r="AA35" i="10"/>
  <c r="AB35" i="10"/>
  <c r="AB57" i="10"/>
  <c r="AA57" i="10"/>
  <c r="V58" i="10"/>
  <c r="W58" i="10" s="1"/>
  <c r="Y58" i="10" s="1"/>
  <c r="X58" i="10"/>
  <c r="Z58" i="10" s="1"/>
  <c r="J59" i="10"/>
  <c r="L59" i="10" s="1"/>
  <c r="S59" i="10"/>
  <c r="F60" i="10"/>
  <c r="D48" i="5" l="1"/>
  <c r="H47" i="5"/>
  <c r="J47" i="5" s="1"/>
  <c r="Q47" i="5"/>
  <c r="T47" i="5" s="1"/>
  <c r="U47" i="5" s="1"/>
  <c r="J60" i="10"/>
  <c r="L60" i="10" s="1"/>
  <c r="S60" i="10"/>
  <c r="X42" i="23"/>
  <c r="Z42" i="23" s="1"/>
  <c r="V42" i="23"/>
  <c r="W42" i="23" s="1"/>
  <c r="Y42" i="23" s="1"/>
  <c r="F44" i="23"/>
  <c r="S43" i="23"/>
  <c r="AB41" i="23"/>
  <c r="AA41" i="23"/>
  <c r="W41" i="22"/>
  <c r="X41" i="22" s="1"/>
  <c r="Z41" i="22" s="1"/>
  <c r="W43" i="15"/>
  <c r="X43" i="15" s="1"/>
  <c r="Z43" i="15" s="1"/>
  <c r="W43" i="21"/>
  <c r="X43" i="21" s="1"/>
  <c r="Z43" i="21" s="1"/>
  <c r="Q43" i="12"/>
  <c r="T43" i="12" s="1"/>
  <c r="U43" i="12" s="1"/>
  <c r="J43" i="12"/>
  <c r="W42" i="12"/>
  <c r="X42" i="12" s="1"/>
  <c r="Z42" i="12" s="1"/>
  <c r="Q44" i="15"/>
  <c r="T44" i="15" s="1"/>
  <c r="U44" i="15" s="1"/>
  <c r="H44" i="15"/>
  <c r="J44" i="15" s="1"/>
  <c r="W43" i="11"/>
  <c r="X43" i="11" s="1"/>
  <c r="Z43" i="11" s="1"/>
  <c r="Q44" i="11"/>
  <c r="T44" i="11" s="1"/>
  <c r="U44" i="11" s="1"/>
  <c r="H44" i="11"/>
  <c r="J44" i="11" s="1"/>
  <c r="V54" i="14"/>
  <c r="W54" i="14" s="1"/>
  <c r="Y54" i="14" s="1"/>
  <c r="X54" i="14"/>
  <c r="Z54" i="14" s="1"/>
  <c r="S55" i="14"/>
  <c r="J55" i="14"/>
  <c r="L55" i="14" s="1"/>
  <c r="AA53" i="14"/>
  <c r="AB53" i="14"/>
  <c r="AB34" i="14"/>
  <c r="AA34" i="14"/>
  <c r="S36" i="14"/>
  <c r="F37" i="14"/>
  <c r="J36" i="14"/>
  <c r="L36" i="14" s="1"/>
  <c r="X35" i="14"/>
  <c r="Z35" i="14" s="1"/>
  <c r="V35" i="14"/>
  <c r="W35" i="14" s="1"/>
  <c r="Y35" i="14" s="1"/>
  <c r="AB55" i="13"/>
  <c r="AA55" i="13"/>
  <c r="V56" i="13"/>
  <c r="W56" i="13" s="1"/>
  <c r="Y56" i="13" s="1"/>
  <c r="X56" i="13"/>
  <c r="Z56" i="13" s="1"/>
  <c r="J57" i="13"/>
  <c r="L57" i="13" s="1"/>
  <c r="S57" i="13"/>
  <c r="AB34" i="13"/>
  <c r="AA34" i="13"/>
  <c r="V35" i="13"/>
  <c r="W35" i="13" s="1"/>
  <c r="Y35" i="13" s="1"/>
  <c r="X35" i="13"/>
  <c r="Z35" i="13" s="1"/>
  <c r="F37" i="13"/>
  <c r="J36" i="13"/>
  <c r="L36" i="13" s="1"/>
  <c r="S36" i="13"/>
  <c r="AB36" i="10"/>
  <c r="AA36" i="10"/>
  <c r="J38" i="10"/>
  <c r="L38" i="10" s="1"/>
  <c r="F39" i="10"/>
  <c r="S38" i="10"/>
  <c r="V59" i="10"/>
  <c r="W59" i="10" s="1"/>
  <c r="Y59" i="10" s="1"/>
  <c r="X59" i="10"/>
  <c r="Z59" i="10" s="1"/>
  <c r="F61" i="10"/>
  <c r="AA58" i="10"/>
  <c r="AB58" i="10"/>
  <c r="H48" i="5" l="1"/>
  <c r="J48" i="5" s="1"/>
  <c r="Q48" i="5"/>
  <c r="T48" i="5" s="1"/>
  <c r="U48" i="5" s="1"/>
  <c r="X60" i="10"/>
  <c r="Z60" i="10" s="1"/>
  <c r="V60" i="10"/>
  <c r="W60" i="10" s="1"/>
  <c r="Y60" i="10" s="1"/>
  <c r="F45" i="23"/>
  <c r="J44" i="23"/>
  <c r="L44" i="23" s="1"/>
  <c r="S45" i="23"/>
  <c r="AB42" i="23"/>
  <c r="AA42" i="23"/>
  <c r="X43" i="23"/>
  <c r="Z43" i="23" s="1"/>
  <c r="V43" i="23"/>
  <c r="W43" i="23" s="1"/>
  <c r="Y43" i="23" s="1"/>
  <c r="S44" i="23"/>
  <c r="W44" i="11"/>
  <c r="X44" i="11" s="1"/>
  <c r="Z44" i="11" s="1"/>
  <c r="W43" i="12"/>
  <c r="X43" i="12" s="1"/>
  <c r="Z43" i="12" s="1"/>
  <c r="W44" i="15"/>
  <c r="X44" i="15" s="1"/>
  <c r="Z44" i="15" s="1"/>
  <c r="Q45" i="15"/>
  <c r="T45" i="15" s="1"/>
  <c r="U45" i="15" s="1"/>
  <c r="H45" i="15"/>
  <c r="J45" i="15" s="1"/>
  <c r="H45" i="11"/>
  <c r="J45" i="11" s="1"/>
  <c r="Q45" i="11"/>
  <c r="T45" i="11" s="1"/>
  <c r="U45" i="11" s="1"/>
  <c r="W44" i="5"/>
  <c r="X44" i="5" s="1"/>
  <c r="Z44" i="5" s="1"/>
  <c r="AA54" i="14"/>
  <c r="AB54" i="14"/>
  <c r="X55" i="14"/>
  <c r="Z55" i="14" s="1"/>
  <c r="V55" i="14"/>
  <c r="W55" i="14" s="1"/>
  <c r="Y55" i="14" s="1"/>
  <c r="V36" i="14"/>
  <c r="W36" i="14" s="1"/>
  <c r="Y36" i="14" s="1"/>
  <c r="X36" i="14"/>
  <c r="Z36" i="14" s="1"/>
  <c r="J37" i="14"/>
  <c r="L37" i="14" s="1"/>
  <c r="AB35" i="14"/>
  <c r="AA35" i="14"/>
  <c r="AB56" i="13"/>
  <c r="AA56" i="13"/>
  <c r="V57" i="13"/>
  <c r="W57" i="13" s="1"/>
  <c r="Y57" i="13" s="1"/>
  <c r="X57" i="13"/>
  <c r="Z57" i="13" s="1"/>
  <c r="J58" i="13"/>
  <c r="L58" i="13" s="1"/>
  <c r="AB35" i="13"/>
  <c r="AA35" i="13"/>
  <c r="J37" i="13"/>
  <c r="L37" i="13" s="1"/>
  <c r="F38" i="13"/>
  <c r="X36" i="13"/>
  <c r="Z36" i="13" s="1"/>
  <c r="V36" i="13"/>
  <c r="W36" i="13" s="1"/>
  <c r="Y36" i="13" s="1"/>
  <c r="F40" i="10"/>
  <c r="J39" i="10"/>
  <c r="L39" i="10" s="1"/>
  <c r="S39" i="10"/>
  <c r="X38" i="10"/>
  <c r="Z38" i="10" s="1"/>
  <c r="V38" i="10"/>
  <c r="W38" i="10" s="1"/>
  <c r="Y38" i="10" s="1"/>
  <c r="AA59" i="10"/>
  <c r="AB59" i="10"/>
  <c r="F62" i="10"/>
  <c r="AB60" i="10" l="1"/>
  <c r="AA60" i="10"/>
  <c r="F46" i="23"/>
  <c r="J45" i="23"/>
  <c r="L45" i="23" s="1"/>
  <c r="X45" i="23"/>
  <c r="V45" i="23"/>
  <c r="W45" i="23" s="1"/>
  <c r="Y45" i="23" s="1"/>
  <c r="Z45" i="23"/>
  <c r="X44" i="23"/>
  <c r="Z44" i="23" s="1"/>
  <c r="V44" i="23"/>
  <c r="W44" i="23" s="1"/>
  <c r="Y44" i="23" s="1"/>
  <c r="AB43" i="23"/>
  <c r="AA43" i="23"/>
  <c r="S47" i="23"/>
  <c r="W45" i="15"/>
  <c r="X45" i="15" s="1"/>
  <c r="Z45" i="15" s="1"/>
  <c r="W45" i="5"/>
  <c r="X45" i="5" s="1"/>
  <c r="Z45" i="5" s="1"/>
  <c r="H46" i="11"/>
  <c r="J46" i="11" s="1"/>
  <c r="Q46" i="11"/>
  <c r="T46" i="11" s="1"/>
  <c r="U46" i="11" s="1"/>
  <c r="W45" i="11"/>
  <c r="X45" i="11" s="1"/>
  <c r="Z45" i="11" s="1"/>
  <c r="AA55" i="14"/>
  <c r="AB55" i="14"/>
  <c r="J38" i="14"/>
  <c r="L38" i="14" s="1"/>
  <c r="S38" i="14"/>
  <c r="AB36" i="14"/>
  <c r="AA36" i="14"/>
  <c r="AA57" i="13"/>
  <c r="AB57" i="13"/>
  <c r="J59" i="13"/>
  <c r="L59" i="13" s="1"/>
  <c r="S59" i="13"/>
  <c r="J38" i="13"/>
  <c r="L38" i="13" s="1"/>
  <c r="S38" i="13"/>
  <c r="AA36" i="13"/>
  <c r="AB36" i="13"/>
  <c r="AA38" i="10"/>
  <c r="AB38" i="10"/>
  <c r="F41" i="10"/>
  <c r="S40" i="10"/>
  <c r="J40" i="10"/>
  <c r="L40" i="10" s="1"/>
  <c r="V39" i="10"/>
  <c r="W39" i="10" s="1"/>
  <c r="Y39" i="10" s="1"/>
  <c r="X39" i="10"/>
  <c r="Z39" i="10" s="1"/>
  <c r="J62" i="10"/>
  <c r="L62" i="10" s="1"/>
  <c r="S62" i="10"/>
  <c r="F63" i="10"/>
  <c r="J46" i="23" l="1"/>
  <c r="L46" i="23" s="1"/>
  <c r="S46" i="23"/>
  <c r="AA45" i="23"/>
  <c r="AB45" i="23"/>
  <c r="AB44" i="23"/>
  <c r="AA44" i="23"/>
  <c r="V47" i="23"/>
  <c r="W47" i="23" s="1"/>
  <c r="Y47" i="23" s="1"/>
  <c r="X47" i="23"/>
  <c r="Z47" i="23" s="1"/>
  <c r="W46" i="11"/>
  <c r="X46" i="11" s="1"/>
  <c r="Z46" i="11" s="1"/>
  <c r="W46" i="5"/>
  <c r="X46" i="5" s="1"/>
  <c r="Z46" i="5" s="1"/>
  <c r="V38" i="14"/>
  <c r="W38" i="14" s="1"/>
  <c r="Y38" i="14" s="1"/>
  <c r="X38" i="14"/>
  <c r="Z38" i="14" s="1"/>
  <c r="V59" i="13"/>
  <c r="W59" i="13" s="1"/>
  <c r="Y59" i="13" s="1"/>
  <c r="X59" i="13"/>
  <c r="Z59" i="13" s="1"/>
  <c r="J60" i="13"/>
  <c r="L60" i="13" s="1"/>
  <c r="S60" i="13"/>
  <c r="V38" i="13"/>
  <c r="W38" i="13" s="1"/>
  <c r="Y38" i="13" s="1"/>
  <c r="X38" i="13"/>
  <c r="Z38" i="13" s="1"/>
  <c r="J39" i="13"/>
  <c r="L39" i="13" s="1"/>
  <c r="S39" i="13"/>
  <c r="F40" i="13"/>
  <c r="J41" i="10"/>
  <c r="L41" i="10" s="1"/>
  <c r="S41" i="10"/>
  <c r="F42" i="10"/>
  <c r="V40" i="10"/>
  <c r="W40" i="10" s="1"/>
  <c r="Y40" i="10" s="1"/>
  <c r="X40" i="10"/>
  <c r="Z40" i="10" s="1"/>
  <c r="AB39" i="10"/>
  <c r="AA39" i="10"/>
  <c r="X62" i="10"/>
  <c r="Z62" i="10" s="1"/>
  <c r="V62" i="10"/>
  <c r="W62" i="10" s="1"/>
  <c r="Y62" i="10" s="1"/>
  <c r="J63" i="10"/>
  <c r="L63" i="10" s="1"/>
  <c r="F64" i="10"/>
  <c r="S63" i="10"/>
  <c r="V46" i="23" l="1"/>
  <c r="W46" i="23" s="1"/>
  <c r="Y46" i="23" s="1"/>
  <c r="X46" i="23"/>
  <c r="Z46" i="23" s="1"/>
  <c r="AA47" i="23"/>
  <c r="AB47" i="23"/>
  <c r="W47" i="5"/>
  <c r="X47" i="5" s="1"/>
  <c r="Z47" i="5" s="1"/>
  <c r="AB38" i="14"/>
  <c r="AA38" i="14"/>
  <c r="AB59" i="13"/>
  <c r="AA59" i="13"/>
  <c r="J61" i="13"/>
  <c r="L61" i="13" s="1"/>
  <c r="S61" i="13"/>
  <c r="V60" i="13"/>
  <c r="W60" i="13" s="1"/>
  <c r="Y60" i="13" s="1"/>
  <c r="X60" i="13"/>
  <c r="Z60" i="13" s="1"/>
  <c r="AA38" i="13"/>
  <c r="AB38" i="13"/>
  <c r="V39" i="13"/>
  <c r="W39" i="13" s="1"/>
  <c r="Y39" i="13" s="1"/>
  <c r="X39" i="13"/>
  <c r="Z39" i="13" s="1"/>
  <c r="J40" i="13"/>
  <c r="L40" i="13" s="1"/>
  <c r="S40" i="13"/>
  <c r="V41" i="10"/>
  <c r="W41" i="10" s="1"/>
  <c r="Y41" i="10" s="1"/>
  <c r="X41" i="10"/>
  <c r="Z41" i="10" s="1"/>
  <c r="S42" i="10"/>
  <c r="J42" i="10"/>
  <c r="L42" i="10" s="1"/>
  <c r="F43" i="10"/>
  <c r="AB40" i="10"/>
  <c r="AA40" i="10"/>
  <c r="AB62" i="10"/>
  <c r="AA62" i="10"/>
  <c r="S64" i="10"/>
  <c r="J64" i="10"/>
  <c r="L64" i="10" s="1"/>
  <c r="F65" i="10"/>
  <c r="X63" i="10"/>
  <c r="Z63" i="10" s="1"/>
  <c r="V63" i="10"/>
  <c r="W63" i="10" s="1"/>
  <c r="Y63" i="10" s="1"/>
  <c r="AA46" i="23" l="1"/>
  <c r="AB46" i="23"/>
  <c r="W48" i="5"/>
  <c r="X48" i="5" s="1"/>
  <c r="Z48" i="5" s="1"/>
  <c r="J62" i="13"/>
  <c r="L62" i="13" s="1"/>
  <c r="S62" i="13"/>
  <c r="X61" i="13"/>
  <c r="Z61" i="13" s="1"/>
  <c r="V61" i="13"/>
  <c r="W61" i="13" s="1"/>
  <c r="Y61" i="13" s="1"/>
  <c r="AB60" i="13"/>
  <c r="AA60" i="13"/>
  <c r="AB39" i="13"/>
  <c r="AA39" i="13"/>
  <c r="V40" i="13"/>
  <c r="W40" i="13" s="1"/>
  <c r="Y40" i="13" s="1"/>
  <c r="X40" i="13"/>
  <c r="Z40" i="13" s="1"/>
  <c r="J42" i="13"/>
  <c r="L42" i="13" s="1"/>
  <c r="S42" i="13"/>
  <c r="AA41" i="10"/>
  <c r="AB41" i="10"/>
  <c r="V42" i="10"/>
  <c r="W42" i="10" s="1"/>
  <c r="Y42" i="10" s="1"/>
  <c r="X42" i="10"/>
  <c r="Z42" i="10" s="1"/>
  <c r="S43" i="10"/>
  <c r="J43" i="10"/>
  <c r="L43" i="10" s="1"/>
  <c r="F44" i="10"/>
  <c r="F45" i="10" s="1"/>
  <c r="AA63" i="10"/>
  <c r="AB63" i="10"/>
  <c r="V64" i="10"/>
  <c r="W64" i="10" s="1"/>
  <c r="Y64" i="10" s="1"/>
  <c r="X64" i="10"/>
  <c r="Z64" i="10" s="1"/>
  <c r="J65" i="10"/>
  <c r="L65" i="10" s="1"/>
  <c r="S65" i="10"/>
  <c r="F66" i="10"/>
  <c r="S45" i="10" l="1"/>
  <c r="F46" i="10"/>
  <c r="J45" i="10"/>
  <c r="L45" i="10" s="1"/>
  <c r="AB61" i="13"/>
  <c r="AA61" i="13"/>
  <c r="X62" i="13"/>
  <c r="Z62" i="13" s="1"/>
  <c r="V62" i="13"/>
  <c r="W62" i="13" s="1"/>
  <c r="Y62" i="13" s="1"/>
  <c r="AB40" i="13"/>
  <c r="AA40" i="13"/>
  <c r="V42" i="13"/>
  <c r="W42" i="13" s="1"/>
  <c r="Y42" i="13" s="1"/>
  <c r="X42" i="13"/>
  <c r="Z42" i="13" s="1"/>
  <c r="AA42" i="10"/>
  <c r="AB42" i="10"/>
  <c r="X43" i="10"/>
  <c r="Z43" i="10" s="1"/>
  <c r="V43" i="10"/>
  <c r="W43" i="10" s="1"/>
  <c r="Y43" i="10" s="1"/>
  <c r="S44" i="10"/>
  <c r="J44" i="10"/>
  <c r="L44" i="10" s="1"/>
  <c r="F47" i="10"/>
  <c r="AB64" i="10"/>
  <c r="AA64" i="10"/>
  <c r="V65" i="10"/>
  <c r="W65" i="10" s="1"/>
  <c r="Y65" i="10" s="1"/>
  <c r="X65" i="10"/>
  <c r="Z65" i="10" s="1"/>
  <c r="S66" i="10"/>
  <c r="J66" i="10"/>
  <c r="L66" i="10" s="1"/>
  <c r="F67" i="10"/>
  <c r="S46" i="10" l="1"/>
  <c r="J46" i="10"/>
  <c r="L46" i="10" s="1"/>
  <c r="X45" i="10"/>
  <c r="Z45" i="10" s="1"/>
  <c r="V45" i="10"/>
  <c r="W45" i="10" s="1"/>
  <c r="Y45" i="10" s="1"/>
  <c r="AA62" i="13"/>
  <c r="AB62" i="13"/>
  <c r="AB42" i="13"/>
  <c r="AA42" i="13"/>
  <c r="AB43" i="10"/>
  <c r="AA43" i="10"/>
  <c r="V44" i="10"/>
  <c r="W44" i="10" s="1"/>
  <c r="Y44" i="10" s="1"/>
  <c r="X44" i="10"/>
  <c r="Z44" i="10" s="1"/>
  <c r="S47" i="10"/>
  <c r="J47" i="10"/>
  <c r="L47" i="10" s="1"/>
  <c r="AB65" i="10"/>
  <c r="AA65" i="10"/>
  <c r="V66" i="10"/>
  <c r="W66" i="10" s="1"/>
  <c r="Y66" i="10" s="1"/>
  <c r="X66" i="10"/>
  <c r="Z66" i="10" s="1"/>
  <c r="S67" i="10"/>
  <c r="J67" i="10"/>
  <c r="L67" i="10" s="1"/>
  <c r="AA45" i="10" l="1"/>
  <c r="AB45" i="10"/>
  <c r="X46" i="10"/>
  <c r="Z46" i="10" s="1"/>
  <c r="V46" i="10"/>
  <c r="W46" i="10" s="1"/>
  <c r="Y46" i="10" s="1"/>
  <c r="AA44" i="10"/>
  <c r="AB44" i="10"/>
  <c r="X47" i="10"/>
  <c r="Z47" i="10" s="1"/>
  <c r="V47" i="10"/>
  <c r="W47" i="10" s="1"/>
  <c r="Y47" i="10" s="1"/>
  <c r="AA66" i="10"/>
  <c r="AB66" i="10"/>
  <c r="V67" i="10"/>
  <c r="W67" i="10" s="1"/>
  <c r="Y67" i="10" s="1"/>
  <c r="X67" i="10"/>
  <c r="Z67" i="10" s="1"/>
  <c r="AB46" i="10" l="1"/>
  <c r="AA46" i="10"/>
  <c r="J45" i="13"/>
  <c r="L45" i="13" s="1"/>
  <c r="S45" i="13"/>
  <c r="V45" i="13" s="1"/>
  <c r="AA47" i="10"/>
  <c r="AB47" i="10"/>
  <c r="AA67" i="10"/>
  <c r="AB67" i="10"/>
  <c r="W45" i="13" l="1"/>
  <c r="Y45" i="13" s="1"/>
  <c r="X45" i="13"/>
  <c r="Z45" i="13" s="1"/>
  <c r="AA45" i="13" l="1"/>
  <c r="AB4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tc={3C79133B-1168-4A40-8B8E-B85FA73FAC3F}</author>
    <author>wjeong</author>
  </authors>
  <commentList>
    <comment ref="F21" authorId="0" shapeId="0" xr:uid="{3C79133B-1168-4A40-8B8E-B85FA73FAC3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E9377C27-EDA2-4EAC-BE86-BA5588E71C6D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tc={A3B1F923-EAB0-4E08-AE22-4AF8EC84C5DD}</author>
    <author>wjeong</author>
  </authors>
  <commentList>
    <comment ref="F21" authorId="0" shapeId="0" xr:uid="{A3B1F923-EAB0-4E08-AE22-4AF8EC84C5D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414275CA-8AF6-4530-A886-015DAA29F451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tc={26FF8239-4377-43E9-84AE-EF2AB7798B4F}</author>
    <author>wjeong</author>
  </authors>
  <commentList>
    <comment ref="F21" authorId="0" shapeId="0" xr:uid="{26FF8239-4377-43E9-84AE-EF2AB7798B4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AC0576F7-2379-48C4-B468-170C7E1DAEA7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tc={65962696-1358-48E6-9505-BF5A9D9A58EA}</author>
    <author>wjeong</author>
  </authors>
  <commentList>
    <comment ref="F21" authorId="0" shapeId="0" xr:uid="{65962696-1358-48E6-9505-BF5A9D9A58E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561A772E-95C9-4460-B7AF-C52A10B663E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tc={CAA980EC-B9E3-4ECE-BD66-3B96BB3A86D9}</author>
    <author>wjeong</author>
  </authors>
  <commentList>
    <comment ref="F21" authorId="0" shapeId="0" xr:uid="{CAA980EC-B9E3-4ECE-BD66-3B96BB3A86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5DF4DF95-9164-4007-8FE8-A7A92FB96580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tc={6ABDBE2E-AB47-482C-B338-7830B3B497D1}</author>
  </authors>
  <commentList>
    <comment ref="H22" authorId="0" shapeId="0" xr:uid="{6ABDBE2E-AB47-482C-B338-7830B3B497D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tc={13A608B6-9EC4-4266-82AC-A5285670D423}</author>
  </authors>
  <commentList>
    <comment ref="H22" authorId="0" shapeId="0" xr:uid="{13A608B6-9EC4-4266-82AC-A5285670D42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tc={C4D3102C-056A-462B-8A67-174EBDA97B8C}</author>
  </authors>
  <commentList>
    <comment ref="H22" authorId="0" shapeId="0" xr:uid="{C4D3102C-056A-462B-8A67-174EBDA97B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tc={A6DF9B23-9ED1-4BFF-8E43-A58DA6562E26}</author>
  </authors>
  <commentList>
    <comment ref="H22" authorId="0" shapeId="0" xr:uid="{A6DF9B23-9ED1-4BFF-8E43-A58DA6562E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tc={26BE6ECB-0CF8-4434-8EB5-E36D344D0C0D}</author>
  </authors>
  <commentList>
    <comment ref="H22" authorId="0" shapeId="0" xr:uid="{26BE6ECB-0CF8-4434-8EB5-E36D344D0C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tc={6DD6A082-F922-4BB0-A104-ABD1C2131EDA}</author>
  </authors>
  <commentList>
    <comment ref="H22" authorId="0" shapeId="0" xr:uid="{6DD6A082-F922-4BB0-A104-ABD1C2131ED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tc={6A49E117-26BE-48EB-912F-5E9B640B8BCE}</author>
  </authors>
  <commentList>
    <comment ref="H22" authorId="0" shapeId="0" xr:uid="{6A49E117-26BE-48EB-912F-5E9B640B8BC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<sst xmlns="http://schemas.openxmlformats.org/spreadsheetml/2006/main" count="2534" uniqueCount="287">
  <si>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</si>
  <si>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</si>
  <si>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</si>
  <si>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</si>
  <si>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</si>
  <si>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</si>
  <si>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</si>
  <si>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</si>
  <si>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</si>
  <si>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</si>
  <si>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</si>
  <si>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</si>
  <si>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</si>
  <si>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</si>
  <si>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</si>
  <si>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</si>
  <si>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</si>
  <si>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</si>
  <si>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</si>
  <si>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</si>
  <si>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</si>
  <si>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</si>
  <si>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</si>
  <si>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</si>
  <si>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</si>
  <si>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</si>
  <si>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</si>
  <si>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</si>
  <si>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</si>
  <si>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</si>
  <si>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</si>
  <si>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</si>
  <si>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</si>
  <si>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</si>
  <si>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</si>
  <si>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</si>
  <si>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</si>
  <si>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</si>
  <si>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</si>
  <si>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</si>
  <si>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</si>
  <si>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</si>
  <si>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</si>
  <si>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</si>
  <si>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</si>
  <si>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</si>
  <si>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</si>
  <si>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</si>
  <si>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</si>
  <si>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</si>
  <si>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</si>
  <si>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</si>
  <si>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</si>
  <si>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</si>
  <si>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</si>
  <si>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</si>
  <si>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</si>
  <si>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</si>
  <si>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</si>
  <si>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</si>
  <si>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</si>
  <si>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</si>
  <si>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</si>
  <si>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</si>
  <si>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</si>
  <si>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</si>
  <si>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</si>
  <si>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</si>
  <si>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</si>
  <si>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</si>
  <si>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</si>
  <si>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</si>
  <si>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</si>
  <si>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</si>
  <si>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</si>
  <si>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</si>
  <si>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</si>
  <si>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</si>
  <si>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</si>
  <si>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</si>
  <si>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</si>
  <si>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</si>
  <si>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</si>
  <si>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</si>
  <si>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</si>
  <si>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</si>
  <si>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</si>
  <si>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</si>
  <si>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</si>
  <si>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</si>
  <si>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</si>
  <si>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</si>
  <si>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</si>
  <si>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</si>
  <si>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</si>
  <si>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</si>
  <si>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</si>
  <si>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</si>
  <si>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</si>
  <si>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</si>
  <si>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</si>
  <si>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</si>
  <si>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</si>
  <si>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</si>
  <si>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</si>
  <si>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</si>
  <si>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</si>
  <si>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</si>
  <si>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</si>
  <si>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</si>
  <si>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</si>
  <si>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</si>
  <si>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</si>
  <si>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</si>
  <si>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</si>
  <si>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</si>
  <si>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</si>
  <si>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</si>
  <si>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</si>
  <si>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</si>
  <si>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</si>
  <si>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</si>
  <si>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</si>
  <si>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</si>
  <si>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</si>
  <si>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</si>
  <si>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</si>
  <si>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</si>
  <si>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</si>
  <si>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</si>
  <si>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</si>
  <si>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</si>
  <si>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</si>
  <si>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</si>
  <si>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</si>
  <si>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</si>
  <si>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</si>
  <si>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</si>
  <si>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</si>
  <si>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</si>
  <si>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</si>
  <si>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</si>
  <si>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</si>
  <si>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</si>
  <si>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</si>
  <si>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</si>
  <si>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</si>
  <si>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</si>
  <si>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</si>
  <si>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</si>
  <si>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</si>
  <si>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</si>
  <si>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</si>
  <si>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</si>
  <si>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</si>
  <si>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</si>
  <si>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</si>
  <si>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</si>
  <si>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</si>
  <si>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</si>
  <si>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</si>
  <si>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</si>
  <si>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</si>
  <si>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</si>
  <si>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</si>
  <si>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</si>
  <si>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</si>
  <si>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</si>
  <si>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</si>
  <si>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</si>
  <si>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</si>
  <si>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</si>
  <si>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</si>
  <si>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</si>
  <si>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</si>
  <si>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</si>
  <si>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</si>
  <si>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</si>
  <si>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</si>
  <si>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</si>
  <si>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</si>
  <si>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</si>
  <si>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</si>
  <si>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</si>
  <si>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</si>
  <si>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</si>
  <si>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</si>
  <si>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</si>
  <si>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</si>
  <si>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</si>
  <si>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</si>
  <si>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</si>
  <si>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</si>
  <si>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</si>
  <si>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450x125X11.5/18 IA</t>
  </si>
  <si>
    <t>250X90X10/15 IA</t>
  </si>
  <si>
    <t>STRINGER</t>
    <phoneticPr fontId="5" type="noConversion"/>
  </si>
  <si>
    <t>350X100X12/17 IA</t>
  </si>
  <si>
    <t>400x100X13/18 IA</t>
  </si>
  <si>
    <t>300X90X13/17 IA</t>
  </si>
  <si>
    <t>300X90X11/16 IA</t>
  </si>
  <si>
    <t>250X90X10/15 IA</t>
    <phoneticPr fontId="5" type="noConversion"/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</si>
  <si>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</si>
  <si>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</si>
  <si>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</si>
  <si>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</si>
  <si>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</si>
  <si>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</si>
  <si>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</si>
  <si>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</si>
  <si>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</si>
  <si>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</si>
  <si>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</si>
  <si>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</si>
  <si>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</si>
  <si>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</si>
  <si>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</si>
  <si>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</si>
  <si>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</si>
  <si>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</si>
  <si>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</si>
  <si>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</si>
  <si>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</si>
  <si>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</si>
  <si>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</si>
  <si>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</si>
  <si>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</si>
  <si>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</si>
  <si>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</si>
  <si>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</si>
  <si>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</si>
  <si>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</si>
  <si>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</si>
  <si>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</si>
  <si>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</si>
  <si>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</si>
  <si>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</si>
  <si>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</si>
  <si>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</si>
  <si>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</si>
  <si>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</si>
  <si>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</si>
  <si>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</si>
  <si>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</si>
  <si>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</si>
  <si>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</si>
  <si>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</si>
  <si>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</si>
  <si>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</si>
  <si>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</si>
  <si>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</si>
  <si>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</si>
  <si>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</si>
  <si>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</si>
  <si>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</si>
  <si>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</si>
  <si>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</si>
  <si>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</si>
  <si>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</si>
  <si>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</si>
  <si>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</si>
  <si>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</si>
  <si>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y</t>
    <phoneticPr fontId="5" type="noConversion"/>
  </si>
  <si>
    <t>2. z is vertical distance in m, from base line to load point</t>
    <phoneticPr fontId="5" type="noConversion"/>
  </si>
  <si>
    <t>350X100X12/17 IA</t>
    <phoneticPr fontId="5" type="noConversion"/>
  </si>
  <si>
    <t>H =</t>
    <phoneticPr fontId="6" type="noConversion"/>
  </si>
  <si>
    <t>400X100X13/19 IA</t>
  </si>
  <si>
    <t>400X100X13/20 IA</t>
  </si>
  <si>
    <t>400X100X13/21 IA</t>
  </si>
  <si>
    <t>250X90X10/16 IA</t>
  </si>
  <si>
    <t>250X90X10/17 IA</t>
  </si>
  <si>
    <t>350X100X12/18 IA</t>
  </si>
  <si>
    <t>300X90X13/18 IA</t>
  </si>
  <si>
    <t>500X15+100X20 TB</t>
    <phoneticPr fontId="5" type="noConversion"/>
  </si>
  <si>
    <t>BTM</t>
  </si>
  <si>
    <t>SHL</t>
  </si>
  <si>
    <t>SHL</t>
    <phoneticPr fontId="5" type="noConversion"/>
  </si>
  <si>
    <t>MDK</t>
  </si>
  <si>
    <t>LBD</t>
  </si>
  <si>
    <t>500X15+100X20 TB</t>
  </si>
  <si>
    <t>No.</t>
    <phoneticPr fontId="5" type="noConversion"/>
  </si>
  <si>
    <t>Member Size</t>
    <phoneticPr fontId="5" type="noConversion"/>
  </si>
  <si>
    <t>Ratio</t>
    <phoneticPr fontId="5" type="noConversion"/>
  </si>
  <si>
    <t>Part.</t>
    <phoneticPr fontId="5" type="noConversion"/>
  </si>
  <si>
    <t>250X90X12/16 IA</t>
    <phoneticPr fontId="5" type="noConversion"/>
  </si>
  <si>
    <t>300X90X11/18 IA</t>
  </si>
  <si>
    <t>300X90X11/19 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</si>
</sst>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  <numFmt numFmtId="184" formatCode="0.00_ "/>
  </numFmts>
  <fonts count="5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8"/>
      <name val="맑은 고딕"/>
      <family val="2"/>
      <scheme val="minor"/>
    </font>
    <font>
      <b/>
      <sz val="8"/>
      <name val="맑은 고딕"/>
      <family val="3"/>
      <charset val="129"/>
      <scheme val="minor"/>
    </font>
    <font>
      <sz val="8"/>
      <color theme="1" tint="0.34998626667073579"/>
      <name val="맑은 고딕"/>
      <family val="3"/>
      <charset val="129"/>
      <scheme val="minor"/>
    </font>
    <font>
      <sz val="8"/>
      <color theme="1" tint="0.34998626667073579"/>
      <name val="맑은 고딕"/>
      <family val="3"/>
      <charset val="129"/>
    </font>
    <font>
      <sz val="8"/>
      <color theme="5" tint="0.39997558519241921"/>
      <name val="맑은 고딕"/>
      <family val="3"/>
      <charset val="129"/>
      <scheme val="minor"/>
    </font>
    <font>
      <sz val="8"/>
      <color theme="5" tint="0.39997558519241921"/>
      <name val="맑은 고딕"/>
      <family val="3"/>
      <charset val="129"/>
    </font>
    <font>
      <sz val="8"/>
      <color theme="6" tint="-0.249977111117893"/>
      <name val="맑은 고딕"/>
      <family val="3"/>
      <charset val="129"/>
      <scheme val="minor"/>
    </font>
    <font>
      <sz val="8"/>
      <color theme="6" tint="-0.249977111117893"/>
      <name val="맑은 고딕"/>
      <family val="3"/>
      <charset val="129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72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0" fontId="48" fillId="0" borderId="0" xfId="1" applyFont="1">
      <alignment vertical="center"/>
    </xf>
    <xf numFmtId="0" fontId="8" fillId="3" borderId="28" xfId="1" applyFont="1" applyFill="1" applyBorder="1" applyAlignment="1">
      <alignment horizontal="center" vertical="center"/>
    </xf>
    <xf numFmtId="0" fontId="8" fillId="3" borderId="29" xfId="1" applyFont="1" applyFill="1" applyBorder="1" applyAlignment="1">
      <alignment horizontal="center" vertical="center"/>
    </xf>
    <xf numFmtId="1" fontId="8" fillId="3" borderId="29" xfId="1" applyNumberFormat="1" applyFont="1" applyFill="1" applyBorder="1" applyAlignment="1">
      <alignment horizontal="center" vertical="center"/>
    </xf>
    <xf numFmtId="177" fontId="8" fillId="3" borderId="29" xfId="1" applyNumberFormat="1" applyFont="1" applyFill="1" applyBorder="1" applyAlignment="1">
      <alignment horizontal="center" vertical="center"/>
    </xf>
    <xf numFmtId="176" fontId="9" fillId="3" borderId="29" xfId="1" applyNumberFormat="1" applyFont="1" applyFill="1" applyBorder="1" applyAlignment="1">
      <alignment horizontal="center" vertical="center"/>
    </xf>
    <xf numFmtId="177" fontId="9" fillId="3" borderId="29" xfId="1" applyNumberFormat="1" applyFont="1" applyFill="1" applyBorder="1" applyAlignment="1">
      <alignment horizontal="center" vertical="center"/>
    </xf>
    <xf numFmtId="177" fontId="37" fillId="3" borderId="29" xfId="1" applyNumberFormat="1" applyFont="1" applyFill="1" applyBorder="1" applyAlignment="1">
      <alignment horizontal="center" vertical="center"/>
    </xf>
    <xf numFmtId="177" fontId="8" fillId="3" borderId="30" xfId="1" applyNumberFormat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29" xfId="1" applyFont="1" applyFill="1" applyBorder="1" applyAlignment="1">
      <alignment horizontal="center" vertical="center"/>
    </xf>
    <xf numFmtId="177" fontId="8" fillId="4" borderId="29" xfId="1" applyNumberFormat="1" applyFont="1" applyFill="1" applyBorder="1" applyAlignment="1">
      <alignment horizontal="center" vertical="center"/>
    </xf>
    <xf numFmtId="1" fontId="8" fillId="4" borderId="29" xfId="1" applyNumberFormat="1" applyFont="1" applyFill="1" applyBorder="1" applyAlignment="1">
      <alignment horizontal="center" vertical="center"/>
    </xf>
    <xf numFmtId="176" fontId="9" fillId="4" borderId="29" xfId="1" applyNumberFormat="1" applyFont="1" applyFill="1" applyBorder="1" applyAlignment="1">
      <alignment horizontal="center" vertical="center"/>
    </xf>
    <xf numFmtId="177" fontId="9" fillId="4" borderId="29" xfId="1" applyNumberFormat="1" applyFont="1" applyFill="1" applyBorder="1" applyAlignment="1">
      <alignment horizontal="center" vertical="center"/>
    </xf>
    <xf numFmtId="177" fontId="37" fillId="4" borderId="29" xfId="1" applyNumberFormat="1" applyFont="1" applyFill="1" applyBorder="1" applyAlignment="1">
      <alignment horizontal="center" vertical="center"/>
    </xf>
    <xf numFmtId="177" fontId="8" fillId="4" borderId="30" xfId="1" applyNumberFormat="1" applyFont="1" applyFill="1" applyBorder="1" applyAlignment="1">
      <alignment horizontal="center" vertical="center"/>
    </xf>
    <xf numFmtId="0" fontId="8" fillId="5" borderId="28" xfId="1" applyFont="1" applyFill="1" applyBorder="1" applyAlignment="1">
      <alignment horizontal="center" vertical="center"/>
    </xf>
    <xf numFmtId="0" fontId="8" fillId="5" borderId="29" xfId="1" applyFont="1" applyFill="1" applyBorder="1" applyAlignment="1">
      <alignment horizontal="center" vertical="center"/>
    </xf>
    <xf numFmtId="1" fontId="8" fillId="5" borderId="29" xfId="1" applyNumberFormat="1" applyFont="1" applyFill="1" applyBorder="1" applyAlignment="1">
      <alignment horizontal="center" vertical="center"/>
    </xf>
    <xf numFmtId="177" fontId="8" fillId="5" borderId="29" xfId="1" applyNumberFormat="1" applyFont="1" applyFill="1" applyBorder="1" applyAlignment="1">
      <alignment horizontal="center" vertical="center"/>
    </xf>
    <xf numFmtId="176" fontId="9" fillId="5" borderId="29" xfId="1" applyNumberFormat="1" applyFont="1" applyFill="1" applyBorder="1" applyAlignment="1">
      <alignment horizontal="center" vertical="center"/>
    </xf>
    <xf numFmtId="177" fontId="9" fillId="5" borderId="29" xfId="1" applyNumberFormat="1" applyFont="1" applyFill="1" applyBorder="1" applyAlignment="1">
      <alignment horizontal="center" vertical="center"/>
    </xf>
    <xf numFmtId="177" fontId="37" fillId="5" borderId="29" xfId="1" applyNumberFormat="1" applyFont="1" applyFill="1" applyBorder="1" applyAlignment="1">
      <alignment horizontal="center" vertical="center"/>
    </xf>
    <xf numFmtId="177" fontId="8" fillId="5" borderId="30" xfId="1" applyNumberFormat="1" applyFont="1" applyFill="1" applyBorder="1" applyAlignment="1">
      <alignment horizontal="center" vertical="center"/>
    </xf>
    <xf numFmtId="0" fontId="8" fillId="3" borderId="31" xfId="1" applyFont="1" applyFill="1" applyBorder="1" applyAlignment="1">
      <alignment horizontal="center" vertical="center"/>
    </xf>
    <xf numFmtId="0" fontId="8" fillId="3" borderId="32" xfId="1" applyFont="1" applyFill="1" applyBorder="1" applyAlignment="1">
      <alignment horizontal="center" vertical="center"/>
    </xf>
    <xf numFmtId="1" fontId="8" fillId="3" borderId="32" xfId="1" applyNumberFormat="1" applyFont="1" applyFill="1" applyBorder="1" applyAlignment="1">
      <alignment horizontal="center" vertical="center"/>
    </xf>
    <xf numFmtId="177" fontId="8" fillId="3" borderId="32" xfId="1" applyNumberFormat="1" applyFont="1" applyFill="1" applyBorder="1" applyAlignment="1">
      <alignment horizontal="center" vertical="center"/>
    </xf>
    <xf numFmtId="176" fontId="9" fillId="3" borderId="32" xfId="1" applyNumberFormat="1" applyFont="1" applyFill="1" applyBorder="1" applyAlignment="1">
      <alignment horizontal="center" vertical="center"/>
    </xf>
    <xf numFmtId="177" fontId="9" fillId="3" borderId="32" xfId="1" applyNumberFormat="1" applyFont="1" applyFill="1" applyBorder="1" applyAlignment="1">
      <alignment horizontal="center" vertical="center"/>
    </xf>
    <xf numFmtId="177" fontId="37" fillId="3" borderId="32" xfId="1" applyNumberFormat="1" applyFont="1" applyFill="1" applyBorder="1" applyAlignment="1">
      <alignment horizontal="center" vertical="center"/>
    </xf>
    <xf numFmtId="177" fontId="8" fillId="3" borderId="33" xfId="1" applyNumberFormat="1" applyFont="1" applyFill="1" applyBorder="1" applyAlignment="1">
      <alignment horizontal="center" vertical="center"/>
    </xf>
    <xf numFmtId="0" fontId="8" fillId="3" borderId="25" xfId="1" applyFont="1" applyFill="1" applyBorder="1" applyAlignment="1">
      <alignment horizontal="center" vertical="center"/>
    </xf>
    <xf numFmtId="0" fontId="8" fillId="3" borderId="26" xfId="1" applyFont="1" applyFill="1" applyBorder="1" applyAlignment="1">
      <alignment horizontal="center" vertical="center"/>
    </xf>
    <xf numFmtId="1" fontId="8" fillId="3" borderId="26" xfId="1" applyNumberFormat="1" applyFont="1" applyFill="1" applyBorder="1" applyAlignment="1">
      <alignment horizontal="center" vertical="center"/>
    </xf>
    <xf numFmtId="177" fontId="8" fillId="3" borderId="26" xfId="1" applyNumberFormat="1" applyFont="1" applyFill="1" applyBorder="1" applyAlignment="1">
      <alignment horizontal="center" vertical="center"/>
    </xf>
    <xf numFmtId="176" fontId="9" fillId="3" borderId="26" xfId="1" applyNumberFormat="1" applyFont="1" applyFill="1" applyBorder="1" applyAlignment="1">
      <alignment horizontal="center" vertical="center"/>
    </xf>
    <xf numFmtId="177" fontId="9" fillId="3" borderId="26" xfId="1" applyNumberFormat="1" applyFont="1" applyFill="1" applyBorder="1" applyAlignment="1">
      <alignment horizontal="center" vertical="center"/>
    </xf>
    <xf numFmtId="177" fontId="37" fillId="3" borderId="26" xfId="1" applyNumberFormat="1" applyFont="1" applyFill="1" applyBorder="1" applyAlignment="1">
      <alignment horizontal="center" vertical="center"/>
    </xf>
    <xf numFmtId="177" fontId="8" fillId="3" borderId="27" xfId="1" applyNumberFormat="1" applyFont="1" applyFill="1" applyBorder="1" applyAlignment="1">
      <alignment horizontal="center" vertical="center"/>
    </xf>
    <xf numFmtId="0" fontId="8" fillId="3" borderId="34" xfId="1" applyFont="1" applyFill="1" applyBorder="1" applyAlignment="1">
      <alignment horizontal="center" vertical="center"/>
    </xf>
    <xf numFmtId="0" fontId="8" fillId="3" borderId="35" xfId="1" applyFont="1" applyFill="1" applyBorder="1" applyAlignment="1">
      <alignment horizontal="center" vertical="center"/>
    </xf>
    <xf numFmtId="1" fontId="8" fillId="3" borderId="35" xfId="1" applyNumberFormat="1" applyFont="1" applyFill="1" applyBorder="1" applyAlignment="1">
      <alignment horizontal="center" vertical="center"/>
    </xf>
    <xf numFmtId="177" fontId="8" fillId="3" borderId="35" xfId="1" applyNumberFormat="1" applyFont="1" applyFill="1" applyBorder="1" applyAlignment="1">
      <alignment horizontal="center" vertical="center"/>
    </xf>
    <xf numFmtId="176" fontId="9" fillId="3" borderId="35" xfId="1" applyNumberFormat="1" applyFont="1" applyFill="1" applyBorder="1" applyAlignment="1">
      <alignment horizontal="center" vertical="center"/>
    </xf>
    <xf numFmtId="177" fontId="9" fillId="3" borderId="35" xfId="1" applyNumberFormat="1" applyFont="1" applyFill="1" applyBorder="1" applyAlignment="1">
      <alignment horizontal="center" vertical="center"/>
    </xf>
    <xf numFmtId="177" fontId="37" fillId="3" borderId="35" xfId="1" applyNumberFormat="1" applyFont="1" applyFill="1" applyBorder="1" applyAlignment="1">
      <alignment horizontal="center" vertical="center"/>
    </xf>
    <xf numFmtId="177" fontId="8" fillId="3" borderId="36" xfId="1" applyNumberFormat="1" applyFont="1" applyFill="1" applyBorder="1" applyAlignment="1">
      <alignment horizontal="center" vertical="center"/>
    </xf>
    <xf numFmtId="0" fontId="8" fillId="4" borderId="37" xfId="1" applyFont="1" applyFill="1" applyBorder="1" applyAlignment="1">
      <alignment horizontal="center" vertical="center"/>
    </xf>
    <xf numFmtId="0" fontId="8" fillId="4" borderId="38" xfId="1" applyFont="1" applyFill="1" applyBorder="1" applyAlignment="1">
      <alignment horizontal="center" vertical="center"/>
    </xf>
    <xf numFmtId="177" fontId="8" fillId="4" borderId="38" xfId="1" applyNumberFormat="1" applyFont="1" applyFill="1" applyBorder="1" applyAlignment="1">
      <alignment horizontal="center" vertical="center"/>
    </xf>
    <xf numFmtId="1" fontId="8" fillId="4" borderId="38" xfId="1" applyNumberFormat="1" applyFont="1" applyFill="1" applyBorder="1" applyAlignment="1">
      <alignment horizontal="center" vertical="center"/>
    </xf>
    <xf numFmtId="176" fontId="9" fillId="4" borderId="38" xfId="1" applyNumberFormat="1" applyFont="1" applyFill="1" applyBorder="1" applyAlignment="1">
      <alignment horizontal="center" vertical="center"/>
    </xf>
    <xf numFmtId="177" fontId="9" fillId="4" borderId="38" xfId="1" applyNumberFormat="1" applyFont="1" applyFill="1" applyBorder="1" applyAlignment="1">
      <alignment horizontal="center" vertical="center"/>
    </xf>
    <xf numFmtId="177" fontId="37" fillId="4" borderId="38" xfId="1" applyNumberFormat="1" applyFont="1" applyFill="1" applyBorder="1" applyAlignment="1">
      <alignment horizontal="center" vertical="center"/>
    </xf>
    <xf numFmtId="177" fontId="8" fillId="4" borderId="39" xfId="1" applyNumberFormat="1" applyFont="1" applyFill="1" applyBorder="1" applyAlignment="1">
      <alignment horizontal="center" vertical="center"/>
    </xf>
    <xf numFmtId="0" fontId="8" fillId="4" borderId="31" xfId="1" applyFont="1" applyFill="1" applyBorder="1" applyAlignment="1">
      <alignment horizontal="center" vertical="center"/>
    </xf>
    <xf numFmtId="0" fontId="8" fillId="4" borderId="32" xfId="1" applyFont="1" applyFill="1" applyBorder="1" applyAlignment="1">
      <alignment horizontal="center" vertical="center"/>
    </xf>
    <xf numFmtId="177" fontId="8" fillId="4" borderId="32" xfId="1" applyNumberFormat="1" applyFont="1" applyFill="1" applyBorder="1" applyAlignment="1">
      <alignment horizontal="center" vertical="center"/>
    </xf>
    <xf numFmtId="1" fontId="8" fillId="4" borderId="32" xfId="1" applyNumberFormat="1" applyFont="1" applyFill="1" applyBorder="1" applyAlignment="1">
      <alignment horizontal="center" vertical="center"/>
    </xf>
    <xf numFmtId="176" fontId="9" fillId="4" borderId="32" xfId="1" applyNumberFormat="1" applyFont="1" applyFill="1" applyBorder="1" applyAlignment="1">
      <alignment horizontal="center" vertical="center"/>
    </xf>
    <xf numFmtId="177" fontId="9" fillId="4" borderId="32" xfId="1" applyNumberFormat="1" applyFont="1" applyFill="1" applyBorder="1" applyAlignment="1">
      <alignment horizontal="center" vertical="center"/>
    </xf>
    <xf numFmtId="177" fontId="37" fillId="4" borderId="32" xfId="1" applyNumberFormat="1" applyFont="1" applyFill="1" applyBorder="1" applyAlignment="1">
      <alignment horizontal="center" vertical="center"/>
    </xf>
    <xf numFmtId="177" fontId="8" fillId="4" borderId="33" xfId="1" applyNumberFormat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177" fontId="8" fillId="4" borderId="26" xfId="1" applyNumberFormat="1" applyFont="1" applyFill="1" applyBorder="1" applyAlignment="1">
      <alignment horizontal="center" vertical="center"/>
    </xf>
    <xf numFmtId="1" fontId="8" fillId="4" borderId="26" xfId="1" applyNumberFormat="1" applyFont="1" applyFill="1" applyBorder="1" applyAlignment="1">
      <alignment horizontal="center" vertical="center"/>
    </xf>
    <xf numFmtId="176" fontId="9" fillId="4" borderId="26" xfId="1" applyNumberFormat="1" applyFont="1" applyFill="1" applyBorder="1" applyAlignment="1">
      <alignment horizontal="center" vertical="center"/>
    </xf>
    <xf numFmtId="177" fontId="9" fillId="4" borderId="26" xfId="1" applyNumberFormat="1" applyFont="1" applyFill="1" applyBorder="1" applyAlignment="1">
      <alignment horizontal="center" vertical="center"/>
    </xf>
    <xf numFmtId="177" fontId="37" fillId="4" borderId="26" xfId="1" applyNumberFormat="1" applyFont="1" applyFill="1" applyBorder="1" applyAlignment="1">
      <alignment horizontal="center" vertical="center"/>
    </xf>
    <xf numFmtId="177" fontId="8" fillId="4" borderId="27" xfId="1" applyNumberFormat="1" applyFont="1" applyFill="1" applyBorder="1" applyAlignment="1">
      <alignment horizontal="center" vertical="center"/>
    </xf>
    <xf numFmtId="0" fontId="8" fillId="5" borderId="37" xfId="1" applyFont="1" applyFill="1" applyBorder="1" applyAlignment="1">
      <alignment horizontal="center" vertical="center"/>
    </xf>
    <xf numFmtId="0" fontId="8" fillId="5" borderId="38" xfId="1" applyFont="1" applyFill="1" applyBorder="1" applyAlignment="1">
      <alignment horizontal="center" vertical="center"/>
    </xf>
    <xf numFmtId="1" fontId="8" fillId="5" borderId="38" xfId="1" applyNumberFormat="1" applyFont="1" applyFill="1" applyBorder="1" applyAlignment="1">
      <alignment horizontal="center" vertical="center"/>
    </xf>
    <xf numFmtId="177" fontId="8" fillId="5" borderId="38" xfId="1" applyNumberFormat="1" applyFont="1" applyFill="1" applyBorder="1" applyAlignment="1">
      <alignment horizontal="center" vertical="center"/>
    </xf>
    <xf numFmtId="176" fontId="9" fillId="5" borderId="38" xfId="1" applyNumberFormat="1" applyFont="1" applyFill="1" applyBorder="1" applyAlignment="1">
      <alignment horizontal="center" vertical="center"/>
    </xf>
    <xf numFmtId="177" fontId="9" fillId="5" borderId="38" xfId="1" applyNumberFormat="1" applyFont="1" applyFill="1" applyBorder="1" applyAlignment="1">
      <alignment horizontal="center" vertical="center"/>
    </xf>
    <xf numFmtId="177" fontId="37" fillId="5" borderId="38" xfId="1" applyNumberFormat="1" applyFont="1" applyFill="1" applyBorder="1" applyAlignment="1">
      <alignment horizontal="center" vertical="center"/>
    </xf>
    <xf numFmtId="177" fontId="8" fillId="5" borderId="39" xfId="1" applyNumberFormat="1" applyFont="1" applyFill="1" applyBorder="1" applyAlignment="1">
      <alignment horizontal="center" vertical="center"/>
    </xf>
    <xf numFmtId="0" fontId="8" fillId="5" borderId="31" xfId="1" applyFont="1" applyFill="1" applyBorder="1" applyAlignment="1">
      <alignment horizontal="center" vertical="center"/>
    </xf>
    <xf numFmtId="0" fontId="8" fillId="5" borderId="32" xfId="1" applyFont="1" applyFill="1" applyBorder="1" applyAlignment="1">
      <alignment horizontal="center" vertical="center"/>
    </xf>
    <xf numFmtId="1" fontId="8" fillId="5" borderId="32" xfId="1" applyNumberFormat="1" applyFont="1" applyFill="1" applyBorder="1" applyAlignment="1">
      <alignment horizontal="center" vertical="center"/>
    </xf>
    <xf numFmtId="177" fontId="8" fillId="5" borderId="32" xfId="1" applyNumberFormat="1" applyFont="1" applyFill="1" applyBorder="1" applyAlignment="1">
      <alignment horizontal="center" vertical="center"/>
    </xf>
    <xf numFmtId="176" fontId="9" fillId="5" borderId="32" xfId="1" applyNumberFormat="1" applyFont="1" applyFill="1" applyBorder="1" applyAlignment="1">
      <alignment horizontal="center" vertical="center"/>
    </xf>
    <xf numFmtId="177" fontId="9" fillId="5" borderId="32" xfId="1" applyNumberFormat="1" applyFont="1" applyFill="1" applyBorder="1" applyAlignment="1">
      <alignment horizontal="center" vertical="center"/>
    </xf>
    <xf numFmtId="177" fontId="37" fillId="5" borderId="32" xfId="1" applyNumberFormat="1" applyFont="1" applyFill="1" applyBorder="1" applyAlignment="1">
      <alignment horizontal="center" vertical="center"/>
    </xf>
    <xf numFmtId="177" fontId="8" fillId="5" borderId="33" xfId="1" applyNumberFormat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1" fontId="8" fillId="5" borderId="26" xfId="1" applyNumberFormat="1" applyFont="1" applyFill="1" applyBorder="1" applyAlignment="1">
      <alignment horizontal="center" vertical="center"/>
    </xf>
    <xf numFmtId="177" fontId="8" fillId="5" borderId="26" xfId="1" applyNumberFormat="1" applyFont="1" applyFill="1" applyBorder="1" applyAlignment="1">
      <alignment horizontal="center" vertical="center"/>
    </xf>
    <xf numFmtId="176" fontId="9" fillId="5" borderId="26" xfId="1" applyNumberFormat="1" applyFont="1" applyFill="1" applyBorder="1" applyAlignment="1">
      <alignment horizontal="center" vertical="center"/>
    </xf>
    <xf numFmtId="177" fontId="9" fillId="5" borderId="26" xfId="1" applyNumberFormat="1" applyFont="1" applyFill="1" applyBorder="1" applyAlignment="1">
      <alignment horizontal="center" vertical="center"/>
    </xf>
    <xf numFmtId="177" fontId="37" fillId="5" borderId="26" xfId="1" applyNumberFormat="1" applyFont="1" applyFill="1" applyBorder="1" applyAlignment="1">
      <alignment horizontal="center" vertical="center"/>
    </xf>
    <xf numFmtId="177" fontId="8" fillId="5" borderId="27" xfId="1" applyNumberFormat="1" applyFont="1" applyFill="1" applyBorder="1" applyAlignment="1">
      <alignment horizontal="center" vertical="center"/>
    </xf>
    <xf numFmtId="0" fontId="8" fillId="4" borderId="40" xfId="1" applyFont="1" applyFill="1" applyBorder="1" applyAlignment="1">
      <alignment horizontal="center" vertical="center"/>
    </xf>
    <xf numFmtId="0" fontId="8" fillId="4" borderId="41" xfId="1" applyFont="1" applyFill="1" applyBorder="1" applyAlignment="1">
      <alignment horizontal="center" vertical="center"/>
    </xf>
    <xf numFmtId="177" fontId="8" fillId="4" borderId="41" xfId="1" applyNumberFormat="1" applyFont="1" applyFill="1" applyBorder="1" applyAlignment="1">
      <alignment horizontal="center" vertical="center"/>
    </xf>
    <xf numFmtId="1" fontId="8" fillId="4" borderId="41" xfId="1" applyNumberFormat="1" applyFont="1" applyFill="1" applyBorder="1" applyAlignment="1">
      <alignment horizontal="center" vertical="center"/>
    </xf>
    <xf numFmtId="176" fontId="9" fillId="4" borderId="41" xfId="1" applyNumberFormat="1" applyFont="1" applyFill="1" applyBorder="1" applyAlignment="1">
      <alignment horizontal="center" vertical="center"/>
    </xf>
    <xf numFmtId="177" fontId="9" fillId="4" borderId="41" xfId="1" applyNumberFormat="1" applyFont="1" applyFill="1" applyBorder="1" applyAlignment="1">
      <alignment horizontal="center" vertical="center"/>
    </xf>
    <xf numFmtId="177" fontId="37" fillId="4" borderId="41" xfId="1" applyNumberFormat="1" applyFont="1" applyFill="1" applyBorder="1" applyAlignment="1">
      <alignment horizontal="center" vertical="center"/>
    </xf>
    <xf numFmtId="177" fontId="8" fillId="4" borderId="42" xfId="1" applyNumberFormat="1" applyFont="1" applyFill="1" applyBorder="1" applyAlignment="1">
      <alignment horizontal="center" vertical="center"/>
    </xf>
    <xf numFmtId="0" fontId="8" fillId="3" borderId="37" xfId="1" applyFont="1" applyFill="1" applyBorder="1" applyAlignment="1">
      <alignment horizontal="center" vertical="center"/>
    </xf>
    <xf numFmtId="0" fontId="8" fillId="3" borderId="38" xfId="1" applyFont="1" applyFill="1" applyBorder="1" applyAlignment="1">
      <alignment horizontal="center" vertical="center"/>
    </xf>
    <xf numFmtId="1" fontId="8" fillId="3" borderId="38" xfId="1" applyNumberFormat="1" applyFont="1" applyFill="1" applyBorder="1" applyAlignment="1">
      <alignment horizontal="center" vertical="center"/>
    </xf>
    <xf numFmtId="177" fontId="8" fillId="3" borderId="38" xfId="1" applyNumberFormat="1" applyFont="1" applyFill="1" applyBorder="1" applyAlignment="1">
      <alignment horizontal="center" vertical="center"/>
    </xf>
    <xf numFmtId="176" fontId="9" fillId="3" borderId="38" xfId="1" applyNumberFormat="1" applyFont="1" applyFill="1" applyBorder="1" applyAlignment="1">
      <alignment horizontal="center" vertical="center"/>
    </xf>
    <xf numFmtId="177" fontId="9" fillId="3" borderId="38" xfId="1" applyNumberFormat="1" applyFont="1" applyFill="1" applyBorder="1" applyAlignment="1">
      <alignment horizontal="center" vertical="center"/>
    </xf>
    <xf numFmtId="177" fontId="37" fillId="3" borderId="38" xfId="1" applyNumberFormat="1" applyFont="1" applyFill="1" applyBorder="1" applyAlignment="1">
      <alignment horizontal="center" vertical="center"/>
    </xf>
    <xf numFmtId="177" fontId="8" fillId="3" borderId="39" xfId="1" applyNumberFormat="1" applyFont="1" applyFill="1" applyBorder="1" applyAlignment="1">
      <alignment horizontal="center"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9" fontId="8" fillId="6" borderId="2" xfId="4" applyFont="1" applyFill="1" applyBorder="1" applyAlignment="1">
      <alignment horizontal="center" vertical="center"/>
    </xf>
    <xf numFmtId="9" fontId="8" fillId="5" borderId="2" xfId="4" applyFont="1" applyFill="1" applyBorder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9" fontId="8" fillId="8" borderId="2" xfId="4" applyFont="1" applyFill="1" applyBorder="1" applyAlignment="1">
      <alignment horizontal="center" vertical="center"/>
    </xf>
    <xf numFmtId="0" fontId="49" fillId="8" borderId="2" xfId="1" applyFont="1" applyFill="1" applyBorder="1">
      <alignment vertical="center"/>
    </xf>
    <xf numFmtId="0" fontId="50" fillId="8" borderId="2" xfId="1" applyFont="1" applyFill="1" applyBorder="1">
      <alignment vertical="center"/>
    </xf>
    <xf numFmtId="176" fontId="8" fillId="6" borderId="2" xfId="1" applyNumberFormat="1" applyFont="1" applyFill="1" applyBorder="1">
      <alignment vertical="center"/>
    </xf>
    <xf numFmtId="176" fontId="8" fillId="5" borderId="2" xfId="1" applyNumberFormat="1" applyFont="1" applyFill="1" applyBorder="1">
      <alignment vertical="center"/>
    </xf>
    <xf numFmtId="176" fontId="8" fillId="7" borderId="2" xfId="1" applyNumberFormat="1" applyFont="1" applyFill="1" applyBorder="1">
      <alignment vertical="center"/>
    </xf>
    <xf numFmtId="176" fontId="5" fillId="8" borderId="2" xfId="1" applyNumberFormat="1" applyFont="1" applyFill="1" applyBorder="1">
      <alignment vertical="center"/>
    </xf>
    <xf numFmtId="0" fontId="5" fillId="8" borderId="2" xfId="1" applyFont="1" applyFill="1" applyBorder="1">
      <alignment vertical="center"/>
    </xf>
    <xf numFmtId="177" fontId="21" fillId="5" borderId="2" xfId="0" applyNumberFormat="1" applyFont="1" applyFill="1" applyBorder="1" applyAlignment="1">
      <alignment horizontal="center" vertical="center" wrapText="1"/>
    </xf>
    <xf numFmtId="177" fontId="21" fillId="7" borderId="2" xfId="0" applyNumberFormat="1" applyFont="1" applyFill="1" applyBorder="1" applyAlignment="1">
      <alignment horizontal="center" vertical="center" wrapText="1"/>
    </xf>
    <xf numFmtId="177" fontId="21" fillId="8" borderId="2" xfId="0" applyNumberFormat="1" applyFont="1" applyFill="1" applyBorder="1" applyAlignment="1">
      <alignment horizontal="center" vertical="center" wrapText="1"/>
    </xf>
    <xf numFmtId="184" fontId="8" fillId="0" borderId="0" xfId="1" applyNumberFormat="1" applyFont="1">
      <alignment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>
      <alignment vertical="center"/>
    </xf>
    <xf numFmtId="181" fontId="8" fillId="0" borderId="0" xfId="1" applyNumberFormat="1" applyFont="1">
      <alignment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8" borderId="24" xfId="1" applyFont="1" applyFill="1" applyBorder="1">
      <alignment vertical="center"/>
    </xf>
    <xf numFmtId="0" fontId="8" fillId="8" borderId="43" xfId="1" applyFont="1" applyFill="1" applyBorder="1">
      <alignment vertical="center"/>
    </xf>
    <xf numFmtId="0" fontId="8" fillId="8" borderId="24" xfId="1" applyFont="1" applyFill="1" applyBorder="1" applyAlignment="1">
      <alignment horizontal="center" vertical="center"/>
    </xf>
    <xf numFmtId="0" fontId="8" fillId="8" borderId="43" xfId="1" applyFont="1" applyFill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/>
    </xf>
    <xf numFmtId="0" fontId="8" fillId="5" borderId="43" xfId="1" applyFont="1" applyFill="1" applyBorder="1" applyAlignment="1">
      <alignment horizontal="center" vertical="center"/>
    </xf>
    <xf numFmtId="176" fontId="8" fillId="8" borderId="2" xfId="1" applyNumberFormat="1" applyFont="1" applyFill="1" applyBorder="1">
      <alignment vertical="center"/>
    </xf>
    <xf numFmtId="9" fontId="8" fillId="6" borderId="2" xfId="4" applyNumberFormat="1" applyFont="1" applyFill="1" applyBorder="1" applyAlignment="1">
      <alignment horizontal="center" vertical="center"/>
    </xf>
    <xf numFmtId="9" fontId="8" fillId="5" borderId="2" xfId="4" applyNumberFormat="1" applyFont="1" applyFill="1" applyBorder="1" applyAlignment="1">
      <alignment horizontal="center" vertical="center"/>
    </xf>
    <xf numFmtId="9" fontId="8" fillId="7" borderId="2" xfId="4" applyNumberFormat="1" applyFont="1" applyFill="1" applyBorder="1" applyAlignment="1">
      <alignment horizontal="center" vertical="center"/>
    </xf>
    <xf numFmtId="9" fontId="8" fillId="8" borderId="2" xfId="4" applyNumberFormat="1" applyFont="1" applyFill="1" applyBorder="1" applyAlignment="1">
      <alignment horizontal="center" vertical="center"/>
    </xf>
    <xf numFmtId="0" fontId="51" fillId="8" borderId="2" xfId="1" applyFont="1" applyFill="1" applyBorder="1" applyAlignment="1">
      <alignment horizontal="center" vertical="center"/>
    </xf>
    <xf numFmtId="0" fontId="51" fillId="8" borderId="24" xfId="1" applyFont="1" applyFill="1" applyBorder="1" applyAlignment="1">
      <alignment horizontal="center" vertical="center"/>
    </xf>
    <xf numFmtId="0" fontId="51" fillId="8" borderId="43" xfId="1" applyFont="1" applyFill="1" applyBorder="1" applyAlignment="1">
      <alignment horizontal="center" vertical="center"/>
    </xf>
    <xf numFmtId="176" fontId="51" fillId="8" borderId="2" xfId="1" applyNumberFormat="1" applyFont="1" applyFill="1" applyBorder="1">
      <alignment vertical="center"/>
    </xf>
    <xf numFmtId="176" fontId="51" fillId="8" borderId="2" xfId="1" applyNumberFormat="1" applyFont="1" applyFill="1" applyBorder="1" applyAlignment="1">
      <alignment horizontal="center" vertical="center"/>
    </xf>
    <xf numFmtId="177" fontId="51" fillId="8" borderId="2" xfId="1" applyNumberFormat="1" applyFont="1" applyFill="1" applyBorder="1" applyAlignment="1">
      <alignment horizontal="center" vertical="center"/>
    </xf>
    <xf numFmtId="1" fontId="51" fillId="8" borderId="2" xfId="1" applyNumberFormat="1" applyFont="1" applyFill="1" applyBorder="1" applyAlignment="1">
      <alignment horizontal="center" vertical="center"/>
    </xf>
    <xf numFmtId="177" fontId="52" fillId="8" borderId="2" xfId="0" applyNumberFormat="1" applyFont="1" applyFill="1" applyBorder="1" applyAlignment="1">
      <alignment horizontal="center" vertical="center" wrapText="1"/>
    </xf>
    <xf numFmtId="9" fontId="51" fillId="8" borderId="2" xfId="4" applyNumberFormat="1" applyFont="1" applyFill="1" applyBorder="1" applyAlignment="1">
      <alignment horizontal="center" vertical="center"/>
    </xf>
    <xf numFmtId="0" fontId="53" fillId="5" borderId="2" xfId="1" applyFont="1" applyFill="1" applyBorder="1" applyAlignment="1">
      <alignment horizontal="center" vertical="center"/>
    </xf>
    <xf numFmtId="0" fontId="53" fillId="5" borderId="24" xfId="1" applyFont="1" applyFill="1" applyBorder="1" applyAlignment="1">
      <alignment horizontal="center" vertical="center"/>
    </xf>
    <xf numFmtId="0" fontId="53" fillId="5" borderId="43" xfId="1" applyFont="1" applyFill="1" applyBorder="1" applyAlignment="1">
      <alignment horizontal="center" vertical="center"/>
    </xf>
    <xf numFmtId="176" fontId="53" fillId="5" borderId="2" xfId="1" applyNumberFormat="1" applyFont="1" applyFill="1" applyBorder="1">
      <alignment vertical="center"/>
    </xf>
    <xf numFmtId="176" fontId="53" fillId="5" borderId="2" xfId="1" applyNumberFormat="1" applyFont="1" applyFill="1" applyBorder="1" applyAlignment="1">
      <alignment horizontal="center" vertical="center"/>
    </xf>
    <xf numFmtId="177" fontId="53" fillId="5" borderId="2" xfId="1" applyNumberFormat="1" applyFont="1" applyFill="1" applyBorder="1" applyAlignment="1">
      <alignment horizontal="center" vertical="center"/>
    </xf>
    <xf numFmtId="1" fontId="53" fillId="5" borderId="2" xfId="1" applyNumberFormat="1" applyFont="1" applyFill="1" applyBorder="1" applyAlignment="1">
      <alignment horizontal="center" vertical="center"/>
    </xf>
    <xf numFmtId="177" fontId="54" fillId="5" borderId="2" xfId="0" applyNumberFormat="1" applyFont="1" applyFill="1" applyBorder="1" applyAlignment="1">
      <alignment horizontal="center" vertical="center" wrapText="1"/>
    </xf>
    <xf numFmtId="9" fontId="53" fillId="5" borderId="2" xfId="4" applyNumberFormat="1" applyFont="1" applyFill="1" applyBorder="1" applyAlignment="1">
      <alignment horizontal="center" vertical="center"/>
    </xf>
    <xf numFmtId="0" fontId="55" fillId="8" borderId="2" xfId="1" applyFont="1" applyFill="1" applyBorder="1" applyAlignment="1">
      <alignment horizontal="center" vertical="center"/>
    </xf>
    <xf numFmtId="0" fontId="55" fillId="8" borderId="24" xfId="1" applyFont="1" applyFill="1" applyBorder="1" applyAlignment="1">
      <alignment horizontal="center" vertical="center"/>
    </xf>
    <xf numFmtId="0" fontId="55" fillId="8" borderId="43" xfId="1" applyFont="1" applyFill="1" applyBorder="1" applyAlignment="1">
      <alignment horizontal="center" vertical="center"/>
    </xf>
    <xf numFmtId="176" fontId="55" fillId="8" borderId="2" xfId="1" applyNumberFormat="1" applyFont="1" applyFill="1" applyBorder="1">
      <alignment vertical="center"/>
    </xf>
    <xf numFmtId="176" fontId="55" fillId="8" borderId="2" xfId="1" applyNumberFormat="1" applyFont="1" applyFill="1" applyBorder="1" applyAlignment="1">
      <alignment horizontal="center" vertical="center"/>
    </xf>
    <xf numFmtId="177" fontId="55" fillId="8" borderId="2" xfId="1" applyNumberFormat="1" applyFont="1" applyFill="1" applyBorder="1" applyAlignment="1">
      <alignment horizontal="center" vertical="center"/>
    </xf>
    <xf numFmtId="1" fontId="55" fillId="8" borderId="2" xfId="1" applyNumberFormat="1" applyFont="1" applyFill="1" applyBorder="1" applyAlignment="1">
      <alignment horizontal="center" vertical="center"/>
    </xf>
    <xf numFmtId="177" fontId="56" fillId="8" borderId="2" xfId="0" applyNumberFormat="1" applyFont="1" applyFill="1" applyBorder="1" applyAlignment="1">
      <alignment horizontal="center" vertical="center" wrapText="1"/>
    </xf>
    <xf numFmtId="0" fontId="8" fillId="2" borderId="44" xfId="1" applyFont="1" applyFill="1" applyBorder="1" applyAlignment="1">
      <alignment horizontal="center" vertical="center"/>
    </xf>
    <xf numFmtId="0" fontId="8" fillId="2" borderId="45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46" xfId="1" applyFont="1" applyFill="1" applyBorder="1" applyAlignment="1">
      <alignment horizontal="center" vertical="center"/>
    </xf>
    <xf numFmtId="0" fontId="8" fillId="2" borderId="47" xfId="1" applyFont="1" applyFill="1" applyBorder="1" applyAlignment="1">
      <alignment horizontal="center" vertical="center"/>
    </xf>
    <xf numFmtId="0" fontId="11" fillId="2" borderId="44" xfId="1" applyFont="1" applyFill="1" applyBorder="1" applyAlignment="1">
      <alignment horizontal="center" vertical="center"/>
    </xf>
    <xf numFmtId="0" fontId="11" fillId="2" borderId="45" xfId="1" applyFont="1" applyFill="1" applyBorder="1" applyAlignment="1">
      <alignment horizontal="center" vertical="center"/>
    </xf>
    <xf numFmtId="9" fontId="55" fillId="8" borderId="2" xfId="4" applyNumberFormat="1" applyFont="1" applyFill="1" applyBorder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55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7C3-ADF4-424AD7F0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'Stiffeners(FR#6)'!$AB$8:$AB$16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'Stiffeners(FR#6)'!$AC$8:$AC$16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C-43E1-828B-5D43C133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'Stiffeners(FR#9)'!$AB$8:$AB$16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'Stiffeners(FR#9)'!$AC$8:$AC$16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0-4B19-9D43-2BD4334A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'Stiffeners(FR#11)'!$AB$8:$AB$16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'Stiffeners(FR#11)'!$AC$8:$AC$16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7-4D9F-B26F-12AE40844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EC147E0A-A952-41B7-B829-31A857AADC31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0BAB375-1E88-4466-9CF0-6B118366AD3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813DFEA-617A-49FA-BD3F-DCA67AC14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8342E21-C915-4984-B12C-4DCD7450BBF2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C56BCB65-0DB8-495B-8302-3D7ADCE7A73F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84F5726-7E22-48DC-9A51-28F65623CB34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03BA235-0D4E-4EFC-B866-F0B2E9F2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DAEB156-FF3A-4D57-8567-88ADB66CBD25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448892</xdr:colOff>
      <xdr:row>5</xdr:row>
      <xdr:rowOff>80486</xdr:rowOff>
    </xdr:from>
    <xdr:to>
      <xdr:col>14</xdr:col>
      <xdr:colOff>359665</xdr:colOff>
      <xdr:row>7</xdr:row>
      <xdr:rowOff>140399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C160A613-229B-4021-907A-A3AE5A3A4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7978" y="835917"/>
          <a:ext cx="2793454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B14587F2-E09C-48E1-BC0E-64C15AD62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324082</xdr:colOff>
      <xdr:row>5</xdr:row>
      <xdr:rowOff>100193</xdr:rowOff>
    </xdr:from>
    <xdr:to>
      <xdr:col>14</xdr:col>
      <xdr:colOff>257082</xdr:colOff>
      <xdr:row>8</xdr:row>
      <xdr:rowOff>12194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8737" y="855624"/>
          <a:ext cx="2790281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337188</xdr:colOff>
      <xdr:row>5</xdr:row>
      <xdr:rowOff>145685</xdr:rowOff>
    </xdr:from>
    <xdr:to>
      <xdr:col>14</xdr:col>
      <xdr:colOff>286976</xdr:colOff>
      <xdr:row>8</xdr:row>
      <xdr:rowOff>57166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5380" y="915012"/>
          <a:ext cx="2821942" cy="37307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42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3E78113E-AF31-4B4D-9491-414B6D18CD06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38F9E61-2F17-4631-9BE8-CC7068513F0E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54C7483-EDDD-4A39-863D-70C28B86E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A860F64-4AF8-4725-8ACE-2F59FAF062FE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315207</xdr:colOff>
      <xdr:row>5</xdr:row>
      <xdr:rowOff>126879</xdr:rowOff>
    </xdr:from>
    <xdr:to>
      <xdr:col>14</xdr:col>
      <xdr:colOff>268170</xdr:colOff>
      <xdr:row>8</xdr:row>
      <xdr:rowOff>32010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2754BF4-F865-428A-BC38-D88194FA6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399" y="896206"/>
          <a:ext cx="2825117" cy="36672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C5FEFF5-62DD-4D83-A86B-3684B9A5C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269971</xdr:colOff>
      <xdr:row>5</xdr:row>
      <xdr:rowOff>131987</xdr:rowOff>
    </xdr:from>
    <xdr:to>
      <xdr:col>14</xdr:col>
      <xdr:colOff>240138</xdr:colOff>
      <xdr:row>8</xdr:row>
      <xdr:rowOff>43468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4341" y="877422"/>
          <a:ext cx="2811101" cy="358742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72488682-E9B7-4BDC-BA86-16B17F91F3C1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DA43D06-C18E-4F6D-B35A-615BA5140867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088A3F3-21A6-4AD2-993B-A47E8E4B8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68AEF3B3-8645-444F-B822-4DDF420BE777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297478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508FA85-1D45-4E3A-B06B-C8C9352C5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51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9C99B39B-19D1-42ED-803B-3700B2D6D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DDC5685-97AA-4F89-9A08-A22A033B9833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78CF5EB5-3DAC-4751-8167-69E91F90C00C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881CF64-5709-41B7-BC22-52F530621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DC33B17-9A45-404B-A8A1-F54221521ACF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306937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F5221BE4-9770-4BDC-A5A8-A5ED15C2C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8279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6EFC5D6-902A-42D8-A424-28B236E20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79133B-1168-4A40-8B8E-B85FA73FAC3F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A3B1F923-EAB0-4E08-AE22-4AF8EC84C5DD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6FF8239-4377-43E9-84AE-EF2AB7798B4F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65962696-1358-48E6-9505-BF5A9D9A58EA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AA980EC-B9E3-4ECE-BD66-3B96BB3A86D9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ABDBE2E-AB47-482C-B338-7830B3B497D1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13A608B6-9EC4-4266-82AC-A5285670D423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C4D3102C-056A-462B-8A67-174EBDA97B8C}">
    <text>From Aqwa .ahd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A6DF9B23-9ED1-4BFF-8E43-A58DA6562E26}">
    <text>From Aqwa .ahd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26BE6ECB-0CF8-4434-8EB5-E36D344D0C0D}">
    <text>From Aqwa .ahd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DD6A082-F922-4BB0-A104-ABD1C2131EDA}">
    <text>From Aqwa .ahd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A49E117-26BE-48EB-912F-5E9B640B8BCE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zoomScale="160" zoomScaleNormal="160" workbookViewId="0">
      <selection activeCell="E4" sqref="E4"/>
    </sheetView>
  </sheetViews>
  <sheetFormatPr defaultColWidth="11.08203125" defaultRowHeight="16" x14ac:dyDescent="0.45"/>
  <cols>
    <col min="1" max="1" width="7.33203125" style="145" customWidth="1"/>
    <col min="2" max="2" width="8.1640625" style="145" customWidth="1"/>
    <col min="3" max="3" width="13" style="146" bestFit="1" customWidth="1"/>
    <col min="4" max="13" width="11.08203125" style="146"/>
    <col min="14" max="14" width="11.5" style="146" bestFit="1" customWidth="1"/>
    <col min="15" max="16384" width="11.08203125" style="146"/>
  </cols>
  <sheetData>
    <row r="1" spans="1:14" x14ac:dyDescent="0.45">
      <c r="A1" s="144" t="s">
        <v>231</v>
      </c>
    </row>
    <row r="2" spans="1:14" x14ac:dyDescent="0.45">
      <c r="A2" s="147"/>
      <c r="B2" s="147"/>
      <c r="C2" s="147" t="s">
        <v>211</v>
      </c>
      <c r="D2" s="147" t="s">
        <v>212</v>
      </c>
      <c r="E2" s="147" t="s">
        <v>213</v>
      </c>
      <c r="F2" s="147" t="s">
        <v>214</v>
      </c>
      <c r="G2" s="147" t="s">
        <v>215</v>
      </c>
      <c r="H2" s="147" t="s">
        <v>216</v>
      </c>
      <c r="I2" s="147" t="s">
        <v>217</v>
      </c>
      <c r="K2" s="145"/>
    </row>
    <row r="3" spans="1:14" x14ac:dyDescent="0.45">
      <c r="A3" s="147" t="s">
        <v>58</v>
      </c>
      <c r="B3" s="147" t="s">
        <v>127</v>
      </c>
      <c r="C3" s="148">
        <v>0</v>
      </c>
      <c r="D3" s="148">
        <v>8000</v>
      </c>
      <c r="E3" s="149">
        <v>16000</v>
      </c>
      <c r="F3" s="148">
        <v>24000</v>
      </c>
      <c r="G3" s="148">
        <v>30000</v>
      </c>
      <c r="H3" s="148">
        <v>36000</v>
      </c>
      <c r="I3" s="148">
        <v>44000</v>
      </c>
      <c r="K3" s="145"/>
      <c r="N3" s="150"/>
    </row>
    <row r="4" spans="1:14" x14ac:dyDescent="0.45">
      <c r="A4" s="147" t="s">
        <v>218</v>
      </c>
      <c r="B4" s="147" t="s">
        <v>37</v>
      </c>
      <c r="C4" s="151">
        <v>11.9</v>
      </c>
      <c r="D4" s="151">
        <v>11.9</v>
      </c>
      <c r="E4" s="151">
        <v>10.9</v>
      </c>
      <c r="F4" s="151">
        <v>9.9</v>
      </c>
      <c r="G4" s="151">
        <v>9.15</v>
      </c>
      <c r="H4" s="151">
        <v>8.4</v>
      </c>
      <c r="I4" s="151">
        <v>8.4</v>
      </c>
    </row>
    <row r="5" spans="1:14" x14ac:dyDescent="0.45">
      <c r="A5" s="147" t="s">
        <v>219</v>
      </c>
      <c r="B5" s="147" t="s">
        <v>37</v>
      </c>
      <c r="C5" s="152">
        <v>5.92</v>
      </c>
      <c r="D5" s="152">
        <v>6.0910000000000002</v>
      </c>
      <c r="E5" s="153">
        <v>5.5289999999999999</v>
      </c>
      <c r="F5" s="153">
        <v>5.141</v>
      </c>
      <c r="G5" s="153">
        <v>4.7869999999999999</v>
      </c>
      <c r="H5" s="153">
        <v>4.4139999999999997</v>
      </c>
      <c r="I5" s="153">
        <v>4.2270000000000003</v>
      </c>
    </row>
    <row r="6" spans="1:14" x14ac:dyDescent="0.45">
      <c r="A6" s="147" t="s">
        <v>220</v>
      </c>
      <c r="B6" s="147" t="s">
        <v>221</v>
      </c>
      <c r="C6" s="152">
        <v>27.497900000000001</v>
      </c>
      <c r="D6" s="152">
        <v>29.331</v>
      </c>
      <c r="E6" s="152">
        <v>24.526599999999998</v>
      </c>
      <c r="F6" s="152">
        <v>20.13</v>
      </c>
      <c r="G6" s="152">
        <v>17.173200000000001</v>
      </c>
      <c r="H6" s="152">
        <v>13.648899999999999</v>
      </c>
      <c r="I6" s="152">
        <v>13.8017</v>
      </c>
      <c r="J6" s="154">
        <f>C5*J8</f>
        <v>25.682567901234567</v>
      </c>
    </row>
    <row r="7" spans="1:14" x14ac:dyDescent="0.45">
      <c r="A7" s="147" t="s">
        <v>222</v>
      </c>
      <c r="B7" s="147" t="s">
        <v>221</v>
      </c>
      <c r="C7" s="155">
        <v>47.635100000000001</v>
      </c>
      <c r="D7" s="155">
        <v>26.389500000000002</v>
      </c>
      <c r="E7" s="155">
        <v>24.861000000000001</v>
      </c>
      <c r="F7" s="155">
        <v>23.638000000000002</v>
      </c>
      <c r="G7" s="155">
        <v>22.721800000000002</v>
      </c>
      <c r="H7" s="155">
        <v>21.754100000000001</v>
      </c>
      <c r="I7" s="155">
        <v>30.643799999999999</v>
      </c>
    </row>
    <row r="8" spans="1:14" x14ac:dyDescent="0.45">
      <c r="A8" s="147" t="s">
        <v>223</v>
      </c>
      <c r="B8" s="147" t="s">
        <v>224</v>
      </c>
      <c r="C8" s="156">
        <f t="shared" ref="C8:E8" si="0">C6/(C4-C5)</f>
        <v>4.5983110367892976</v>
      </c>
      <c r="D8" s="156">
        <f t="shared" si="0"/>
        <v>5.0492339473231187</v>
      </c>
      <c r="E8" s="156">
        <f t="shared" si="0"/>
        <v>4.5664866877676404</v>
      </c>
      <c r="F8" s="156">
        <f>F6/(F4-F5)</f>
        <v>4.2298802269384321</v>
      </c>
      <c r="G8" s="156">
        <f>G6/(G4-G5)</f>
        <v>3.9360990144396055</v>
      </c>
      <c r="H8" s="156">
        <f>H6/(H4-H5)</f>
        <v>3.4242097340692417</v>
      </c>
      <c r="I8" s="156">
        <f>I6/(I4-I5)</f>
        <v>3.3073807812125571</v>
      </c>
      <c r="J8" s="154">
        <f>C10/243000</f>
        <v>4.3382716049382717</v>
      </c>
    </row>
    <row r="9" spans="1:14" x14ac:dyDescent="0.45">
      <c r="A9" s="147" t="s">
        <v>225</v>
      </c>
      <c r="B9" s="147" t="s">
        <v>224</v>
      </c>
      <c r="C9" s="156">
        <f t="shared" ref="C9:H9" si="1">C6/C5</f>
        <v>4.6449155405405405</v>
      </c>
      <c r="D9" s="156">
        <f t="shared" si="1"/>
        <v>4.8154654408143163</v>
      </c>
      <c r="E9" s="156">
        <f t="shared" si="1"/>
        <v>4.4359920419605716</v>
      </c>
      <c r="F9" s="156">
        <f t="shared" si="1"/>
        <v>3.9155806263372881</v>
      </c>
      <c r="G9" s="156">
        <f t="shared" si="1"/>
        <v>3.5874660538959686</v>
      </c>
      <c r="H9" s="156">
        <f t="shared" si="1"/>
        <v>3.092183960126869</v>
      </c>
      <c r="I9" s="156">
        <f>I6/I5</f>
        <v>3.2651289330494437</v>
      </c>
    </row>
    <row r="10" spans="1:14" x14ac:dyDescent="0.45">
      <c r="A10" s="147" t="s">
        <v>226</v>
      </c>
      <c r="B10" s="147" t="s">
        <v>227</v>
      </c>
      <c r="C10" s="157">
        <f>VLOOKUP(C3,'Global BM'!$D$3:$J$58,7, FALSE)</f>
        <v>1054200</v>
      </c>
      <c r="D10" s="157">
        <f>VLOOKUP(D3,'Global BM'!$D$3:$J$58,7, FALSE)</f>
        <v>855120</v>
      </c>
      <c r="E10" s="157">
        <f>VLOOKUP(E3,'Global BM'!$D$3:$J$58,7, FALSE)</f>
        <v>731745</v>
      </c>
      <c r="F10" s="157">
        <f>VLOOKUP(F3,'Global BM'!$D$3:$J$58,7, FALSE)</f>
        <v>731745</v>
      </c>
      <c r="G10" s="157">
        <f>VLOOKUP(G3,'Global BM'!$D$3:$J$58,7, FALSE)</f>
        <v>731745</v>
      </c>
      <c r="H10" s="157">
        <f>VLOOKUP(H3,'Global BM'!$D$3:$J$58,7, FALSE)</f>
        <v>731745</v>
      </c>
      <c r="I10" s="157">
        <f>VLOOKUP(I3,'Global BM'!$D$3:$J$58,7, FALSE)</f>
        <v>731745</v>
      </c>
    </row>
    <row r="11" spans="1:14" x14ac:dyDescent="0.45">
      <c r="A11" s="158" t="s">
        <v>232</v>
      </c>
      <c r="B11" s="158" t="s">
        <v>228</v>
      </c>
      <c r="C11" s="159">
        <f>C10/(C8*1000)</f>
        <v>229.25808879950833</v>
      </c>
      <c r="D11" s="159">
        <f>D10/(D8*1000)</f>
        <v>169.35638334867548</v>
      </c>
      <c r="E11" s="159">
        <f t="shared" ref="E11:G11" si="2">E10/(E8*1000)</f>
        <v>160.24244677207605</v>
      </c>
      <c r="F11" s="159">
        <f>F10/(F8*1000)</f>
        <v>172.99426005961251</v>
      </c>
      <c r="G11" s="159">
        <f t="shared" si="2"/>
        <v>185.90614649570261</v>
      </c>
      <c r="H11" s="159">
        <f>H10/(H8*1000)</f>
        <v>213.6974825810139</v>
      </c>
      <c r="I11" s="159">
        <f>I10/(I8*1000)</f>
        <v>221.24607004934174</v>
      </c>
      <c r="J11" s="160">
        <f>I10/(I8*1000)</f>
        <v>221.24607004934174</v>
      </c>
    </row>
    <row r="12" spans="1:14" x14ac:dyDescent="0.45">
      <c r="A12" s="158" t="s">
        <v>233</v>
      </c>
      <c r="B12" s="158" t="s">
        <v>228</v>
      </c>
      <c r="C12" s="159">
        <f>C10/(C9*1000)</f>
        <v>226.95784041690456</v>
      </c>
      <c r="D12" s="159">
        <f>D10/(D9*1000)</f>
        <v>177.57785005625448</v>
      </c>
      <c r="E12" s="159">
        <f t="shared" ref="E12:G12" si="3">E10/(E9*1000)</f>
        <v>164.95633740510303</v>
      </c>
      <c r="F12" s="159">
        <f t="shared" si="3"/>
        <v>186.88033010432193</v>
      </c>
      <c r="G12" s="159">
        <f t="shared" si="3"/>
        <v>203.97266176367825</v>
      </c>
      <c r="H12" s="159">
        <f>H10/(H9*1000)</f>
        <v>236.64342401219147</v>
      </c>
      <c r="I12" s="159">
        <f>I10/(I9*1000)</f>
        <v>224.10906736126711</v>
      </c>
    </row>
    <row r="13" spans="1:14" x14ac:dyDescent="0.45">
      <c r="A13" s="147" t="s">
        <v>229</v>
      </c>
      <c r="B13" s="147"/>
      <c r="C13" s="156">
        <f>C11/$E$16</f>
        <v>0.94344892510085732</v>
      </c>
      <c r="D13" s="156">
        <f t="shared" ref="D13:I14" si="4">D11/$E$16</f>
        <v>0.69693984917150398</v>
      </c>
      <c r="E13" s="156">
        <f t="shared" si="4"/>
        <v>0.6594339373336463</v>
      </c>
      <c r="F13" s="156">
        <f t="shared" si="4"/>
        <v>0.7119105352247429</v>
      </c>
      <c r="G13" s="156">
        <f t="shared" si="4"/>
        <v>0.76504587035268568</v>
      </c>
      <c r="H13" s="156">
        <f t="shared" si="4"/>
        <v>0.87941350856384326</v>
      </c>
      <c r="I13" s="156">
        <f>I11/$E$16</f>
        <v>0.91047765452404006</v>
      </c>
    </row>
    <row r="14" spans="1:14" x14ac:dyDescent="0.45">
      <c r="A14" s="147" t="s">
        <v>230</v>
      </c>
      <c r="B14" s="147"/>
      <c r="C14" s="156">
        <f>C12/$E$16</f>
        <v>0.93398288237409288</v>
      </c>
      <c r="D14" s="156">
        <f t="shared" si="4"/>
        <v>0.73077304549898958</v>
      </c>
      <c r="E14" s="156">
        <f t="shared" si="4"/>
        <v>0.67883266421853095</v>
      </c>
      <c r="F14" s="156">
        <f t="shared" si="4"/>
        <v>0.76905485639638649</v>
      </c>
      <c r="G14" s="156">
        <f t="shared" si="4"/>
        <v>0.83939366980937546</v>
      </c>
      <c r="H14" s="156">
        <f t="shared" si="4"/>
        <v>0.97384125107897723</v>
      </c>
      <c r="I14" s="156">
        <f t="shared" si="4"/>
        <v>0.9222595364661198</v>
      </c>
    </row>
    <row r="16" spans="1:14" x14ac:dyDescent="0.45">
      <c r="A16" s="146" t="s">
        <v>234</v>
      </c>
      <c r="D16" s="145" t="s">
        <v>235</v>
      </c>
      <c r="E16" s="145">
        <f>ROUND(175/VLOOKUP(D16,A19:B21,2,FALSE),0)</f>
        <v>243</v>
      </c>
      <c r="F16" s="145" t="s">
        <v>236</v>
      </c>
      <c r="G16" s="161" t="s">
        <v>237</v>
      </c>
    </row>
    <row r="17" spans="1:9" x14ac:dyDescent="0.45">
      <c r="E17" s="145"/>
    </row>
    <row r="18" spans="1:9" x14ac:dyDescent="0.45">
      <c r="A18" s="146" t="s">
        <v>238</v>
      </c>
      <c r="B18" s="146"/>
      <c r="C18" s="154"/>
      <c r="D18" s="154"/>
      <c r="E18" s="154"/>
      <c r="F18" s="154"/>
      <c r="G18" s="154"/>
      <c r="H18" s="154"/>
    </row>
    <row r="19" spans="1:9" x14ac:dyDescent="0.45">
      <c r="A19" s="145" t="s">
        <v>239</v>
      </c>
      <c r="B19" s="162">
        <v>1</v>
      </c>
      <c r="C19" s="154"/>
      <c r="D19" s="154"/>
      <c r="E19" s="154"/>
      <c r="F19" s="154"/>
      <c r="G19" s="154"/>
      <c r="H19" s="154"/>
    </row>
    <row r="20" spans="1:9" x14ac:dyDescent="0.45">
      <c r="A20" s="145" t="s">
        <v>240</v>
      </c>
      <c r="B20" s="145">
        <v>0.78</v>
      </c>
    </row>
    <row r="21" spans="1:9" x14ac:dyDescent="0.45">
      <c r="A21" s="145" t="s">
        <v>241</v>
      </c>
      <c r="B21" s="145">
        <v>0.72</v>
      </c>
    </row>
    <row r="23" spans="1:9" x14ac:dyDescent="0.45">
      <c r="A23" s="163" t="s">
        <v>242</v>
      </c>
    </row>
    <row r="24" spans="1:9" x14ac:dyDescent="0.45">
      <c r="A24" s="147"/>
      <c r="B24" s="147"/>
      <c r="C24" s="147" t="s">
        <v>211</v>
      </c>
      <c r="D24" s="147" t="s">
        <v>212</v>
      </c>
      <c r="E24" s="147" t="s">
        <v>213</v>
      </c>
      <c r="F24" s="147" t="s">
        <v>214</v>
      </c>
      <c r="G24" s="147" t="s">
        <v>215</v>
      </c>
      <c r="H24" s="147" t="s">
        <v>216</v>
      </c>
      <c r="I24" s="147" t="s">
        <v>217</v>
      </c>
    </row>
    <row r="25" spans="1:9" x14ac:dyDescent="0.45">
      <c r="A25" s="147" t="s">
        <v>58</v>
      </c>
      <c r="B25" s="147" t="s">
        <v>127</v>
      </c>
      <c r="C25" s="148">
        <v>0</v>
      </c>
      <c r="D25" s="148">
        <v>8000</v>
      </c>
      <c r="E25" s="148">
        <v>16000</v>
      </c>
      <c r="F25" s="148">
        <v>24000</v>
      </c>
      <c r="G25" s="148">
        <v>30000</v>
      </c>
      <c r="H25" s="148">
        <v>36000</v>
      </c>
      <c r="I25" s="148">
        <v>44000</v>
      </c>
    </row>
    <row r="26" spans="1:9" x14ac:dyDescent="0.45">
      <c r="A26" s="147" t="s">
        <v>218</v>
      </c>
      <c r="B26" s="147" t="s">
        <v>37</v>
      </c>
      <c r="C26" s="151">
        <v>11.9</v>
      </c>
      <c r="D26" s="151">
        <v>11.9</v>
      </c>
      <c r="E26" s="151">
        <v>10.9</v>
      </c>
      <c r="F26" s="151">
        <v>9.9</v>
      </c>
      <c r="G26" s="151">
        <v>9.15</v>
      </c>
      <c r="H26" s="151">
        <v>8.4</v>
      </c>
      <c r="I26" s="151">
        <v>8.4</v>
      </c>
    </row>
    <row r="27" spans="1:9" x14ac:dyDescent="0.45">
      <c r="A27" s="147" t="s">
        <v>243</v>
      </c>
      <c r="B27" s="147" t="s">
        <v>227</v>
      </c>
      <c r="C27" s="157">
        <f>VLOOKUP(C25,'Global SF'!$D$3:$J$58,7,FALSE)</f>
        <v>21871.5</v>
      </c>
      <c r="D27" s="157">
        <f>VLOOKUP(D25,'Global SF'!$D$3:$J$58,7,FALSE)</f>
        <v>27825</v>
      </c>
      <c r="E27" s="157">
        <f>VLOOKUP(E25,'Global SF'!$D$3:$J$58,7,FALSE)</f>
        <v>35311.5</v>
      </c>
      <c r="F27" s="157">
        <f>VLOOKUP(F25,'Global SF'!$D$3:$J$58,7,FALSE)</f>
        <v>42798</v>
      </c>
      <c r="G27" s="157">
        <f>VLOOKUP(G25,'Global SF'!$D$3:$J$58,7,FALSE)</f>
        <v>48421.40625</v>
      </c>
      <c r="H27" s="157">
        <f>VLOOKUP(H25,'Global SF'!$D$3:$J$58,7,FALSE)</f>
        <v>54033</v>
      </c>
      <c r="I27" s="157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7.5" customHeight="1" x14ac:dyDescent="0.45">
      <c r="B1" s="164" t="s">
        <v>244</v>
      </c>
    </row>
    <row r="2" spans="2:10" ht="32" x14ac:dyDescent="0.45">
      <c r="B2" s="166" t="s">
        <v>245</v>
      </c>
      <c r="C2" s="166" t="s">
        <v>246</v>
      </c>
      <c r="D2" s="167" t="s">
        <v>247</v>
      </c>
      <c r="E2" s="168" t="s">
        <v>248</v>
      </c>
      <c r="F2" s="168" t="s">
        <v>249</v>
      </c>
      <c r="G2" s="168" t="s">
        <v>250</v>
      </c>
      <c r="H2" s="168" t="s">
        <v>251</v>
      </c>
      <c r="I2" s="169" t="s">
        <v>252</v>
      </c>
      <c r="J2" s="169" t="s">
        <v>253</v>
      </c>
    </row>
    <row r="3" spans="2:10" x14ac:dyDescent="0.45">
      <c r="B3" s="166">
        <v>1</v>
      </c>
      <c r="C3" s="166">
        <v>0</v>
      </c>
      <c r="D3" s="170">
        <v>0</v>
      </c>
      <c r="E3" s="171">
        <v>596300</v>
      </c>
      <c r="F3" s="171">
        <v>861800</v>
      </c>
      <c r="G3" s="171">
        <v>1004000</v>
      </c>
      <c r="H3" s="171">
        <v>1145000</v>
      </c>
      <c r="I3" s="172">
        <f>ABS(H3*1.05)</f>
        <v>1202250</v>
      </c>
      <c r="J3" s="172">
        <f>ABS(G3*1.05)</f>
        <v>1054200</v>
      </c>
    </row>
    <row r="4" spans="2:10" x14ac:dyDescent="0.45">
      <c r="B4" s="166">
        <v>2</v>
      </c>
      <c r="C4" s="166"/>
      <c r="D4" s="170">
        <v>800</v>
      </c>
      <c r="E4" s="171">
        <v>591000</v>
      </c>
      <c r="F4" s="171">
        <v>848800</v>
      </c>
      <c r="G4" s="171">
        <v>986800</v>
      </c>
      <c r="H4" s="171">
        <v>1125000</v>
      </c>
      <c r="I4" s="172">
        <f t="shared" ref="I4:I18" si="0">ABS(H4*1.05)</f>
        <v>1181250</v>
      </c>
      <c r="J4" s="172">
        <f t="shared" ref="J4:J18" si="1">ABS(G4*1.05)</f>
        <v>1036140</v>
      </c>
    </row>
    <row r="5" spans="2:10" x14ac:dyDescent="0.45">
      <c r="B5" s="166">
        <v>3</v>
      </c>
      <c r="C5" s="166"/>
      <c r="D5" s="170">
        <v>1600</v>
      </c>
      <c r="E5" s="171">
        <v>585100</v>
      </c>
      <c r="F5" s="171">
        <v>835300</v>
      </c>
      <c r="G5" s="171">
        <v>969400</v>
      </c>
      <c r="H5" s="171">
        <v>1104000</v>
      </c>
      <c r="I5" s="172">
        <f t="shared" si="0"/>
        <v>1159200</v>
      </c>
      <c r="J5" s="172">
        <f t="shared" si="1"/>
        <v>1017870</v>
      </c>
    </row>
    <row r="6" spans="2:10" x14ac:dyDescent="0.45">
      <c r="B6" s="166">
        <v>4</v>
      </c>
      <c r="C6" s="166"/>
      <c r="D6" s="170">
        <v>2400</v>
      </c>
      <c r="E6" s="171">
        <v>578700</v>
      </c>
      <c r="F6" s="171">
        <v>821400</v>
      </c>
      <c r="G6" s="171">
        <v>951600</v>
      </c>
      <c r="H6" s="171">
        <v>1082000</v>
      </c>
      <c r="I6" s="172">
        <f t="shared" si="0"/>
        <v>1136100</v>
      </c>
      <c r="J6" s="172">
        <f t="shared" si="1"/>
        <v>999180</v>
      </c>
    </row>
    <row r="7" spans="2:10" x14ac:dyDescent="0.45">
      <c r="B7" s="166">
        <v>5</v>
      </c>
      <c r="C7" s="166"/>
      <c r="D7" s="170">
        <v>3200</v>
      </c>
      <c r="E7" s="171">
        <v>571800</v>
      </c>
      <c r="F7" s="171">
        <v>807000</v>
      </c>
      <c r="G7" s="171">
        <v>933400</v>
      </c>
      <c r="H7" s="171">
        <v>1060000</v>
      </c>
      <c r="I7" s="172">
        <f t="shared" si="0"/>
        <v>1113000</v>
      </c>
      <c r="J7" s="172">
        <f t="shared" si="1"/>
        <v>980070</v>
      </c>
    </row>
    <row r="8" spans="2:10" x14ac:dyDescent="0.45">
      <c r="B8" s="166">
        <v>6</v>
      </c>
      <c r="C8" s="166">
        <v>1</v>
      </c>
      <c r="D8" s="170">
        <v>4000</v>
      </c>
      <c r="E8" s="171">
        <v>564300</v>
      </c>
      <c r="F8" s="171">
        <v>792200</v>
      </c>
      <c r="G8" s="171">
        <v>914700</v>
      </c>
      <c r="H8" s="171">
        <v>1037000</v>
      </c>
      <c r="I8" s="172">
        <f t="shared" si="0"/>
        <v>1088850</v>
      </c>
      <c r="J8" s="172">
        <f t="shared" si="1"/>
        <v>960435</v>
      </c>
    </row>
    <row r="9" spans="2:10" x14ac:dyDescent="0.45">
      <c r="B9" s="166">
        <v>7</v>
      </c>
      <c r="C9" s="166"/>
      <c r="D9" s="170">
        <v>4800</v>
      </c>
      <c r="E9" s="171">
        <v>556300</v>
      </c>
      <c r="F9" s="171">
        <v>776900</v>
      </c>
      <c r="G9" s="171">
        <v>895500</v>
      </c>
      <c r="H9" s="171">
        <v>1014000</v>
      </c>
      <c r="I9" s="172">
        <f t="shared" si="0"/>
        <v>1064700</v>
      </c>
      <c r="J9" s="172">
        <f t="shared" si="1"/>
        <v>940275</v>
      </c>
    </row>
    <row r="10" spans="2:10" x14ac:dyDescent="0.45">
      <c r="B10" s="166">
        <v>8</v>
      </c>
      <c r="C10" s="166"/>
      <c r="D10" s="170">
        <v>5600</v>
      </c>
      <c r="E10" s="171">
        <v>547800</v>
      </c>
      <c r="F10" s="171">
        <v>761100</v>
      </c>
      <c r="G10" s="171">
        <v>875900</v>
      </c>
      <c r="H10" s="171">
        <v>990700</v>
      </c>
      <c r="I10" s="172">
        <f t="shared" si="0"/>
        <v>1040235</v>
      </c>
      <c r="J10" s="172">
        <f t="shared" si="1"/>
        <v>919695</v>
      </c>
    </row>
    <row r="11" spans="2:10" x14ac:dyDescent="0.45">
      <c r="B11" s="166">
        <v>9</v>
      </c>
      <c r="C11" s="166"/>
      <c r="D11" s="170">
        <v>6400</v>
      </c>
      <c r="E11" s="171">
        <v>538800</v>
      </c>
      <c r="F11" s="171">
        <v>744900</v>
      </c>
      <c r="G11" s="171">
        <v>855900</v>
      </c>
      <c r="H11" s="171">
        <v>966800</v>
      </c>
      <c r="I11" s="172">
        <f t="shared" si="0"/>
        <v>1015140</v>
      </c>
      <c r="J11" s="172">
        <f t="shared" si="1"/>
        <v>898695</v>
      </c>
    </row>
    <row r="12" spans="2:10" x14ac:dyDescent="0.45">
      <c r="B12" s="166">
        <v>10</v>
      </c>
      <c r="C12" s="166"/>
      <c r="D12" s="170">
        <v>7200</v>
      </c>
      <c r="E12" s="171">
        <v>529300</v>
      </c>
      <c r="F12" s="171">
        <v>728300</v>
      </c>
      <c r="G12" s="171">
        <v>835300</v>
      </c>
      <c r="H12" s="171">
        <v>942400</v>
      </c>
      <c r="I12" s="172">
        <f t="shared" si="0"/>
        <v>989520</v>
      </c>
      <c r="J12" s="172">
        <f t="shared" si="1"/>
        <v>877065</v>
      </c>
    </row>
    <row r="13" spans="2:10" x14ac:dyDescent="0.45">
      <c r="B13" s="173">
        <v>11</v>
      </c>
      <c r="C13" s="173">
        <v>2</v>
      </c>
      <c r="D13" s="173">
        <v>8000</v>
      </c>
      <c r="E13" s="173">
        <v>519200</v>
      </c>
      <c r="F13" s="173">
        <v>711100</v>
      </c>
      <c r="G13" s="173">
        <v>814400</v>
      </c>
      <c r="H13" s="173">
        <v>917600</v>
      </c>
      <c r="I13" s="173">
        <f t="shared" si="0"/>
        <v>963480</v>
      </c>
      <c r="J13" s="173">
        <f t="shared" si="1"/>
        <v>855120</v>
      </c>
    </row>
    <row r="14" spans="2:10" x14ac:dyDescent="0.45">
      <c r="B14" s="166">
        <v>12</v>
      </c>
      <c r="C14" s="166"/>
      <c r="D14" s="170">
        <v>8800</v>
      </c>
      <c r="E14" s="171">
        <v>508600</v>
      </c>
      <c r="F14" s="171">
        <v>693500</v>
      </c>
      <c r="G14" s="171">
        <v>792900</v>
      </c>
      <c r="H14" s="171">
        <v>892200</v>
      </c>
      <c r="I14" s="172">
        <f t="shared" si="0"/>
        <v>936810</v>
      </c>
      <c r="J14" s="172">
        <f t="shared" si="1"/>
        <v>832545</v>
      </c>
    </row>
    <row r="15" spans="2:10" x14ac:dyDescent="0.45">
      <c r="B15" s="166">
        <v>13</v>
      </c>
      <c r="C15" s="166"/>
      <c r="D15" s="170">
        <v>9600</v>
      </c>
      <c r="E15" s="171">
        <v>497400</v>
      </c>
      <c r="F15" s="171">
        <v>675300</v>
      </c>
      <c r="G15" s="171">
        <v>770800</v>
      </c>
      <c r="H15" s="171">
        <v>866300</v>
      </c>
      <c r="I15" s="172">
        <f t="shared" si="0"/>
        <v>909615</v>
      </c>
      <c r="J15" s="172">
        <f t="shared" si="1"/>
        <v>809340</v>
      </c>
    </row>
    <row r="16" spans="2:10" x14ac:dyDescent="0.45">
      <c r="B16" s="166">
        <v>14</v>
      </c>
      <c r="C16" s="166"/>
      <c r="D16" s="170">
        <v>10400</v>
      </c>
      <c r="E16" s="171">
        <v>485700</v>
      </c>
      <c r="F16" s="171">
        <v>656600</v>
      </c>
      <c r="G16" s="171">
        <v>748200</v>
      </c>
      <c r="H16" s="171">
        <v>839800</v>
      </c>
      <c r="I16" s="172">
        <f t="shared" si="0"/>
        <v>881790</v>
      </c>
      <c r="J16" s="172">
        <f t="shared" si="1"/>
        <v>785610</v>
      </c>
    </row>
    <row r="17" spans="2:28" x14ac:dyDescent="0.45">
      <c r="B17" s="166">
        <v>15</v>
      </c>
      <c r="C17" s="166"/>
      <c r="D17" s="170">
        <v>11200</v>
      </c>
      <c r="E17" s="171">
        <v>473400</v>
      </c>
      <c r="F17" s="171">
        <v>637200</v>
      </c>
      <c r="G17" s="171">
        <v>725000</v>
      </c>
      <c r="H17" s="171">
        <v>812800</v>
      </c>
      <c r="I17" s="172">
        <f t="shared" si="0"/>
        <v>853440</v>
      </c>
      <c r="J17" s="172">
        <f t="shared" si="1"/>
        <v>761250</v>
      </c>
    </row>
    <row r="18" spans="2:28" x14ac:dyDescent="0.45">
      <c r="B18" s="166">
        <v>16</v>
      </c>
      <c r="C18" s="166">
        <v>3</v>
      </c>
      <c r="D18" s="170">
        <v>12000</v>
      </c>
      <c r="E18" s="171">
        <v>460500</v>
      </c>
      <c r="F18" s="171">
        <v>617300</v>
      </c>
      <c r="G18" s="171">
        <v>701200</v>
      </c>
      <c r="H18" s="171">
        <v>785200</v>
      </c>
      <c r="I18" s="172">
        <f t="shared" si="0"/>
        <v>824460</v>
      </c>
      <c r="J18" s="172">
        <f t="shared" si="1"/>
        <v>736260</v>
      </c>
    </row>
    <row r="19" spans="2:28" x14ac:dyDescent="0.45">
      <c r="B19" s="166">
        <v>17</v>
      </c>
      <c r="C19" s="166"/>
      <c r="D19" s="170">
        <v>12800</v>
      </c>
      <c r="E19" s="171">
        <v>447100</v>
      </c>
      <c r="F19" s="171">
        <v>596800</v>
      </c>
      <c r="G19" s="171">
        <v>676900</v>
      </c>
      <c r="H19" s="171">
        <v>757000</v>
      </c>
      <c r="I19" s="172">
        <f t="shared" ref="I19:J34" si="2">I20</f>
        <v>805770</v>
      </c>
      <c r="J19" s="172">
        <f t="shared" si="2"/>
        <v>731745</v>
      </c>
    </row>
    <row r="20" spans="2:28" x14ac:dyDescent="0.45">
      <c r="B20" s="166">
        <v>18</v>
      </c>
      <c r="C20" s="166"/>
      <c r="D20" s="170">
        <v>13600</v>
      </c>
      <c r="E20" s="171">
        <v>433100</v>
      </c>
      <c r="F20" s="171">
        <v>575800</v>
      </c>
      <c r="G20" s="171">
        <v>652000</v>
      </c>
      <c r="H20" s="171">
        <v>728200</v>
      </c>
      <c r="I20" s="172">
        <f t="shared" si="2"/>
        <v>805770</v>
      </c>
      <c r="J20" s="172">
        <f t="shared" si="2"/>
        <v>731745</v>
      </c>
    </row>
    <row r="21" spans="2:28" x14ac:dyDescent="0.45">
      <c r="B21" s="166">
        <v>19</v>
      </c>
      <c r="C21" s="166"/>
      <c r="D21" s="170">
        <v>14400</v>
      </c>
      <c r="E21" s="171">
        <v>418500</v>
      </c>
      <c r="F21" s="171">
        <v>554200</v>
      </c>
      <c r="G21" s="171">
        <v>626500</v>
      </c>
      <c r="H21" s="171">
        <v>698900</v>
      </c>
      <c r="I21" s="172">
        <f t="shared" si="2"/>
        <v>805770</v>
      </c>
      <c r="J21" s="172">
        <f t="shared" si="2"/>
        <v>731745</v>
      </c>
    </row>
    <row r="22" spans="2:28" x14ac:dyDescent="0.45">
      <c r="B22" s="166">
        <v>20</v>
      </c>
      <c r="C22" s="166"/>
      <c r="D22" s="170">
        <v>15200</v>
      </c>
      <c r="E22" s="171">
        <v>403400</v>
      </c>
      <c r="F22" s="171">
        <v>532000</v>
      </c>
      <c r="G22" s="171">
        <v>600500</v>
      </c>
      <c r="H22" s="171">
        <v>669000</v>
      </c>
      <c r="I22" s="172">
        <f t="shared" si="2"/>
        <v>805770</v>
      </c>
      <c r="J22" s="172">
        <f t="shared" si="2"/>
        <v>731745</v>
      </c>
    </row>
    <row r="23" spans="2:28" x14ac:dyDescent="0.45">
      <c r="B23" s="166">
        <v>21</v>
      </c>
      <c r="C23" s="166">
        <v>4</v>
      </c>
      <c r="D23" s="170">
        <v>16000</v>
      </c>
      <c r="E23" s="171">
        <v>387700</v>
      </c>
      <c r="F23" s="171">
        <v>509200</v>
      </c>
      <c r="G23" s="171">
        <v>573800</v>
      </c>
      <c r="H23" s="171">
        <v>638500</v>
      </c>
      <c r="I23" s="172">
        <f t="shared" si="2"/>
        <v>805770</v>
      </c>
      <c r="J23" s="172">
        <f t="shared" si="2"/>
        <v>731745</v>
      </c>
    </row>
    <row r="24" spans="2:28" x14ac:dyDescent="0.45">
      <c r="B24" s="166">
        <v>22</v>
      </c>
      <c r="C24" s="166"/>
      <c r="D24" s="170">
        <v>16800</v>
      </c>
      <c r="E24" s="171">
        <v>371500</v>
      </c>
      <c r="F24" s="171">
        <v>485900</v>
      </c>
      <c r="G24" s="171">
        <v>546700</v>
      </c>
      <c r="H24" s="171">
        <v>607400</v>
      </c>
      <c r="I24" s="172">
        <f t="shared" si="2"/>
        <v>805770</v>
      </c>
      <c r="J24" s="172">
        <f t="shared" si="2"/>
        <v>731745</v>
      </c>
    </row>
    <row r="25" spans="2:28" x14ac:dyDescent="0.45">
      <c r="B25" s="166">
        <v>23</v>
      </c>
      <c r="C25" s="166"/>
      <c r="D25" s="170">
        <v>17600</v>
      </c>
      <c r="E25" s="171">
        <v>354700</v>
      </c>
      <c r="F25" s="171">
        <v>462000</v>
      </c>
      <c r="G25" s="171">
        <v>518900</v>
      </c>
      <c r="H25" s="171">
        <v>575800</v>
      </c>
      <c r="I25" s="172">
        <f t="shared" si="2"/>
        <v>805770</v>
      </c>
      <c r="J25" s="172">
        <f t="shared" si="2"/>
        <v>731745</v>
      </c>
    </row>
    <row r="26" spans="2:28" x14ac:dyDescent="0.45">
      <c r="B26" s="166">
        <v>24</v>
      </c>
      <c r="C26" s="166"/>
      <c r="D26" s="170">
        <v>18400</v>
      </c>
      <c r="E26" s="171">
        <v>337300</v>
      </c>
      <c r="F26" s="171">
        <v>437500</v>
      </c>
      <c r="G26" s="171">
        <v>490600</v>
      </c>
      <c r="H26" s="171">
        <v>543600</v>
      </c>
      <c r="I26" s="172">
        <f t="shared" si="2"/>
        <v>805770</v>
      </c>
      <c r="J26" s="172">
        <f t="shared" si="2"/>
        <v>731745</v>
      </c>
      <c r="AB26" s="165">
        <f>10.5-5.8</f>
        <v>4.7</v>
      </c>
    </row>
    <row r="27" spans="2:28" x14ac:dyDescent="0.45">
      <c r="B27" s="166">
        <v>25</v>
      </c>
      <c r="C27" s="166"/>
      <c r="D27" s="170">
        <v>19200</v>
      </c>
      <c r="E27" s="171">
        <v>319400</v>
      </c>
      <c r="F27" s="171">
        <v>412500</v>
      </c>
      <c r="G27" s="171">
        <v>461700</v>
      </c>
      <c r="H27" s="171">
        <v>510800</v>
      </c>
      <c r="I27" s="172">
        <f t="shared" si="2"/>
        <v>805770</v>
      </c>
      <c r="J27" s="172">
        <f t="shared" si="2"/>
        <v>731745</v>
      </c>
    </row>
    <row r="28" spans="2:28" x14ac:dyDescent="0.45">
      <c r="B28" s="166">
        <v>26</v>
      </c>
      <c r="C28" s="166">
        <v>5</v>
      </c>
      <c r="D28" s="170">
        <v>20000</v>
      </c>
      <c r="E28" s="171">
        <v>300900</v>
      </c>
      <c r="F28" s="171">
        <v>386900</v>
      </c>
      <c r="G28" s="171">
        <v>432200</v>
      </c>
      <c r="H28" s="171">
        <v>477500</v>
      </c>
      <c r="I28" s="172">
        <f t="shared" si="2"/>
        <v>805770</v>
      </c>
      <c r="J28" s="172">
        <f t="shared" si="2"/>
        <v>731745</v>
      </c>
    </row>
    <row r="29" spans="2:28" x14ac:dyDescent="0.45">
      <c r="B29" s="166">
        <v>27</v>
      </c>
      <c r="C29" s="166"/>
      <c r="D29" s="170">
        <v>20800</v>
      </c>
      <c r="E29" s="171">
        <v>281900</v>
      </c>
      <c r="F29" s="171">
        <v>360700</v>
      </c>
      <c r="G29" s="171">
        <v>402100</v>
      </c>
      <c r="H29" s="171">
        <v>443600</v>
      </c>
      <c r="I29" s="172">
        <f t="shared" si="2"/>
        <v>805770</v>
      </c>
      <c r="J29" s="172">
        <f t="shared" si="2"/>
        <v>731745</v>
      </c>
    </row>
    <row r="30" spans="2:28" x14ac:dyDescent="0.45">
      <c r="B30" s="173">
        <v>28</v>
      </c>
      <c r="C30" s="173"/>
      <c r="D30" s="173">
        <v>21600</v>
      </c>
      <c r="E30" s="174">
        <v>262300</v>
      </c>
      <c r="F30" s="174">
        <v>333900</v>
      </c>
      <c r="G30" s="174">
        <v>371500</v>
      </c>
      <c r="H30" s="174">
        <v>409100</v>
      </c>
      <c r="I30" s="173">
        <f t="shared" si="2"/>
        <v>805770</v>
      </c>
      <c r="J30" s="173">
        <f t="shared" si="2"/>
        <v>731745</v>
      </c>
    </row>
    <row r="31" spans="2:28" x14ac:dyDescent="0.45">
      <c r="B31" s="173">
        <v>29</v>
      </c>
      <c r="C31" s="173"/>
      <c r="D31" s="173">
        <v>22400</v>
      </c>
      <c r="E31" s="174">
        <v>242100</v>
      </c>
      <c r="F31" s="174">
        <v>306600</v>
      </c>
      <c r="G31" s="174">
        <v>340300</v>
      </c>
      <c r="H31" s="174">
        <v>374100</v>
      </c>
      <c r="I31" s="173">
        <f t="shared" si="2"/>
        <v>805770</v>
      </c>
      <c r="J31" s="173">
        <f t="shared" si="2"/>
        <v>731745</v>
      </c>
    </row>
    <row r="32" spans="2:28" x14ac:dyDescent="0.45">
      <c r="B32" s="166">
        <v>30</v>
      </c>
      <c r="C32" s="166"/>
      <c r="D32" s="170">
        <v>23200</v>
      </c>
      <c r="E32" s="171">
        <v>221400</v>
      </c>
      <c r="F32" s="171">
        <v>278700</v>
      </c>
      <c r="G32" s="171">
        <v>308600</v>
      </c>
      <c r="H32" s="171">
        <v>338500</v>
      </c>
      <c r="I32" s="172">
        <f t="shared" si="2"/>
        <v>805770</v>
      </c>
      <c r="J32" s="172">
        <f t="shared" si="2"/>
        <v>731745</v>
      </c>
    </row>
    <row r="33" spans="2:16" x14ac:dyDescent="0.45">
      <c r="B33" s="166">
        <v>31</v>
      </c>
      <c r="C33" s="166">
        <v>6</v>
      </c>
      <c r="D33" s="170">
        <v>24000</v>
      </c>
      <c r="E33" s="171">
        <v>200100</v>
      </c>
      <c r="F33" s="171">
        <v>250200</v>
      </c>
      <c r="G33" s="171">
        <v>276300</v>
      </c>
      <c r="H33" s="171">
        <v>302300</v>
      </c>
      <c r="I33" s="172">
        <f t="shared" si="2"/>
        <v>805770</v>
      </c>
      <c r="J33" s="172">
        <f t="shared" si="2"/>
        <v>731745</v>
      </c>
    </row>
    <row r="34" spans="2:16" x14ac:dyDescent="0.45">
      <c r="B34" s="166">
        <v>32</v>
      </c>
      <c r="C34" s="166"/>
      <c r="D34" s="170">
        <v>24800</v>
      </c>
      <c r="E34" s="171">
        <v>178200</v>
      </c>
      <c r="F34" s="171">
        <v>221200</v>
      </c>
      <c r="G34" s="171">
        <v>243400</v>
      </c>
      <c r="H34" s="171">
        <v>265500</v>
      </c>
      <c r="I34" s="172">
        <f t="shared" si="2"/>
        <v>805770</v>
      </c>
      <c r="J34" s="172">
        <f t="shared" si="2"/>
        <v>731745</v>
      </c>
    </row>
    <row r="35" spans="2:16" x14ac:dyDescent="0.45">
      <c r="B35" s="166">
        <v>33</v>
      </c>
      <c r="C35" s="166"/>
      <c r="D35" s="170">
        <v>25600</v>
      </c>
      <c r="E35" s="171">
        <v>155800</v>
      </c>
      <c r="F35" s="171">
        <v>191600</v>
      </c>
      <c r="G35" s="171">
        <v>209900</v>
      </c>
      <c r="H35" s="171">
        <v>228200</v>
      </c>
      <c r="I35" s="172">
        <f t="shared" ref="I35:J56" si="3">I36</f>
        <v>805770</v>
      </c>
      <c r="J35" s="172">
        <f t="shared" si="3"/>
        <v>731745</v>
      </c>
    </row>
    <row r="36" spans="2:16" x14ac:dyDescent="0.45">
      <c r="B36" s="166">
        <v>34</v>
      </c>
      <c r="C36" s="166"/>
      <c r="D36" s="170">
        <v>26400</v>
      </c>
      <c r="E36" s="171">
        <v>132800</v>
      </c>
      <c r="F36" s="171">
        <v>161400</v>
      </c>
      <c r="G36" s="171">
        <v>175900</v>
      </c>
      <c r="H36" s="171">
        <v>190300</v>
      </c>
      <c r="I36" s="172">
        <f t="shared" si="3"/>
        <v>805770</v>
      </c>
      <c r="J36" s="172">
        <f t="shared" si="3"/>
        <v>731745</v>
      </c>
    </row>
    <row r="37" spans="2:16" x14ac:dyDescent="0.45">
      <c r="B37" s="166">
        <v>35</v>
      </c>
      <c r="C37" s="166"/>
      <c r="D37" s="170">
        <v>27200</v>
      </c>
      <c r="E37" s="171">
        <v>109200</v>
      </c>
      <c r="F37" s="171">
        <v>131100</v>
      </c>
      <c r="G37" s="171">
        <v>142000</v>
      </c>
      <c r="H37" s="171">
        <v>152800</v>
      </c>
      <c r="I37" s="172">
        <f t="shared" si="3"/>
        <v>805770</v>
      </c>
      <c r="J37" s="172">
        <f t="shared" si="3"/>
        <v>731745</v>
      </c>
    </row>
    <row r="38" spans="2:16" x14ac:dyDescent="0.45">
      <c r="B38" s="166">
        <v>36</v>
      </c>
      <c r="C38" s="166">
        <v>7</v>
      </c>
      <c r="D38" s="170">
        <v>28000</v>
      </c>
      <c r="E38" s="171">
        <v>85140</v>
      </c>
      <c r="F38" s="171">
        <v>100300</v>
      </c>
      <c r="G38" s="171">
        <v>107500</v>
      </c>
      <c r="H38" s="171">
        <v>114700</v>
      </c>
      <c r="I38" s="172">
        <f t="shared" si="3"/>
        <v>805770</v>
      </c>
      <c r="J38" s="172">
        <f t="shared" si="3"/>
        <v>731745</v>
      </c>
    </row>
    <row r="39" spans="2:16" x14ac:dyDescent="0.45">
      <c r="B39" s="166">
        <v>37</v>
      </c>
      <c r="C39" s="166"/>
      <c r="D39" s="170">
        <v>28800</v>
      </c>
      <c r="E39" s="171">
        <v>60470</v>
      </c>
      <c r="F39" s="171">
        <v>68910</v>
      </c>
      <c r="G39" s="171">
        <v>72490</v>
      </c>
      <c r="H39" s="171">
        <v>76070</v>
      </c>
      <c r="I39" s="172">
        <f t="shared" si="3"/>
        <v>805770</v>
      </c>
      <c r="J39" s="172">
        <f t="shared" si="3"/>
        <v>731745</v>
      </c>
    </row>
    <row r="40" spans="2:16" x14ac:dyDescent="0.45">
      <c r="B40" s="166">
        <v>38</v>
      </c>
      <c r="C40" s="166"/>
      <c r="D40" s="170">
        <v>29600</v>
      </c>
      <c r="E40" s="171">
        <v>35230</v>
      </c>
      <c r="F40" s="171">
        <v>36930</v>
      </c>
      <c r="G40" s="171">
        <v>36890</v>
      </c>
      <c r="H40" s="171">
        <v>36860</v>
      </c>
      <c r="I40" s="172">
        <f t="shared" si="3"/>
        <v>805770</v>
      </c>
      <c r="J40" s="172">
        <f t="shared" si="3"/>
        <v>731745</v>
      </c>
    </row>
    <row r="41" spans="2:16" x14ac:dyDescent="0.45">
      <c r="B41" s="166">
        <v>39</v>
      </c>
      <c r="C41" s="166" t="s">
        <v>254</v>
      </c>
      <c r="D41" s="170">
        <f>D38+2000</f>
        <v>30000</v>
      </c>
      <c r="E41" s="171" cm="1">
        <f t="array" ref="E41">_xll.Intp_Lagrange(D39,D40,D42,D43,E39,E40,E42,E43,D41)</f>
        <v>11782.8125</v>
      </c>
      <c r="F41" s="171" cm="1">
        <f t="array" ref="F41">_xll.Intp_Lagrange(D39,D40,D42,D43,F39,F40,F42,F43,D41)</f>
        <v>11866.25</v>
      </c>
      <c r="G41" s="171" cm="1">
        <f t="array" ref="G41">_xll.Intp_Lagrange(D39,D40,D42,D43,G39,G40,G42,G43,D41)</f>
        <v>10785.9375</v>
      </c>
      <c r="H41" s="171" cm="1">
        <f t="array" ref="H41">_xll.Intp_Lagrange(D39,D40,D42,D43,H39,H40,H42,H43,D41)</f>
        <v>10158.4375</v>
      </c>
      <c r="I41" s="172">
        <f t="shared" si="3"/>
        <v>805770</v>
      </c>
      <c r="J41" s="172">
        <f t="shared" si="3"/>
        <v>731745</v>
      </c>
      <c r="N41" s="175"/>
      <c r="O41" s="176"/>
      <c r="P41" s="176"/>
    </row>
    <row r="42" spans="2:16" x14ac:dyDescent="0.45">
      <c r="B42" s="166">
        <v>40</v>
      </c>
      <c r="C42" s="166"/>
      <c r="D42" s="170">
        <v>31200</v>
      </c>
      <c r="E42" s="171">
        <v>-65470</v>
      </c>
      <c r="F42" s="171">
        <v>-64520</v>
      </c>
      <c r="G42" s="171">
        <v>-65920</v>
      </c>
      <c r="H42" s="171">
        <v>-67320</v>
      </c>
      <c r="I42" s="172">
        <f t="shared" si="3"/>
        <v>805770</v>
      </c>
      <c r="J42" s="172">
        <f t="shared" si="3"/>
        <v>731745</v>
      </c>
    </row>
    <row r="43" spans="2:16" x14ac:dyDescent="0.45">
      <c r="B43" s="166">
        <v>41</v>
      </c>
      <c r="C43" s="166">
        <v>8</v>
      </c>
      <c r="D43" s="170">
        <v>32000</v>
      </c>
      <c r="E43" s="171">
        <v>-92400</v>
      </c>
      <c r="F43" s="171">
        <v>-87190</v>
      </c>
      <c r="G43" s="171">
        <v>-86700</v>
      </c>
      <c r="H43" s="171">
        <v>-90940</v>
      </c>
      <c r="I43" s="172">
        <f t="shared" si="3"/>
        <v>805770</v>
      </c>
      <c r="J43" s="172">
        <f t="shared" si="3"/>
        <v>731745</v>
      </c>
    </row>
    <row r="44" spans="2:16" x14ac:dyDescent="0.45">
      <c r="B44" s="166">
        <v>42</v>
      </c>
      <c r="C44" s="166"/>
      <c r="D44" s="170">
        <v>32800</v>
      </c>
      <c r="E44" s="171">
        <v>-119900</v>
      </c>
      <c r="F44" s="171">
        <v>-110400</v>
      </c>
      <c r="G44" s="171">
        <v>-117000</v>
      </c>
      <c r="H44" s="171">
        <v>-133400</v>
      </c>
      <c r="I44" s="172">
        <f t="shared" si="3"/>
        <v>805770</v>
      </c>
      <c r="J44" s="172">
        <f t="shared" si="3"/>
        <v>731745</v>
      </c>
    </row>
    <row r="45" spans="2:16" x14ac:dyDescent="0.45">
      <c r="B45" s="166">
        <v>43</v>
      </c>
      <c r="C45" s="166"/>
      <c r="D45" s="170">
        <v>33600</v>
      </c>
      <c r="E45" s="171">
        <v>-147900</v>
      </c>
      <c r="F45" s="171">
        <v>-135800</v>
      </c>
      <c r="G45" s="171">
        <v>-156100</v>
      </c>
      <c r="H45" s="171">
        <v>-176400</v>
      </c>
      <c r="I45" s="172">
        <f t="shared" si="3"/>
        <v>805770</v>
      </c>
      <c r="J45" s="172">
        <f t="shared" si="3"/>
        <v>731745</v>
      </c>
    </row>
    <row r="46" spans="2:16" x14ac:dyDescent="0.45">
      <c r="B46" s="166">
        <v>44</v>
      </c>
      <c r="C46" s="166"/>
      <c r="D46" s="170">
        <v>34400</v>
      </c>
      <c r="E46" s="171">
        <v>-176600</v>
      </c>
      <c r="F46" s="171">
        <v>-171700</v>
      </c>
      <c r="G46" s="171">
        <v>-195900</v>
      </c>
      <c r="H46" s="171">
        <v>-220000</v>
      </c>
      <c r="I46" s="172">
        <f t="shared" si="3"/>
        <v>805770</v>
      </c>
      <c r="J46" s="172">
        <f t="shared" si="3"/>
        <v>731745</v>
      </c>
    </row>
    <row r="47" spans="2:16" x14ac:dyDescent="0.45">
      <c r="B47" s="166">
        <v>45</v>
      </c>
      <c r="C47" s="166"/>
      <c r="D47" s="170">
        <v>35200</v>
      </c>
      <c r="E47" s="171">
        <v>-205700</v>
      </c>
      <c r="F47" s="171">
        <v>-208200</v>
      </c>
      <c r="G47" s="171">
        <v>-236200</v>
      </c>
      <c r="H47" s="171">
        <v>-264200</v>
      </c>
      <c r="I47" s="172">
        <f t="shared" si="3"/>
        <v>805770</v>
      </c>
      <c r="J47" s="172">
        <f t="shared" si="3"/>
        <v>731745</v>
      </c>
    </row>
    <row r="48" spans="2:16" x14ac:dyDescent="0.45">
      <c r="B48" s="173">
        <v>46</v>
      </c>
      <c r="C48" s="173">
        <v>9</v>
      </c>
      <c r="D48" s="173">
        <v>36000</v>
      </c>
      <c r="E48" s="174">
        <v>-235500</v>
      </c>
      <c r="F48" s="174">
        <v>-245200</v>
      </c>
      <c r="G48" s="174">
        <v>-277100</v>
      </c>
      <c r="H48" s="174">
        <v>-309000</v>
      </c>
      <c r="I48" s="173">
        <f t="shared" si="3"/>
        <v>805770</v>
      </c>
      <c r="J48" s="173">
        <f t="shared" si="3"/>
        <v>731745</v>
      </c>
    </row>
    <row r="49" spans="2:19" x14ac:dyDescent="0.45">
      <c r="B49" s="166">
        <v>47</v>
      </c>
      <c r="C49" s="166"/>
      <c r="D49" s="170">
        <v>36800</v>
      </c>
      <c r="E49" s="171">
        <v>-265600</v>
      </c>
      <c r="F49" s="171">
        <v>-282600</v>
      </c>
      <c r="G49" s="171">
        <v>-318300</v>
      </c>
      <c r="H49" s="171">
        <v>-354100</v>
      </c>
      <c r="I49" s="172">
        <f t="shared" si="3"/>
        <v>805770</v>
      </c>
      <c r="J49" s="172">
        <f t="shared" si="3"/>
        <v>731745</v>
      </c>
    </row>
    <row r="50" spans="2:19" x14ac:dyDescent="0.45">
      <c r="B50" s="166">
        <v>48</v>
      </c>
      <c r="C50" s="166"/>
      <c r="D50" s="170">
        <v>37600</v>
      </c>
      <c r="E50" s="171">
        <v>-295800</v>
      </c>
      <c r="F50" s="171">
        <v>-320100</v>
      </c>
      <c r="G50" s="171">
        <v>-359700</v>
      </c>
      <c r="H50" s="171">
        <v>-399300</v>
      </c>
      <c r="I50" s="172">
        <f t="shared" si="3"/>
        <v>805770</v>
      </c>
      <c r="J50" s="172">
        <f t="shared" si="3"/>
        <v>731745</v>
      </c>
    </row>
    <row r="51" spans="2:19" x14ac:dyDescent="0.45">
      <c r="B51" s="166">
        <v>49</v>
      </c>
      <c r="C51" s="166"/>
      <c r="D51" s="170">
        <v>38400</v>
      </c>
      <c r="E51" s="171">
        <v>-326300</v>
      </c>
      <c r="F51" s="171">
        <v>-357900</v>
      </c>
      <c r="G51" s="171">
        <v>-401300</v>
      </c>
      <c r="H51" s="171">
        <v>-444800</v>
      </c>
      <c r="I51" s="172">
        <f t="shared" si="3"/>
        <v>805770</v>
      </c>
      <c r="J51" s="172">
        <f t="shared" si="3"/>
        <v>731745</v>
      </c>
      <c r="N51" s="175"/>
      <c r="O51" s="176"/>
      <c r="P51" s="176"/>
    </row>
    <row r="52" spans="2:19" x14ac:dyDescent="0.45">
      <c r="B52" s="166">
        <v>50</v>
      </c>
      <c r="C52" s="166"/>
      <c r="D52" s="170">
        <v>39200</v>
      </c>
      <c r="E52" s="171">
        <v>-356900</v>
      </c>
      <c r="F52" s="171">
        <v>-395700</v>
      </c>
      <c r="G52" s="171">
        <v>-443100</v>
      </c>
      <c r="H52" s="171">
        <v>-490400</v>
      </c>
      <c r="I52" s="172">
        <f t="shared" si="3"/>
        <v>805770</v>
      </c>
      <c r="J52" s="172">
        <f t="shared" si="3"/>
        <v>731745</v>
      </c>
    </row>
    <row r="53" spans="2:19" x14ac:dyDescent="0.45">
      <c r="B53" s="166">
        <v>51</v>
      </c>
      <c r="C53" s="166">
        <v>10</v>
      </c>
      <c r="D53" s="170">
        <v>40000</v>
      </c>
      <c r="E53" s="171">
        <v>-387600</v>
      </c>
      <c r="F53" s="171">
        <v>-433800</v>
      </c>
      <c r="G53" s="171">
        <v>-485000</v>
      </c>
      <c r="H53" s="171">
        <v>-536100</v>
      </c>
      <c r="I53" s="172">
        <f t="shared" si="3"/>
        <v>805770</v>
      </c>
      <c r="J53" s="172">
        <f t="shared" si="3"/>
        <v>731745</v>
      </c>
    </row>
    <row r="54" spans="2:19" x14ac:dyDescent="0.45">
      <c r="B54" s="166">
        <v>52</v>
      </c>
      <c r="C54" s="166"/>
      <c r="D54" s="170">
        <v>40800</v>
      </c>
      <c r="E54" s="171">
        <v>-418700</v>
      </c>
      <c r="F54" s="171">
        <v>-472000</v>
      </c>
      <c r="G54" s="171">
        <v>-527000</v>
      </c>
      <c r="H54" s="171">
        <v>-582100</v>
      </c>
      <c r="I54" s="172">
        <f t="shared" si="3"/>
        <v>805770</v>
      </c>
      <c r="J54" s="172">
        <f t="shared" si="3"/>
        <v>731745</v>
      </c>
    </row>
    <row r="55" spans="2:19" x14ac:dyDescent="0.45">
      <c r="B55" s="166">
        <v>53</v>
      </c>
      <c r="C55" s="166"/>
      <c r="D55" s="170">
        <v>41600</v>
      </c>
      <c r="E55" s="171">
        <v>-450000</v>
      </c>
      <c r="F55" s="171">
        <v>-510300</v>
      </c>
      <c r="G55" s="171">
        <v>-569200</v>
      </c>
      <c r="H55" s="171">
        <v>-628100</v>
      </c>
      <c r="I55" s="172">
        <f t="shared" si="3"/>
        <v>805770</v>
      </c>
      <c r="J55" s="172">
        <f t="shared" si="3"/>
        <v>731745</v>
      </c>
    </row>
    <row r="56" spans="2:19" x14ac:dyDescent="0.45">
      <c r="B56" s="166">
        <v>54</v>
      </c>
      <c r="C56" s="166"/>
      <c r="D56" s="170">
        <v>42400</v>
      </c>
      <c r="E56" s="171">
        <v>-481500</v>
      </c>
      <c r="F56" s="171">
        <v>-548900</v>
      </c>
      <c r="G56" s="171">
        <v>-611600</v>
      </c>
      <c r="H56" s="171">
        <v>-674400</v>
      </c>
      <c r="I56" s="172">
        <f t="shared" si="3"/>
        <v>805770</v>
      </c>
      <c r="J56" s="172">
        <f t="shared" si="3"/>
        <v>731745</v>
      </c>
    </row>
    <row r="57" spans="2:19" x14ac:dyDescent="0.45">
      <c r="B57" s="166">
        <v>55</v>
      </c>
      <c r="C57" s="166"/>
      <c r="D57" s="170">
        <v>43200</v>
      </c>
      <c r="E57" s="171">
        <v>-513100</v>
      </c>
      <c r="F57" s="171">
        <v>-587600</v>
      </c>
      <c r="G57" s="171">
        <v>-654200</v>
      </c>
      <c r="H57" s="171">
        <v>-720800</v>
      </c>
      <c r="I57" s="172">
        <f>I58</f>
        <v>805770</v>
      </c>
      <c r="J57" s="172">
        <f>J58</f>
        <v>731745</v>
      </c>
    </row>
    <row r="58" spans="2:19" x14ac:dyDescent="0.45">
      <c r="B58" s="173">
        <v>56</v>
      </c>
      <c r="C58" s="173">
        <v>11</v>
      </c>
      <c r="D58" s="173">
        <v>44000</v>
      </c>
      <c r="E58" s="174">
        <v>-544900</v>
      </c>
      <c r="F58" s="174">
        <v>-626400</v>
      </c>
      <c r="G58" s="174">
        <v>-696900</v>
      </c>
      <c r="H58" s="174">
        <v>-767400</v>
      </c>
      <c r="I58" s="173">
        <f>ABS(H58*1.05)</f>
        <v>805770</v>
      </c>
      <c r="J58" s="173">
        <f t="shared" ref="J58" si="4">ABS(G58*1.05)</f>
        <v>731745</v>
      </c>
    </row>
    <row r="59" spans="2:19" x14ac:dyDescent="0.45">
      <c r="D59" s="165" t="s">
        <v>255</v>
      </c>
      <c r="E59" s="177" cm="1">
        <f t="array" ref="E59">INDEX(E3:E58, MATCH(MAX(ABS(E3:E58)), ABS(E3:E58), 0))</f>
        <v>596300</v>
      </c>
      <c r="F59" s="177" cm="1">
        <f t="array" ref="F59">INDEX(F3:F58, MATCH(MAX(ABS(F3:F58)), ABS(F3:F58), 0))</f>
        <v>861800</v>
      </c>
      <c r="G59" s="177" cm="1">
        <f t="array" ref="G59">INDEX(G3:G58, MATCH(MAX(ABS(G3:G58)), ABS(G3:G58), 0))</f>
        <v>1004000</v>
      </c>
      <c r="H59" s="177" cm="1">
        <f t="array" ref="H59">INDEX(H3:H58, MATCH(MAX(ABS(H3:H58)), ABS(H3:H58), 0))</f>
        <v>1145000</v>
      </c>
      <c r="I59" s="177">
        <f>MAX(I3:I58)</f>
        <v>1202250</v>
      </c>
      <c r="J59" s="178"/>
    </row>
    <row r="60" spans="2:19" x14ac:dyDescent="0.45">
      <c r="D60" s="165" t="s">
        <v>256</v>
      </c>
      <c r="E60" s="177">
        <f>MIN(E3:E58)</f>
        <v>-544900</v>
      </c>
      <c r="F60" s="177">
        <f>MIN(F3:F58)</f>
        <v>-626400</v>
      </c>
      <c r="G60" s="177">
        <f>MIN(G3:G58)</f>
        <v>-696900</v>
      </c>
      <c r="H60" s="177">
        <f>MIN(H3:H58)</f>
        <v>-767400</v>
      </c>
      <c r="I60" s="177">
        <f>MIN(I3:I58)</f>
        <v>805770</v>
      </c>
      <c r="Q60" s="175"/>
      <c r="R60" s="176"/>
      <c r="S60" s="176"/>
    </row>
    <row r="61" spans="2:19" x14ac:dyDescent="0.45">
      <c r="Q61" s="175"/>
      <c r="R61" s="176"/>
      <c r="S61" s="176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topLeftCell="A29" zoomScaleNormal="100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3" width="6.5" style="165" customWidth="1"/>
    <col min="4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5.5" x14ac:dyDescent="0.45">
      <c r="B1" s="164" t="s">
        <v>257</v>
      </c>
    </row>
    <row r="2" spans="2:10" ht="32" x14ac:dyDescent="0.45">
      <c r="B2" s="166" t="s">
        <v>258</v>
      </c>
      <c r="C2" s="166" t="s">
        <v>246</v>
      </c>
      <c r="D2" s="167" t="s">
        <v>247</v>
      </c>
      <c r="E2" s="168" t="s">
        <v>248</v>
      </c>
      <c r="F2" s="168" t="s">
        <v>259</v>
      </c>
      <c r="G2" s="168" t="s">
        <v>250</v>
      </c>
      <c r="H2" s="168" t="s">
        <v>251</v>
      </c>
      <c r="I2" s="169" t="s">
        <v>260</v>
      </c>
      <c r="J2" s="169" t="s">
        <v>261</v>
      </c>
    </row>
    <row r="3" spans="2:10" x14ac:dyDescent="0.45">
      <c r="B3" s="166">
        <v>1</v>
      </c>
      <c r="C3" s="166">
        <v>0</v>
      </c>
      <c r="D3" s="170">
        <v>0</v>
      </c>
      <c r="E3" s="171">
        <v>6367</v>
      </c>
      <c r="F3" s="171">
        <v>16000</v>
      </c>
      <c r="G3" s="171">
        <v>20830</v>
      </c>
      <c r="H3" s="171">
        <v>25650</v>
      </c>
      <c r="I3" s="177">
        <v>26932.5</v>
      </c>
      <c r="J3" s="172">
        <f>G3*1.05</f>
        <v>21871.5</v>
      </c>
    </row>
    <row r="4" spans="2:10" x14ac:dyDescent="0.45">
      <c r="B4" s="166">
        <v>2</v>
      </c>
      <c r="C4" s="166"/>
      <c r="D4" s="170">
        <v>800</v>
      </c>
      <c r="E4" s="171">
        <v>7022</v>
      </c>
      <c r="F4" s="171">
        <v>16570</v>
      </c>
      <c r="G4" s="171">
        <v>21390</v>
      </c>
      <c r="H4" s="171">
        <v>26220</v>
      </c>
      <c r="I4" s="177">
        <v>27531</v>
      </c>
      <c r="J4" s="172">
        <f t="shared" ref="J4:J58" si="0">G4*1.05</f>
        <v>22459.5</v>
      </c>
    </row>
    <row r="5" spans="2:10" x14ac:dyDescent="0.45">
      <c r="B5" s="166">
        <v>3</v>
      </c>
      <c r="C5" s="166"/>
      <c r="D5" s="170">
        <v>1600</v>
      </c>
      <c r="E5" s="171">
        <v>7677</v>
      </c>
      <c r="F5" s="171">
        <v>17140</v>
      </c>
      <c r="G5" s="171">
        <v>21960</v>
      </c>
      <c r="H5" s="171">
        <v>26790</v>
      </c>
      <c r="I5" s="177">
        <v>28129.5</v>
      </c>
      <c r="J5" s="172">
        <f t="shared" si="0"/>
        <v>23058</v>
      </c>
    </row>
    <row r="6" spans="2:10" x14ac:dyDescent="0.45">
      <c r="B6" s="166">
        <v>4</v>
      </c>
      <c r="C6" s="166"/>
      <c r="D6" s="170">
        <v>2400</v>
      </c>
      <c r="E6" s="171">
        <v>8332</v>
      </c>
      <c r="F6" s="171">
        <v>17700</v>
      </c>
      <c r="G6" s="171">
        <v>22530</v>
      </c>
      <c r="H6" s="171">
        <v>27350</v>
      </c>
      <c r="I6" s="177">
        <v>28717.5</v>
      </c>
      <c r="J6" s="172">
        <f t="shared" si="0"/>
        <v>23656.5</v>
      </c>
    </row>
    <row r="7" spans="2:10" x14ac:dyDescent="0.45">
      <c r="B7" s="166">
        <v>5</v>
      </c>
      <c r="C7" s="166"/>
      <c r="D7" s="170">
        <v>3200</v>
      </c>
      <c r="E7" s="171">
        <v>8987</v>
      </c>
      <c r="F7" s="171">
        <v>18270</v>
      </c>
      <c r="G7" s="171">
        <v>23090</v>
      </c>
      <c r="H7" s="171">
        <v>27920</v>
      </c>
      <c r="I7" s="177">
        <v>29316</v>
      </c>
      <c r="J7" s="172">
        <f t="shared" si="0"/>
        <v>24244.5</v>
      </c>
    </row>
    <row r="8" spans="2:10" x14ac:dyDescent="0.45">
      <c r="B8" s="166">
        <v>6</v>
      </c>
      <c r="C8" s="166">
        <v>1</v>
      </c>
      <c r="D8" s="170">
        <v>4000</v>
      </c>
      <c r="E8" s="171">
        <v>9642</v>
      </c>
      <c r="F8" s="171">
        <v>18840</v>
      </c>
      <c r="G8" s="171">
        <v>23660</v>
      </c>
      <c r="H8" s="171">
        <v>28490</v>
      </c>
      <c r="I8" s="177">
        <v>29914.5</v>
      </c>
      <c r="J8" s="172">
        <f t="shared" si="0"/>
        <v>24843</v>
      </c>
    </row>
    <row r="9" spans="2:10" x14ac:dyDescent="0.45">
      <c r="B9" s="166">
        <v>7</v>
      </c>
      <c r="C9" s="166"/>
      <c r="D9" s="170">
        <v>4800</v>
      </c>
      <c r="E9" s="171">
        <v>10300</v>
      </c>
      <c r="F9" s="171">
        <v>19400</v>
      </c>
      <c r="G9" s="171">
        <v>24230</v>
      </c>
      <c r="H9" s="171">
        <v>29050</v>
      </c>
      <c r="I9" s="177">
        <v>30502.5</v>
      </c>
      <c r="J9" s="172">
        <f t="shared" si="0"/>
        <v>25441.5</v>
      </c>
    </row>
    <row r="10" spans="2:10" x14ac:dyDescent="0.45">
      <c r="B10" s="166">
        <v>8</v>
      </c>
      <c r="C10" s="166"/>
      <c r="D10" s="170">
        <v>5600</v>
      </c>
      <c r="E10" s="171">
        <v>10950</v>
      </c>
      <c r="F10" s="171">
        <v>19970</v>
      </c>
      <c r="G10" s="171">
        <v>24800</v>
      </c>
      <c r="H10" s="171">
        <v>29620</v>
      </c>
      <c r="I10" s="177">
        <v>31101</v>
      </c>
      <c r="J10" s="172">
        <f t="shared" si="0"/>
        <v>26040</v>
      </c>
    </row>
    <row r="11" spans="2:10" x14ac:dyDescent="0.45">
      <c r="B11" s="166">
        <v>9</v>
      </c>
      <c r="C11" s="166"/>
      <c r="D11" s="170">
        <v>6400</v>
      </c>
      <c r="E11" s="171">
        <v>11620</v>
      </c>
      <c r="F11" s="171">
        <v>20540</v>
      </c>
      <c r="G11" s="171">
        <v>25360</v>
      </c>
      <c r="H11" s="171">
        <v>30190</v>
      </c>
      <c r="I11" s="177">
        <v>31699.5</v>
      </c>
      <c r="J11" s="172">
        <f t="shared" si="0"/>
        <v>26628</v>
      </c>
    </row>
    <row r="12" spans="2:10" x14ac:dyDescent="0.45">
      <c r="B12" s="166">
        <v>10</v>
      </c>
      <c r="C12" s="166"/>
      <c r="D12" s="170">
        <v>7200</v>
      </c>
      <c r="E12" s="171">
        <v>12270</v>
      </c>
      <c r="F12" s="171">
        <v>21110</v>
      </c>
      <c r="G12" s="171">
        <v>25930</v>
      </c>
      <c r="H12" s="171">
        <v>30760</v>
      </c>
      <c r="I12" s="177">
        <v>32298</v>
      </c>
      <c r="J12" s="172">
        <f t="shared" si="0"/>
        <v>27226.5</v>
      </c>
    </row>
    <row r="13" spans="2:10" x14ac:dyDescent="0.45">
      <c r="B13" s="173">
        <v>11</v>
      </c>
      <c r="C13" s="173">
        <v>2</v>
      </c>
      <c r="D13" s="173">
        <v>8000</v>
      </c>
      <c r="E13" s="174">
        <v>12920</v>
      </c>
      <c r="F13" s="174">
        <v>21670</v>
      </c>
      <c r="G13" s="174">
        <v>26500</v>
      </c>
      <c r="H13" s="174">
        <v>31320</v>
      </c>
      <c r="I13" s="179">
        <v>32886</v>
      </c>
      <c r="J13" s="180">
        <f t="shared" si="0"/>
        <v>27825</v>
      </c>
    </row>
    <row r="14" spans="2:10" x14ac:dyDescent="0.45">
      <c r="B14" s="166">
        <v>12</v>
      </c>
      <c r="C14" s="166"/>
      <c r="D14" s="170">
        <v>8800</v>
      </c>
      <c r="E14" s="171">
        <v>13630</v>
      </c>
      <c r="F14" s="171">
        <v>22390</v>
      </c>
      <c r="G14" s="171">
        <v>27210</v>
      </c>
      <c r="H14" s="171">
        <v>32040</v>
      </c>
      <c r="I14" s="177">
        <v>33642</v>
      </c>
      <c r="J14" s="172">
        <f t="shared" si="0"/>
        <v>28570.5</v>
      </c>
    </row>
    <row r="15" spans="2:10" x14ac:dyDescent="0.45">
      <c r="B15" s="166">
        <v>13</v>
      </c>
      <c r="C15" s="166"/>
      <c r="D15" s="170">
        <v>9600</v>
      </c>
      <c r="E15" s="171">
        <v>14330</v>
      </c>
      <c r="F15" s="171">
        <v>23100</v>
      </c>
      <c r="G15" s="171">
        <v>27930</v>
      </c>
      <c r="H15" s="171">
        <v>32750</v>
      </c>
      <c r="I15" s="177">
        <v>34387.5</v>
      </c>
      <c r="J15" s="172">
        <f t="shared" si="0"/>
        <v>29326.5</v>
      </c>
    </row>
    <row r="16" spans="2:10" x14ac:dyDescent="0.45">
      <c r="B16" s="166">
        <v>14</v>
      </c>
      <c r="C16" s="166"/>
      <c r="D16" s="170">
        <v>10400</v>
      </c>
      <c r="E16" s="171">
        <v>15030</v>
      </c>
      <c r="F16" s="171">
        <v>23810</v>
      </c>
      <c r="G16" s="171">
        <v>28640</v>
      </c>
      <c r="H16" s="171">
        <v>33460</v>
      </c>
      <c r="I16" s="177">
        <v>35133</v>
      </c>
      <c r="J16" s="172">
        <f t="shared" si="0"/>
        <v>30072</v>
      </c>
    </row>
    <row r="17" spans="2:10" x14ac:dyDescent="0.45">
      <c r="B17" s="166">
        <v>15</v>
      </c>
      <c r="C17" s="166"/>
      <c r="D17" s="170">
        <v>11200</v>
      </c>
      <c r="E17" s="171">
        <v>15740</v>
      </c>
      <c r="F17" s="171">
        <v>24530</v>
      </c>
      <c r="G17" s="171">
        <v>29350</v>
      </c>
      <c r="H17" s="171">
        <v>34180</v>
      </c>
      <c r="I17" s="177">
        <v>35889</v>
      </c>
      <c r="J17" s="172">
        <f t="shared" si="0"/>
        <v>30817.5</v>
      </c>
    </row>
    <row r="18" spans="2:10" x14ac:dyDescent="0.45">
      <c r="B18" s="166">
        <v>16</v>
      </c>
      <c r="C18" s="166">
        <v>3</v>
      </c>
      <c r="D18" s="170">
        <v>12000</v>
      </c>
      <c r="E18" s="171">
        <v>16440</v>
      </c>
      <c r="F18" s="171">
        <v>25240</v>
      </c>
      <c r="G18" s="171">
        <v>30070</v>
      </c>
      <c r="H18" s="171">
        <v>34890</v>
      </c>
      <c r="I18" s="177">
        <v>36634.5</v>
      </c>
      <c r="J18" s="172">
        <f t="shared" si="0"/>
        <v>31573.5</v>
      </c>
    </row>
    <row r="19" spans="2:10" x14ac:dyDescent="0.45">
      <c r="B19" s="166">
        <v>17</v>
      </c>
      <c r="C19" s="166"/>
      <c r="D19" s="170">
        <v>12800</v>
      </c>
      <c r="E19" s="171">
        <v>17140</v>
      </c>
      <c r="F19" s="171">
        <v>25950</v>
      </c>
      <c r="G19" s="171">
        <v>30780</v>
      </c>
      <c r="H19" s="171">
        <v>35600</v>
      </c>
      <c r="I19" s="177">
        <v>37380</v>
      </c>
      <c r="J19" s="172">
        <f t="shared" si="0"/>
        <v>32319</v>
      </c>
    </row>
    <row r="20" spans="2:10" x14ac:dyDescent="0.45">
      <c r="B20" s="166">
        <v>18</v>
      </c>
      <c r="C20" s="166"/>
      <c r="D20" s="170">
        <v>13600</v>
      </c>
      <c r="E20" s="171">
        <v>17840</v>
      </c>
      <c r="F20" s="171">
        <v>26670</v>
      </c>
      <c r="G20" s="171">
        <v>31490</v>
      </c>
      <c r="H20" s="171">
        <v>36320</v>
      </c>
      <c r="I20" s="177">
        <v>38136</v>
      </c>
      <c r="J20" s="172">
        <f t="shared" si="0"/>
        <v>33064.5</v>
      </c>
    </row>
    <row r="21" spans="2:10" x14ac:dyDescent="0.45">
      <c r="B21" s="166">
        <v>19</v>
      </c>
      <c r="C21" s="166"/>
      <c r="D21" s="170">
        <v>14400</v>
      </c>
      <c r="E21" s="171">
        <v>18550</v>
      </c>
      <c r="F21" s="171">
        <v>27380</v>
      </c>
      <c r="G21" s="171">
        <v>32200</v>
      </c>
      <c r="H21" s="171">
        <v>37030</v>
      </c>
      <c r="I21" s="177">
        <v>38881.5</v>
      </c>
      <c r="J21" s="172">
        <f t="shared" si="0"/>
        <v>33810</v>
      </c>
    </row>
    <row r="22" spans="2:10" x14ac:dyDescent="0.45">
      <c r="B22" s="166">
        <v>20</v>
      </c>
      <c r="C22" s="166"/>
      <c r="D22" s="170">
        <v>15200</v>
      </c>
      <c r="E22" s="171">
        <v>19250</v>
      </c>
      <c r="F22" s="171">
        <v>28090</v>
      </c>
      <c r="G22" s="171">
        <v>32920</v>
      </c>
      <c r="H22" s="171">
        <v>37740</v>
      </c>
      <c r="I22" s="177">
        <v>39627</v>
      </c>
      <c r="J22" s="172">
        <f t="shared" si="0"/>
        <v>34566</v>
      </c>
    </row>
    <row r="23" spans="2:10" x14ac:dyDescent="0.45">
      <c r="B23" s="166">
        <v>21</v>
      </c>
      <c r="C23" s="166">
        <v>4</v>
      </c>
      <c r="D23" s="170">
        <v>16000</v>
      </c>
      <c r="E23" s="171">
        <v>19950</v>
      </c>
      <c r="F23" s="171">
        <v>28810</v>
      </c>
      <c r="G23" s="171">
        <v>33630</v>
      </c>
      <c r="H23" s="171">
        <v>38460</v>
      </c>
      <c r="I23" s="177">
        <v>40383</v>
      </c>
      <c r="J23" s="172">
        <f t="shared" si="0"/>
        <v>35311.5</v>
      </c>
    </row>
    <row r="24" spans="2:10" x14ac:dyDescent="0.45">
      <c r="B24" s="166">
        <v>22</v>
      </c>
      <c r="C24" s="166"/>
      <c r="D24" s="170">
        <v>16800</v>
      </c>
      <c r="E24" s="171">
        <v>20660</v>
      </c>
      <c r="F24" s="171">
        <v>29520</v>
      </c>
      <c r="G24" s="171">
        <v>34340</v>
      </c>
      <c r="H24" s="171">
        <v>39170</v>
      </c>
      <c r="I24" s="177">
        <v>41128.5</v>
      </c>
      <c r="J24" s="172">
        <f t="shared" si="0"/>
        <v>36057</v>
      </c>
    </row>
    <row r="25" spans="2:10" x14ac:dyDescent="0.45">
      <c r="B25" s="166">
        <v>23</v>
      </c>
      <c r="C25" s="166"/>
      <c r="D25" s="170">
        <v>17600</v>
      </c>
      <c r="E25" s="171">
        <v>21360</v>
      </c>
      <c r="F25" s="171">
        <v>30230</v>
      </c>
      <c r="G25" s="171">
        <v>35060</v>
      </c>
      <c r="H25" s="171">
        <v>39880</v>
      </c>
      <c r="I25" s="177">
        <v>41874</v>
      </c>
      <c r="J25" s="172">
        <f t="shared" si="0"/>
        <v>36813</v>
      </c>
    </row>
    <row r="26" spans="2:10" x14ac:dyDescent="0.45">
      <c r="B26" s="166">
        <v>24</v>
      </c>
      <c r="C26" s="166"/>
      <c r="D26" s="170">
        <v>18400</v>
      </c>
      <c r="E26" s="171">
        <v>22060</v>
      </c>
      <c r="F26" s="171">
        <v>30950</v>
      </c>
      <c r="G26" s="171">
        <v>35770</v>
      </c>
      <c r="H26" s="171">
        <v>40600</v>
      </c>
      <c r="I26" s="177">
        <v>42630</v>
      </c>
      <c r="J26" s="172">
        <f t="shared" si="0"/>
        <v>37558.5</v>
      </c>
    </row>
    <row r="27" spans="2:10" x14ac:dyDescent="0.45">
      <c r="B27" s="166">
        <v>25</v>
      </c>
      <c r="C27" s="166"/>
      <c r="D27" s="170">
        <v>19200</v>
      </c>
      <c r="E27" s="171">
        <v>22770</v>
      </c>
      <c r="F27" s="171">
        <v>31660</v>
      </c>
      <c r="G27" s="171">
        <v>36480</v>
      </c>
      <c r="H27" s="171">
        <v>41310</v>
      </c>
      <c r="I27" s="177">
        <v>43375.5</v>
      </c>
      <c r="J27" s="172">
        <f t="shared" si="0"/>
        <v>38304</v>
      </c>
    </row>
    <row r="28" spans="2:10" x14ac:dyDescent="0.45">
      <c r="B28" s="166">
        <v>26</v>
      </c>
      <c r="C28" s="166">
        <v>5</v>
      </c>
      <c r="D28" s="170">
        <v>20000</v>
      </c>
      <c r="E28" s="171">
        <v>23470</v>
      </c>
      <c r="F28" s="171">
        <v>32370</v>
      </c>
      <c r="G28" s="171">
        <v>37200</v>
      </c>
      <c r="H28" s="171">
        <v>42020</v>
      </c>
      <c r="I28" s="177">
        <v>44121</v>
      </c>
      <c r="J28" s="172">
        <f t="shared" si="0"/>
        <v>39060</v>
      </c>
    </row>
    <row r="29" spans="2:10" x14ac:dyDescent="0.45">
      <c r="B29" s="166">
        <v>27</v>
      </c>
      <c r="C29" s="166"/>
      <c r="D29" s="170">
        <v>20800</v>
      </c>
      <c r="E29" s="171">
        <v>24170</v>
      </c>
      <c r="F29" s="171">
        <v>33090</v>
      </c>
      <c r="G29" s="171">
        <v>37910</v>
      </c>
      <c r="H29" s="171">
        <v>42740</v>
      </c>
      <c r="I29" s="177">
        <v>44877</v>
      </c>
      <c r="J29" s="172">
        <f t="shared" si="0"/>
        <v>39805.5</v>
      </c>
    </row>
    <row r="30" spans="2:10" x14ac:dyDescent="0.45">
      <c r="B30" s="173">
        <v>28</v>
      </c>
      <c r="C30" s="173"/>
      <c r="D30" s="173">
        <v>21600</v>
      </c>
      <c r="E30" s="174">
        <v>24870</v>
      </c>
      <c r="F30" s="174">
        <v>33800</v>
      </c>
      <c r="G30" s="174">
        <v>38620</v>
      </c>
      <c r="H30" s="174">
        <v>43450</v>
      </c>
      <c r="I30" s="179">
        <v>45622.5</v>
      </c>
      <c r="J30" s="180">
        <f t="shared" si="0"/>
        <v>40551</v>
      </c>
    </row>
    <row r="31" spans="2:10" x14ac:dyDescent="0.45">
      <c r="B31" s="173">
        <v>29</v>
      </c>
      <c r="C31" s="173"/>
      <c r="D31" s="173">
        <v>22400</v>
      </c>
      <c r="E31" s="174">
        <v>25580</v>
      </c>
      <c r="F31" s="174">
        <v>34510</v>
      </c>
      <c r="G31" s="174">
        <v>39340</v>
      </c>
      <c r="H31" s="174">
        <v>44160</v>
      </c>
      <c r="I31" s="179">
        <v>46368</v>
      </c>
      <c r="J31" s="180">
        <f t="shared" si="0"/>
        <v>41307</v>
      </c>
    </row>
    <row r="32" spans="2:10" x14ac:dyDescent="0.45">
      <c r="B32" s="166">
        <v>30</v>
      </c>
      <c r="C32" s="166"/>
      <c r="D32" s="170">
        <v>23200</v>
      </c>
      <c r="E32" s="171">
        <v>26280</v>
      </c>
      <c r="F32" s="171">
        <v>35220</v>
      </c>
      <c r="G32" s="171">
        <v>40050</v>
      </c>
      <c r="H32" s="171">
        <v>44880</v>
      </c>
      <c r="I32" s="177">
        <v>47124</v>
      </c>
      <c r="J32" s="172">
        <f t="shared" si="0"/>
        <v>42052.5</v>
      </c>
    </row>
    <row r="33" spans="2:10" x14ac:dyDescent="0.45">
      <c r="B33" s="166">
        <v>31</v>
      </c>
      <c r="C33" s="166">
        <v>6</v>
      </c>
      <c r="D33" s="170">
        <v>24000</v>
      </c>
      <c r="E33" s="171">
        <v>26980</v>
      </c>
      <c r="F33" s="171">
        <v>35940</v>
      </c>
      <c r="G33" s="171">
        <v>40760</v>
      </c>
      <c r="H33" s="171">
        <v>45590</v>
      </c>
      <c r="I33" s="177">
        <v>47869.5</v>
      </c>
      <c r="J33" s="172">
        <f t="shared" si="0"/>
        <v>42798</v>
      </c>
    </row>
    <row r="34" spans="2:10" x14ac:dyDescent="0.45">
      <c r="B34" s="166">
        <v>32</v>
      </c>
      <c r="C34" s="166"/>
      <c r="D34" s="170">
        <v>24800</v>
      </c>
      <c r="E34" s="171">
        <v>27690</v>
      </c>
      <c r="F34" s="171">
        <v>36650</v>
      </c>
      <c r="G34" s="171">
        <v>41480</v>
      </c>
      <c r="H34" s="171">
        <v>46300</v>
      </c>
      <c r="I34" s="177">
        <v>48615</v>
      </c>
      <c r="J34" s="172">
        <f t="shared" si="0"/>
        <v>43554</v>
      </c>
    </row>
    <row r="35" spans="2:10" x14ac:dyDescent="0.45">
      <c r="B35" s="166">
        <v>33</v>
      </c>
      <c r="C35" s="166"/>
      <c r="D35" s="170">
        <v>25600</v>
      </c>
      <c r="E35" s="171">
        <v>28390</v>
      </c>
      <c r="F35" s="171">
        <v>37360</v>
      </c>
      <c r="G35" s="171">
        <v>42190</v>
      </c>
      <c r="H35" s="171">
        <v>47010</v>
      </c>
      <c r="I35" s="177">
        <v>49360.5</v>
      </c>
      <c r="J35" s="172">
        <f t="shared" si="0"/>
        <v>44299.5</v>
      </c>
    </row>
    <row r="36" spans="2:10" x14ac:dyDescent="0.45">
      <c r="B36" s="166">
        <v>34</v>
      </c>
      <c r="C36" s="166"/>
      <c r="D36" s="170">
        <v>26400</v>
      </c>
      <c r="E36" s="171">
        <v>29090</v>
      </c>
      <c r="F36" s="171">
        <v>38080</v>
      </c>
      <c r="G36" s="171">
        <v>42900</v>
      </c>
      <c r="H36" s="171">
        <v>47730</v>
      </c>
      <c r="I36" s="177">
        <v>50116.5</v>
      </c>
      <c r="J36" s="172">
        <f t="shared" si="0"/>
        <v>45045</v>
      </c>
    </row>
    <row r="37" spans="2:10" x14ac:dyDescent="0.45">
      <c r="B37" s="166">
        <v>35</v>
      </c>
      <c r="C37" s="166"/>
      <c r="D37" s="170">
        <v>27200</v>
      </c>
      <c r="E37" s="171">
        <v>29790</v>
      </c>
      <c r="F37" s="171">
        <v>38790</v>
      </c>
      <c r="G37" s="171">
        <v>43620</v>
      </c>
      <c r="H37" s="171">
        <v>48440</v>
      </c>
      <c r="I37" s="177">
        <v>50862</v>
      </c>
      <c r="J37" s="172">
        <f t="shared" si="0"/>
        <v>45801</v>
      </c>
    </row>
    <row r="38" spans="2:10" x14ac:dyDescent="0.45">
      <c r="B38" s="166">
        <v>36</v>
      </c>
      <c r="C38" s="166">
        <v>7</v>
      </c>
      <c r="D38" s="170">
        <v>28000</v>
      </c>
      <c r="E38" s="171">
        <v>30500</v>
      </c>
      <c r="F38" s="171">
        <v>39500</v>
      </c>
      <c r="G38" s="171">
        <v>44330</v>
      </c>
      <c r="H38" s="171">
        <v>49150</v>
      </c>
      <c r="I38" s="177">
        <v>51607.5</v>
      </c>
      <c r="J38" s="172">
        <f t="shared" si="0"/>
        <v>46546.5</v>
      </c>
    </row>
    <row r="39" spans="2:10" x14ac:dyDescent="0.45">
      <c r="B39" s="166">
        <v>37</v>
      </c>
      <c r="C39" s="166"/>
      <c r="D39" s="170">
        <v>28800</v>
      </c>
      <c r="E39" s="171">
        <v>31200</v>
      </c>
      <c r="F39" s="171">
        <v>40220</v>
      </c>
      <c r="G39" s="171">
        <v>45040</v>
      </c>
      <c r="H39" s="171">
        <v>49870</v>
      </c>
      <c r="I39" s="177">
        <v>52363.5</v>
      </c>
      <c r="J39" s="172">
        <f t="shared" si="0"/>
        <v>47292</v>
      </c>
    </row>
    <row r="40" spans="2:10" x14ac:dyDescent="0.45">
      <c r="B40" s="166">
        <v>38</v>
      </c>
      <c r="C40" s="166"/>
      <c r="D40" s="170">
        <v>29600</v>
      </c>
      <c r="E40" s="171">
        <v>31900</v>
      </c>
      <c r="F40" s="171">
        <v>40930</v>
      </c>
      <c r="G40" s="171">
        <v>45760</v>
      </c>
      <c r="H40" s="171">
        <v>50580</v>
      </c>
      <c r="I40" s="177">
        <v>53109</v>
      </c>
      <c r="J40" s="172">
        <f t="shared" si="0"/>
        <v>48048</v>
      </c>
    </row>
    <row r="41" spans="2:10" x14ac:dyDescent="0.45">
      <c r="B41" s="166">
        <v>39</v>
      </c>
      <c r="C41" s="166" t="s">
        <v>254</v>
      </c>
      <c r="D41" s="170">
        <f>D38+2000</f>
        <v>30000</v>
      </c>
      <c r="E41" s="171" cm="1">
        <f t="array" ref="E41">_xll.Intp_Lagrange(D39,D40,D42,D43,E39,E40,E42,E43,D41)</f>
        <v>32252.1875</v>
      </c>
      <c r="F41" s="171" cm="1">
        <f t="array" ref="F41">_xll.Intp_Lagrange(D39,D40,D42,D43,F39,F40,F42,F43,D41)</f>
        <v>41287.1875</v>
      </c>
      <c r="G41" s="171" cm="1">
        <f t="array" ref="G41">_xll.Intp_Lagrange(D39,D40,D42,D43,G39,G40,G42,G43,D41)</f>
        <v>46115.625</v>
      </c>
      <c r="H41" s="171" cm="1">
        <f t="array" ref="H41">_xll.Intp_Lagrange(D39,D40,D42,D43,H39,H40,H42,H43,D41)</f>
        <v>50937.1875</v>
      </c>
      <c r="I41" s="177">
        <v>53854.5</v>
      </c>
      <c r="J41" s="172">
        <f t="shared" si="0"/>
        <v>48421.40625</v>
      </c>
    </row>
    <row r="42" spans="2:10" x14ac:dyDescent="0.45">
      <c r="B42" s="166">
        <v>40</v>
      </c>
      <c r="C42" s="166"/>
      <c r="D42" s="170">
        <v>31200</v>
      </c>
      <c r="E42" s="171">
        <v>33310</v>
      </c>
      <c r="F42" s="171">
        <v>42360</v>
      </c>
      <c r="G42" s="171">
        <v>47180</v>
      </c>
      <c r="H42" s="171">
        <v>52010</v>
      </c>
      <c r="I42" s="177">
        <v>54610.5</v>
      </c>
      <c r="J42" s="172">
        <f t="shared" si="0"/>
        <v>49539</v>
      </c>
    </row>
    <row r="43" spans="2:10" x14ac:dyDescent="0.45">
      <c r="B43" s="166">
        <v>41</v>
      </c>
      <c r="C43" s="166">
        <v>8</v>
      </c>
      <c r="D43" s="170">
        <v>32000</v>
      </c>
      <c r="E43" s="171">
        <v>34010</v>
      </c>
      <c r="F43" s="171">
        <v>43070</v>
      </c>
      <c r="G43" s="171">
        <v>47900</v>
      </c>
      <c r="H43" s="171">
        <v>52720</v>
      </c>
      <c r="I43" s="177">
        <v>55356</v>
      </c>
      <c r="J43" s="172">
        <f t="shared" si="0"/>
        <v>50295</v>
      </c>
    </row>
    <row r="44" spans="2:10" x14ac:dyDescent="0.45">
      <c r="B44" s="166">
        <v>42</v>
      </c>
      <c r="C44" s="166"/>
      <c r="D44" s="170">
        <v>32800</v>
      </c>
      <c r="E44" s="171">
        <v>34710</v>
      </c>
      <c r="F44" s="171">
        <v>43780</v>
      </c>
      <c r="G44" s="171">
        <v>48610</v>
      </c>
      <c r="H44" s="171">
        <v>53430</v>
      </c>
      <c r="I44" s="177">
        <v>56101.5</v>
      </c>
      <c r="J44" s="172">
        <f t="shared" si="0"/>
        <v>51040.5</v>
      </c>
    </row>
    <row r="45" spans="2:10" x14ac:dyDescent="0.45">
      <c r="B45" s="166">
        <v>43</v>
      </c>
      <c r="C45" s="166"/>
      <c r="D45" s="170">
        <v>33600</v>
      </c>
      <c r="E45" s="171">
        <v>35420</v>
      </c>
      <c r="F45" s="171">
        <v>44500</v>
      </c>
      <c r="G45" s="171">
        <v>49320</v>
      </c>
      <c r="H45" s="171">
        <v>54150</v>
      </c>
      <c r="I45" s="177">
        <v>56857.5</v>
      </c>
      <c r="J45" s="172">
        <f t="shared" si="0"/>
        <v>51786</v>
      </c>
    </row>
    <row r="46" spans="2:10" x14ac:dyDescent="0.45">
      <c r="B46" s="166">
        <v>44</v>
      </c>
      <c r="C46" s="166"/>
      <c r="D46" s="170">
        <v>34400</v>
      </c>
      <c r="E46" s="171">
        <v>36120</v>
      </c>
      <c r="F46" s="171">
        <v>45210</v>
      </c>
      <c r="G46" s="171">
        <v>50030</v>
      </c>
      <c r="H46" s="171">
        <v>54860</v>
      </c>
      <c r="I46" s="177">
        <v>57603</v>
      </c>
      <c r="J46" s="172">
        <f t="shared" si="0"/>
        <v>52531.5</v>
      </c>
    </row>
    <row r="47" spans="2:10" x14ac:dyDescent="0.45">
      <c r="B47" s="166">
        <v>45</v>
      </c>
      <c r="C47" s="166"/>
      <c r="D47" s="170">
        <v>35200</v>
      </c>
      <c r="E47" s="171">
        <v>36820</v>
      </c>
      <c r="F47" s="171">
        <v>45920</v>
      </c>
      <c r="G47" s="171">
        <v>50750</v>
      </c>
      <c r="H47" s="171">
        <v>55570</v>
      </c>
      <c r="I47" s="177">
        <v>58348.5</v>
      </c>
      <c r="J47" s="172">
        <f t="shared" si="0"/>
        <v>53287.5</v>
      </c>
    </row>
    <row r="48" spans="2:10" x14ac:dyDescent="0.45">
      <c r="B48" s="173">
        <v>46</v>
      </c>
      <c r="C48" s="173">
        <v>9</v>
      </c>
      <c r="D48" s="173">
        <v>36000</v>
      </c>
      <c r="E48" s="174">
        <v>37530</v>
      </c>
      <c r="F48" s="174">
        <v>46640</v>
      </c>
      <c r="G48" s="174">
        <v>51460</v>
      </c>
      <c r="H48" s="174">
        <v>56290</v>
      </c>
      <c r="I48" s="179">
        <v>59104.5</v>
      </c>
      <c r="J48" s="180">
        <f t="shared" si="0"/>
        <v>54033</v>
      </c>
    </row>
    <row r="49" spans="2:10" x14ac:dyDescent="0.45">
      <c r="B49" s="166">
        <v>47</v>
      </c>
      <c r="C49" s="166"/>
      <c r="D49" s="170">
        <v>36800</v>
      </c>
      <c r="E49" s="171">
        <v>37730</v>
      </c>
      <c r="F49" s="171">
        <v>46840</v>
      </c>
      <c r="G49" s="171">
        <v>51660</v>
      </c>
      <c r="H49" s="171">
        <v>56490</v>
      </c>
      <c r="I49" s="177">
        <v>59314.5</v>
      </c>
      <c r="J49" s="172">
        <f t="shared" si="0"/>
        <v>54243</v>
      </c>
    </row>
    <row r="50" spans="2:10" x14ac:dyDescent="0.45">
      <c r="B50" s="166">
        <v>48</v>
      </c>
      <c r="C50" s="166"/>
      <c r="D50" s="170">
        <v>37600</v>
      </c>
      <c r="E50" s="171">
        <v>37930</v>
      </c>
      <c r="F50" s="171">
        <v>47040</v>
      </c>
      <c r="G50" s="171">
        <v>51870</v>
      </c>
      <c r="H50" s="171">
        <v>56690</v>
      </c>
      <c r="I50" s="177">
        <v>59524.5</v>
      </c>
      <c r="J50" s="172">
        <f t="shared" si="0"/>
        <v>54463.5</v>
      </c>
    </row>
    <row r="51" spans="2:10" x14ac:dyDescent="0.45">
      <c r="B51" s="166">
        <v>49</v>
      </c>
      <c r="C51" s="166"/>
      <c r="D51" s="170">
        <v>38400</v>
      </c>
      <c r="E51" s="171">
        <v>38130</v>
      </c>
      <c r="F51" s="171">
        <v>47250</v>
      </c>
      <c r="G51" s="171">
        <v>52070</v>
      </c>
      <c r="H51" s="171">
        <v>56900</v>
      </c>
      <c r="I51" s="177">
        <v>59745</v>
      </c>
      <c r="J51" s="172">
        <f t="shared" si="0"/>
        <v>54673.5</v>
      </c>
    </row>
    <row r="52" spans="2:10" x14ac:dyDescent="0.45">
      <c r="B52" s="166">
        <v>50</v>
      </c>
      <c r="C52" s="166"/>
      <c r="D52" s="170">
        <v>39200</v>
      </c>
      <c r="E52" s="171">
        <v>38340</v>
      </c>
      <c r="F52" s="171">
        <v>47450</v>
      </c>
      <c r="G52" s="171">
        <v>52270</v>
      </c>
      <c r="H52" s="171">
        <v>57100</v>
      </c>
      <c r="I52" s="177">
        <v>59955</v>
      </c>
      <c r="J52" s="172">
        <f t="shared" si="0"/>
        <v>54883.5</v>
      </c>
    </row>
    <row r="53" spans="2:10" x14ac:dyDescent="0.45">
      <c r="B53" s="166">
        <v>51</v>
      </c>
      <c r="C53" s="166">
        <v>10</v>
      </c>
      <c r="D53" s="170">
        <v>40000</v>
      </c>
      <c r="E53" s="171">
        <v>38810</v>
      </c>
      <c r="F53" s="171">
        <v>47650</v>
      </c>
      <c r="G53" s="171">
        <v>52480</v>
      </c>
      <c r="H53" s="171">
        <v>57300</v>
      </c>
      <c r="I53" s="177">
        <v>60165</v>
      </c>
      <c r="J53" s="172">
        <f t="shared" si="0"/>
        <v>55104</v>
      </c>
    </row>
    <row r="54" spans="2:10" x14ac:dyDescent="0.45">
      <c r="B54" s="166">
        <v>52</v>
      </c>
      <c r="C54" s="166"/>
      <c r="D54" s="170">
        <v>40800</v>
      </c>
      <c r="E54" s="171">
        <v>39020</v>
      </c>
      <c r="F54" s="171">
        <v>47850</v>
      </c>
      <c r="G54" s="171">
        <v>52680</v>
      </c>
      <c r="H54" s="171">
        <v>57500</v>
      </c>
      <c r="I54" s="177">
        <v>60375</v>
      </c>
      <c r="J54" s="172">
        <f t="shared" si="0"/>
        <v>55314</v>
      </c>
    </row>
    <row r="55" spans="2:10" x14ac:dyDescent="0.45">
      <c r="B55" s="166">
        <v>53</v>
      </c>
      <c r="C55" s="166"/>
      <c r="D55" s="170">
        <v>41600</v>
      </c>
      <c r="E55" s="171">
        <v>39220</v>
      </c>
      <c r="F55" s="171">
        <v>48060</v>
      </c>
      <c r="G55" s="171">
        <v>52880</v>
      </c>
      <c r="H55" s="171">
        <v>57710</v>
      </c>
      <c r="I55" s="177">
        <v>60595.5</v>
      </c>
      <c r="J55" s="172">
        <f t="shared" si="0"/>
        <v>55524</v>
      </c>
    </row>
    <row r="56" spans="2:10" x14ac:dyDescent="0.45">
      <c r="B56" s="166">
        <v>54</v>
      </c>
      <c r="C56" s="166"/>
      <c r="D56" s="170">
        <v>42400</v>
      </c>
      <c r="E56" s="171">
        <v>39420</v>
      </c>
      <c r="F56" s="171">
        <v>48260</v>
      </c>
      <c r="G56" s="171">
        <v>53080</v>
      </c>
      <c r="H56" s="171">
        <v>57910</v>
      </c>
      <c r="I56" s="177">
        <v>60805.5</v>
      </c>
      <c r="J56" s="172">
        <f t="shared" si="0"/>
        <v>55734</v>
      </c>
    </row>
    <row r="57" spans="2:10" x14ac:dyDescent="0.45">
      <c r="B57" s="166">
        <v>55</v>
      </c>
      <c r="C57" s="166"/>
      <c r="D57" s="170">
        <v>43200</v>
      </c>
      <c r="E57" s="171">
        <v>39630</v>
      </c>
      <c r="F57" s="171">
        <v>48460</v>
      </c>
      <c r="G57" s="171">
        <v>53290</v>
      </c>
      <c r="H57" s="171">
        <v>58110</v>
      </c>
      <c r="I57" s="177">
        <v>61015.5</v>
      </c>
      <c r="J57" s="172">
        <f t="shared" si="0"/>
        <v>55954.5</v>
      </c>
    </row>
    <row r="58" spans="2:10" x14ac:dyDescent="0.45">
      <c r="B58" s="166">
        <v>56</v>
      </c>
      <c r="C58" s="173">
        <v>11</v>
      </c>
      <c r="D58" s="173">
        <v>44000</v>
      </c>
      <c r="E58" s="179">
        <v>39830</v>
      </c>
      <c r="F58" s="179">
        <v>48670</v>
      </c>
      <c r="G58" s="179">
        <v>53490</v>
      </c>
      <c r="H58" s="179">
        <v>58320</v>
      </c>
      <c r="I58" s="179">
        <v>61236</v>
      </c>
      <c r="J58" s="180">
        <f t="shared" si="0"/>
        <v>56164.5</v>
      </c>
    </row>
    <row r="59" spans="2:10" x14ac:dyDescent="0.45">
      <c r="D59" s="177" cm="1">
        <f t="array" ref="D59">INDEX(E3:E58, MATCH(MAX(ABS(E3:E58)), ABS(E3:E58), 0))</f>
        <v>39830</v>
      </c>
      <c r="E59" s="177" cm="1">
        <f t="array" ref="E59">INDEX(F3:F58, MATCH(MAX(ABS(F3:F58)), ABS(F3:F58), 0))</f>
        <v>48670</v>
      </c>
      <c r="F59" s="177" cm="1">
        <f t="array" ref="F59">INDEX(G3:G58, MATCH(MAX(ABS(G3:G58)), ABS(G3:G58), 0))</f>
        <v>53490</v>
      </c>
      <c r="G59" s="177" cm="1">
        <f t="array" ref="G59">INDEX(H3:H58, MATCH(MAX(ABS(H3:H58)), ABS(H3:H58), 0))</f>
        <v>58320</v>
      </c>
      <c r="H59" s="177">
        <f>MAX(I3:I58)</f>
        <v>61236</v>
      </c>
    </row>
    <row r="60" spans="2:10" x14ac:dyDescent="0.45">
      <c r="D60" s="177">
        <f>MIN(E3:E58)</f>
        <v>6367</v>
      </c>
      <c r="E60" s="177">
        <f>MIN(F3:F58)</f>
        <v>16000</v>
      </c>
      <c r="F60" s="177">
        <f t="shared" ref="F60:G60" si="1">MIN(G3:G58)</f>
        <v>20830</v>
      </c>
      <c r="G60" s="177">
        <f t="shared" si="1"/>
        <v>25650</v>
      </c>
      <c r="H60" s="177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16" zoomScale="130" zoomScaleNormal="130" workbookViewId="0">
      <selection activeCell="Y49" sqref="Y4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0">
        <f>'Global Strength'!C10</f>
        <v>1054200</v>
      </c>
      <c r="N11" s="320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1">
        <f>'Global Strength'!C6</f>
        <v>27.497900000000001</v>
      </c>
      <c r="N12" s="321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1">
        <f>'Global Strength'!C5</f>
        <v>5.92</v>
      </c>
      <c r="N13" s="321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0"/>
      <c r="N14" s="320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0">
        <f>'Global Strength'!C27</f>
        <v>21871.5</v>
      </c>
      <c r="N15" s="320"/>
      <c r="O15" s="5" t="s">
        <v>92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9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9" ht="12" customHeight="1" x14ac:dyDescent="0.45">
      <c r="C19" s="4" t="s">
        <v>96</v>
      </c>
    </row>
    <row r="20" spans="1:29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9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9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9" ht="12" customHeight="1" x14ac:dyDescent="0.45">
      <c r="A23" s="287">
        <v>1</v>
      </c>
      <c r="B23" s="288" t="s">
        <v>130</v>
      </c>
      <c r="C23" s="288">
        <v>0.8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226.95784041690456</v>
      </c>
      <c r="R23" s="292">
        <v>0</v>
      </c>
      <c r="S23" s="292">
        <v>-20.2</v>
      </c>
      <c r="T23" s="290">
        <f t="shared" ref="T23:T24" si="0">SQRT(Q23^2+R23^2-Q23*R23+3*S23^2)</f>
        <v>229.63880622992517</v>
      </c>
      <c r="U23" s="289">
        <f>MIN(K23/$F$7,1.3*(K23/$F$7-T23))</f>
        <v>121.01500644655178</v>
      </c>
      <c r="V23" s="290">
        <f>14.3*$F$8/SQRT(K23/$F$7)</f>
        <v>5.5720658924548943</v>
      </c>
      <c r="W23" s="290">
        <f>15.8*N23*L23*SQRT(J23)/SQRT(U23*P23)</f>
        <v>14.121437547345826</v>
      </c>
      <c r="X23" s="290">
        <f>MAX(V23,W23)+O23</f>
        <v>15.621437547345826</v>
      </c>
      <c r="Y23" s="293">
        <v>16</v>
      </c>
      <c r="Z23" s="294" t="str">
        <f>IF(MROUND(X23,0.5)&lt;=Y23,"OK","N.G")</f>
        <v>OK</v>
      </c>
      <c r="AA23" s="68"/>
    </row>
    <row r="24" spans="1:29" ht="12" customHeight="1" x14ac:dyDescent="0.45">
      <c r="A24" s="183">
        <v>2</v>
      </c>
      <c r="B24" s="184" t="s">
        <v>130</v>
      </c>
      <c r="C24" s="184">
        <v>1.7320000000000002</v>
      </c>
      <c r="D24" s="184">
        <v>0</v>
      </c>
      <c r="E24" s="185">
        <v>0</v>
      </c>
      <c r="F24" s="185">
        <v>0</v>
      </c>
      <c r="G24" s="185">
        <f t="shared" ref="G24:G57" si="1">E24*$F$18+F24*$F$17</f>
        <v>0</v>
      </c>
      <c r="H24" s="186">
        <f t="shared" ref="H24:H74" si="2">1.025*9.81*(($F$10+0.76)-D24)</f>
        <v>127.29946499999998</v>
      </c>
      <c r="I24" s="185">
        <v>0</v>
      </c>
      <c r="J24" s="185">
        <f t="shared" ref="J24:J7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29" si="4">$M$11/ABS(($M$12/(D24-$M$13)))/1000</f>
        <v>226.95784041690456</v>
      </c>
      <c r="R24" s="188">
        <v>0</v>
      </c>
      <c r="S24" s="188">
        <v>-14.7</v>
      </c>
      <c r="T24" s="186">
        <f t="shared" si="0"/>
        <v>228.38154769312058</v>
      </c>
      <c r="U24" s="185">
        <f>MIN(K24/$F$7,1.3*(K24/$F$7-T24))</f>
        <v>122.64944254439774</v>
      </c>
      <c r="V24" s="186">
        <f>14.3*$F$8/SQRT(K24/$F$7)</f>
        <v>5.5720658924548943</v>
      </c>
      <c r="W24" s="186">
        <f>15.8*N24*L24*SQRT(J24)/SQRT(U24*P24)</f>
        <v>14.027030280255133</v>
      </c>
      <c r="X24" s="186">
        <f>MAX(V24,W24)+O24</f>
        <v>15.527030280255133</v>
      </c>
      <c r="Y24" s="189">
        <v>16</v>
      </c>
      <c r="Z24" s="190" t="str">
        <f t="shared" ref="Z24:Z57" si="5">IF(MROUND(X24,0.5)&lt;=Y24,"OK","N.G")</f>
        <v>OK</v>
      </c>
    </row>
    <row r="25" spans="1:29" ht="12" customHeight="1" x14ac:dyDescent="0.45">
      <c r="A25" s="183">
        <v>3</v>
      </c>
      <c r="B25" s="184" t="s">
        <v>130</v>
      </c>
      <c r="C25" s="184">
        <v>2.5980000000000003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226.95784041690456</v>
      </c>
      <c r="R25" s="188">
        <v>0</v>
      </c>
      <c r="S25" s="188">
        <v>-9.5</v>
      </c>
      <c r="T25" s="186">
        <f>SQRT(Q25^2+R25^2-Q25*R25+3*S25^2)</f>
        <v>227.55353507846263</v>
      </c>
      <c r="U25" s="185">
        <f>MIN(K25/$F$7,1.3*(K25/$F$7-T25))</f>
        <v>123.72585894345308</v>
      </c>
      <c r="V25" s="186">
        <f t="shared" ref="V25:V57" si="6">14.3*$F$8/SQRT(K25/$F$7)</f>
        <v>5.5720658924548943</v>
      </c>
      <c r="W25" s="186">
        <f t="shared" ref="W25:W30" si="7">15.8*N25*L25*SQRT(J25)/SQRT(U25*P25)</f>
        <v>13.965879323632711</v>
      </c>
      <c r="X25" s="186">
        <f t="shared" ref="X25:X56" si="8">MAX(V25,W25)+O25</f>
        <v>15.465879323632711</v>
      </c>
      <c r="Y25" s="189">
        <v>16</v>
      </c>
      <c r="Z25" s="190" t="str">
        <f t="shared" si="5"/>
        <v>OK</v>
      </c>
    </row>
    <row r="26" spans="1:29" ht="12" customHeight="1" x14ac:dyDescent="0.45">
      <c r="A26" s="223">
        <v>4</v>
      </c>
      <c r="B26" s="224" t="s">
        <v>130</v>
      </c>
      <c r="C26" s="224">
        <v>3.4640000000000004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226.95784041690456</v>
      </c>
      <c r="R26" s="228">
        <v>0</v>
      </c>
      <c r="S26" s="228">
        <v>-4.4000000000000004</v>
      </c>
      <c r="T26" s="226">
        <f t="shared" ref="T26:T59" si="9">SQRT(Q26^2+R26^2-Q26*R26+3*S26^2)</f>
        <v>227.0857576483059</v>
      </c>
      <c r="U26" s="225">
        <f>MIN(K26/$F$7,1.3*(K26/$F$7-T26))</f>
        <v>124.33396960265684</v>
      </c>
      <c r="V26" s="226">
        <f t="shared" si="6"/>
        <v>5.5720658924548943</v>
      </c>
      <c r="W26" s="226">
        <f t="shared" si="7"/>
        <v>13.931684284106336</v>
      </c>
      <c r="X26" s="226">
        <f>MAX(V26,W26)+O26</f>
        <v>15.431684284106336</v>
      </c>
      <c r="Y26" s="229">
        <v>16</v>
      </c>
      <c r="Z26" s="230" t="str">
        <f t="shared" si="5"/>
        <v>OK</v>
      </c>
    </row>
    <row r="27" spans="1:29" ht="12" customHeight="1" x14ac:dyDescent="0.45">
      <c r="A27" s="215">
        <v>5</v>
      </c>
      <c r="B27" s="216" t="s">
        <v>130</v>
      </c>
      <c r="C27" s="216">
        <v>4.33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226.95784041690456</v>
      </c>
      <c r="R27" s="220">
        <v>0</v>
      </c>
      <c r="S27" s="220">
        <v>0.8</v>
      </c>
      <c r="T27" s="218">
        <f t="shared" si="9"/>
        <v>226.96207023796975</v>
      </c>
      <c r="U27" s="217">
        <f>MIN(K27/$F$7,1.3*(K27/$F$7-T27))</f>
        <v>124.49476323609382</v>
      </c>
      <c r="V27" s="218">
        <f t="shared" si="6"/>
        <v>5.5720658924548943</v>
      </c>
      <c r="W27" s="218">
        <f t="shared" si="7"/>
        <v>13.922684508273203</v>
      </c>
      <c r="X27" s="218">
        <f t="shared" si="8"/>
        <v>15.422684508273203</v>
      </c>
      <c r="Y27" s="221">
        <v>16</v>
      </c>
      <c r="Z27" s="222" t="str">
        <f t="shared" si="5"/>
        <v>OK</v>
      </c>
    </row>
    <row r="28" spans="1:29" ht="12" customHeight="1" x14ac:dyDescent="0.45">
      <c r="A28" s="183">
        <v>6</v>
      </c>
      <c r="B28" s="184" t="s">
        <v>130</v>
      </c>
      <c r="C28" s="184">
        <v>5.1959999999999997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226.95784041690456</v>
      </c>
      <c r="R28" s="188">
        <v>0</v>
      </c>
      <c r="S28" s="188">
        <v>6</v>
      </c>
      <c r="T28" s="186">
        <f t="shared" si="9"/>
        <v>227.19564548359003</v>
      </c>
      <c r="U28" s="185">
        <f t="shared" ref="U28:U30" si="10">MIN(K28/$F$7,1.3*(K28/$F$7-T28))</f>
        <v>124.19111541678747</v>
      </c>
      <c r="V28" s="186">
        <f t="shared" si="6"/>
        <v>5.5720658924548943</v>
      </c>
      <c r="W28" s="186">
        <f t="shared" si="7"/>
        <v>13.939694629364459</v>
      </c>
      <c r="X28" s="186">
        <f t="shared" si="8"/>
        <v>15.439694629364459</v>
      </c>
      <c r="Y28" s="189">
        <v>16</v>
      </c>
      <c r="Z28" s="190" t="str">
        <f t="shared" si="5"/>
        <v>OK</v>
      </c>
    </row>
    <row r="29" spans="1:29" ht="12" customHeight="1" x14ac:dyDescent="0.45">
      <c r="A29" s="183">
        <v>7</v>
      </c>
      <c r="B29" s="184" t="s">
        <v>130</v>
      </c>
      <c r="C29" s="184">
        <v>7.1059999999999999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226.95784041690456</v>
      </c>
      <c r="R29" s="188">
        <v>0</v>
      </c>
      <c r="S29" s="188">
        <v>15.3</v>
      </c>
      <c r="T29" s="186">
        <f t="shared" si="9"/>
        <v>228.49974032087019</v>
      </c>
      <c r="U29" s="185">
        <f t="shared" si="10"/>
        <v>122.49579212832326</v>
      </c>
      <c r="V29" s="186">
        <f t="shared" si="6"/>
        <v>5.5720658924548943</v>
      </c>
      <c r="W29" s="186">
        <f t="shared" si="7"/>
        <v>14.035824801161743</v>
      </c>
      <c r="X29" s="186">
        <f t="shared" si="8"/>
        <v>15.535824801161743</v>
      </c>
      <c r="Y29" s="189">
        <v>16</v>
      </c>
      <c r="Z29" s="190" t="str">
        <f>IF(MROUND(X29,0.5)&lt;=Y29,"OK","N.G")</f>
        <v>OK</v>
      </c>
    </row>
    <row r="30" spans="1:29" ht="12" customHeight="1" x14ac:dyDescent="0.45">
      <c r="A30" s="207">
        <v>8</v>
      </c>
      <c r="B30" s="208" t="s">
        <v>130</v>
      </c>
      <c r="C30" s="208">
        <v>7.8559999999999999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ref="Q30:Q48" si="11">$M$11/ABS(($M$12/(D30-$M$13)))/1000</f>
        <v>226.95784041690456</v>
      </c>
      <c r="R30" s="212">
        <v>0</v>
      </c>
      <c r="S30" s="212">
        <v>18.5</v>
      </c>
      <c r="T30" s="210">
        <f t="shared" si="9"/>
        <v>229.20866328894533</v>
      </c>
      <c r="U30" s="209">
        <f t="shared" si="10"/>
        <v>121.57419226982557</v>
      </c>
      <c r="V30" s="210">
        <f t="shared" si="6"/>
        <v>5.5720658924548943</v>
      </c>
      <c r="W30" s="210">
        <f t="shared" si="7"/>
        <v>14.088924032105798</v>
      </c>
      <c r="X30" s="210">
        <f t="shared" si="8"/>
        <v>15.588924032105798</v>
      </c>
      <c r="Y30" s="213">
        <v>16</v>
      </c>
      <c r="Z30" s="214" t="str">
        <f t="shared" si="5"/>
        <v>OK</v>
      </c>
    </row>
    <row r="31" spans="1:29" ht="12" customHeight="1" x14ac:dyDescent="0.3">
      <c r="A31" s="231">
        <v>9</v>
      </c>
      <c r="B31" s="232" t="s">
        <v>131</v>
      </c>
      <c r="C31" s="232">
        <v>7.8559999999999999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11"/>
        <v>226.95784041690456</v>
      </c>
      <c r="R31" s="236">
        <v>0</v>
      </c>
      <c r="S31" s="236">
        <v>18.399999999999999</v>
      </c>
      <c r="T31" s="233">
        <f>SQRT(Q31^2+R31^2-Q31*R31+3*S31^2)</f>
        <v>229.1845137148344</v>
      </c>
      <c r="U31" s="234">
        <f>MIN(K31/$F$7,1.3*(K31/$F$7-T31))</f>
        <v>121.60558671616978</v>
      </c>
      <c r="V31" s="233">
        <f>14.3*$F$8/SQRT(K31/$F$7)</f>
        <v>5.5720658924548943</v>
      </c>
      <c r="W31" s="233">
        <f>15.8*N31*L31*SQRT(J31)/SQRT(U31*P31)</f>
        <v>13.147964921525874</v>
      </c>
      <c r="X31" s="233">
        <f t="shared" si="8"/>
        <v>14.647964921525874</v>
      </c>
      <c r="Y31" s="237" ph="1">
        <v>16</v>
      </c>
      <c r="Z31" s="238" t="str">
        <f>IF(MROUND(X31,0.5)&lt;=Y31,"OK","N.G")</f>
        <v>OK</v>
      </c>
      <c r="AA31" s="68"/>
      <c r="AB31" s="74"/>
      <c r="AC31" s="74"/>
    </row>
    <row r="32" spans="1:29" ht="12" customHeight="1" x14ac:dyDescent="0.3">
      <c r="A32" s="191">
        <v>10</v>
      </c>
      <c r="B32" s="192" t="s">
        <v>131</v>
      </c>
      <c r="C32" s="192">
        <v>7.8559999999999999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11"/>
        <v>200.12160928652733</v>
      </c>
      <c r="R32" s="196">
        <v>0</v>
      </c>
      <c r="S32" s="196">
        <v>22.3</v>
      </c>
      <c r="T32" s="193">
        <f t="shared" si="9"/>
        <v>203.81493689970199</v>
      </c>
      <c r="U32" s="194">
        <f t="shared" ref="U32:U73" si="12">MIN(K32/$F$7,1.3*(K32/$F$7-T32))</f>
        <v>154.58603657584192</v>
      </c>
      <c r="V32" s="193">
        <f t="shared" si="6"/>
        <v>5.5720658924548943</v>
      </c>
      <c r="W32" s="193">
        <f t="shared" ref="W32:W56" si="13">15.8*N32*L32*SQRT(J32)/SQRT(U32*P32)</f>
        <v>11.334409683052844</v>
      </c>
      <c r="X32" s="193">
        <f t="shared" si="8"/>
        <v>12.834409683052844</v>
      </c>
      <c r="Y32" s="237" ph="1">
        <v>16</v>
      </c>
      <c r="Z32" s="198" t="str">
        <f>IF(MROUND(X32,0.5)&lt;=Y32,"OK","N.G")</f>
        <v>OK</v>
      </c>
    </row>
    <row r="33" spans="1:26" ht="12" customHeight="1" x14ac:dyDescent="0.3">
      <c r="A33" s="191">
        <v>11</v>
      </c>
      <c r="B33" s="192" t="s">
        <v>131</v>
      </c>
      <c r="C33" s="192">
        <v>7.8559999999999999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11"/>
        <v>173.28537815615007</v>
      </c>
      <c r="R33" s="196">
        <v>0</v>
      </c>
      <c r="S33" s="196">
        <v>25.7</v>
      </c>
      <c r="T33" s="193">
        <f t="shared" si="9"/>
        <v>178.91140903452728</v>
      </c>
      <c r="U33" s="194">
        <f t="shared" si="12"/>
        <v>186.96062280056904</v>
      </c>
      <c r="V33" s="193">
        <f t="shared" si="6"/>
        <v>5.5720658924548943</v>
      </c>
      <c r="W33" s="193">
        <f t="shared" si="13"/>
        <v>10.000289434727922</v>
      </c>
      <c r="X33" s="193">
        <f t="shared" si="8"/>
        <v>11.500289434727922</v>
      </c>
      <c r="Y33" s="237" ph="1">
        <v>16</v>
      </c>
      <c r="Z33" s="198" t="str">
        <f>IF(MROUND(X33,0.5)&lt;=Y33,"OK","N.G")</f>
        <v>OK</v>
      </c>
    </row>
    <row r="34" spans="1:26" ht="12" customHeight="1" x14ac:dyDescent="0.3">
      <c r="A34" s="191">
        <v>12</v>
      </c>
      <c r="B34" s="192" t="s">
        <v>131</v>
      </c>
      <c r="C34" s="192">
        <v>7.8559999999999999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11"/>
        <v>146.4491470257729</v>
      </c>
      <c r="R34" s="196">
        <v>0</v>
      </c>
      <c r="S34" s="196">
        <v>28.6</v>
      </c>
      <c r="T34" s="193">
        <f t="shared" si="9"/>
        <v>154.60023500815402</v>
      </c>
      <c r="U34" s="194">
        <f t="shared" si="12"/>
        <v>218.56514903485427</v>
      </c>
      <c r="V34" s="193">
        <f t="shared" si="6"/>
        <v>5.5720658924548943</v>
      </c>
      <c r="W34" s="193">
        <f t="shared" si="13"/>
        <v>8.956945877875258</v>
      </c>
      <c r="X34" s="193">
        <f t="shared" si="8"/>
        <v>10.456945877875258</v>
      </c>
      <c r="Y34" s="237" ph="1">
        <v>16</v>
      </c>
      <c r="Z34" s="198" t="str">
        <f t="shared" si="5"/>
        <v>OK</v>
      </c>
    </row>
    <row r="35" spans="1:26" ht="12" customHeight="1" x14ac:dyDescent="0.3">
      <c r="A35" s="279">
        <v>13</v>
      </c>
      <c r="B35" s="280" t="s">
        <v>131</v>
      </c>
      <c r="C35" s="280">
        <v>7.8559999999999999</v>
      </c>
      <c r="D35" s="281">
        <f t="shared" ref="D35:D48" si="14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11"/>
        <v>119.61291589539564</v>
      </c>
      <c r="R35" s="284">
        <v>0</v>
      </c>
      <c r="S35" s="284">
        <v>30.7</v>
      </c>
      <c r="T35" s="281">
        <f t="shared" si="9"/>
        <v>130.89965488494991</v>
      </c>
      <c r="U35" s="282">
        <f t="shared" si="12"/>
        <v>249.37590319501962</v>
      </c>
      <c r="V35" s="281">
        <f t="shared" si="6"/>
        <v>5.5720658924548943</v>
      </c>
      <c r="W35" s="281">
        <f t="shared" si="13"/>
        <v>8.1026981809912186</v>
      </c>
      <c r="X35" s="281">
        <f t="shared" si="8"/>
        <v>9.6026981809912186</v>
      </c>
      <c r="Y35" s="237" ph="1">
        <v>16</v>
      </c>
      <c r="Z35" s="286" t="str">
        <f t="shared" si="5"/>
        <v>OK</v>
      </c>
    </row>
    <row r="36" spans="1:26" ht="12" customHeight="1" x14ac:dyDescent="0.3">
      <c r="A36" s="247">
        <v>14</v>
      </c>
      <c r="B36" s="248" t="s">
        <v>131</v>
      </c>
      <c r="C36" s="248">
        <v>7.8559999999999999</v>
      </c>
      <c r="D36" s="249">
        <f t="shared" si="14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11"/>
        <v>92.776684765018402</v>
      </c>
      <c r="R36" s="252">
        <v>0</v>
      </c>
      <c r="S36" s="252">
        <v>32.5</v>
      </c>
      <c r="T36" s="249">
        <f t="shared" si="9"/>
        <v>108.51849259913075</v>
      </c>
      <c r="U36" s="250">
        <f t="shared" si="12"/>
        <v>278.47141416658451</v>
      </c>
      <c r="V36" s="249">
        <f t="shared" si="6"/>
        <v>5.5720658924548943</v>
      </c>
      <c r="W36" s="249">
        <f t="shared" si="13"/>
        <v>7.390534935655622</v>
      </c>
      <c r="X36" s="249">
        <f t="shared" si="8"/>
        <v>8.8905349356556229</v>
      </c>
      <c r="Y36" s="253" ph="1">
        <v>16</v>
      </c>
      <c r="Z36" s="254" t="str">
        <f t="shared" si="5"/>
        <v>OK</v>
      </c>
    </row>
    <row r="37" spans="1:26" ht="12" customHeight="1" x14ac:dyDescent="0.3">
      <c r="A37" s="191">
        <v>15</v>
      </c>
      <c r="B37" s="192" t="s">
        <v>131</v>
      </c>
      <c r="C37" s="192">
        <v>7.8559999999999999</v>
      </c>
      <c r="D37" s="193">
        <f t="shared" si="14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11"/>
        <v>65.940453634641173</v>
      </c>
      <c r="R37" s="196">
        <v>0</v>
      </c>
      <c r="S37" s="196">
        <v>33.799999999999997</v>
      </c>
      <c r="T37" s="193">
        <f t="shared" si="9"/>
        <v>88.178588248748127</v>
      </c>
      <c r="U37" s="194">
        <f t="shared" si="12"/>
        <v>304.91328982208194</v>
      </c>
      <c r="V37" s="193">
        <f t="shared" si="6"/>
        <v>5.5720658924548943</v>
      </c>
      <c r="W37" s="193">
        <f t="shared" si="13"/>
        <v>6.7875876726062128</v>
      </c>
      <c r="X37" s="193">
        <f t="shared" si="8"/>
        <v>8.2875876726062128</v>
      </c>
      <c r="Y37" s="197" ph="1">
        <v>16</v>
      </c>
      <c r="Z37" s="198" t="str">
        <f t="shared" si="5"/>
        <v>OK</v>
      </c>
    </row>
    <row r="38" spans="1:26" ht="12" customHeight="1" x14ac:dyDescent="0.3">
      <c r="A38" s="191">
        <v>16</v>
      </c>
      <c r="B38" s="192" t="s">
        <v>131</v>
      </c>
      <c r="C38" s="192">
        <v>7.8559999999999999</v>
      </c>
      <c r="D38" s="193">
        <f t="shared" si="14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11"/>
        <v>39.104222504263937</v>
      </c>
      <c r="R38" s="196">
        <v>0</v>
      </c>
      <c r="S38" s="196">
        <v>34.6</v>
      </c>
      <c r="T38" s="193">
        <f t="shared" si="9"/>
        <v>71.558509051425759</v>
      </c>
      <c r="U38" s="194">
        <f t="shared" si="12"/>
        <v>322.72727272727269</v>
      </c>
      <c r="V38" s="193">
        <f t="shared" si="6"/>
        <v>5.5720658924548943</v>
      </c>
      <c r="W38" s="193">
        <f t="shared" si="13"/>
        <v>6.3187543844466276</v>
      </c>
      <c r="X38" s="193">
        <f t="shared" si="8"/>
        <v>7.8187543844466276</v>
      </c>
      <c r="Y38" s="197" ph="1">
        <v>16</v>
      </c>
      <c r="Z38" s="198" t="str">
        <f t="shared" si="5"/>
        <v>OK</v>
      </c>
    </row>
    <row r="39" spans="1:26" ht="12" customHeight="1" x14ac:dyDescent="0.3">
      <c r="A39" s="279">
        <v>17</v>
      </c>
      <c r="B39" s="280" t="s">
        <v>131</v>
      </c>
      <c r="C39" s="280">
        <v>7.8559999999999999</v>
      </c>
      <c r="D39" s="281">
        <f t="shared" si="14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11"/>
        <v>12.267991373886709</v>
      </c>
      <c r="R39" s="284">
        <v>0</v>
      </c>
      <c r="S39" s="284">
        <v>0</v>
      </c>
      <c r="T39" s="281">
        <f t="shared" si="9"/>
        <v>12.267991373886709</v>
      </c>
      <c r="U39" s="282">
        <f t="shared" si="12"/>
        <v>322.72727272727269</v>
      </c>
      <c r="V39" s="281">
        <f t="shared" si="6"/>
        <v>5.5720658924548943</v>
      </c>
      <c r="W39" s="281">
        <f t="shared" si="13"/>
        <v>6.0270246011751434</v>
      </c>
      <c r="X39" s="281">
        <f t="shared" si="8"/>
        <v>7.5270246011751434</v>
      </c>
      <c r="Y39" s="285" ph="1">
        <v>16</v>
      </c>
      <c r="Z39" s="286" t="str">
        <f t="shared" si="5"/>
        <v>OK</v>
      </c>
    </row>
    <row r="40" spans="1:26" ht="12" customHeight="1" x14ac:dyDescent="0.3">
      <c r="A40" s="247">
        <v>18</v>
      </c>
      <c r="B40" s="248" t="s">
        <v>131</v>
      </c>
      <c r="C40" s="248">
        <v>7.8559999999999999</v>
      </c>
      <c r="D40" s="249">
        <f t="shared" si="14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11"/>
        <v>14.568239756490524</v>
      </c>
      <c r="R40" s="252">
        <v>0</v>
      </c>
      <c r="S40" s="252">
        <v>34.9</v>
      </c>
      <c r="T40" s="249">
        <f t="shared" si="9"/>
        <v>62.179286017150368</v>
      </c>
      <c r="U40" s="250">
        <f t="shared" si="12"/>
        <v>322.72727272727269</v>
      </c>
      <c r="V40" s="249">
        <f t="shared" si="6"/>
        <v>5.5720658924548943</v>
      </c>
      <c r="W40" s="249">
        <f t="shared" si="13"/>
        <v>5.7204365318896162</v>
      </c>
      <c r="X40" s="249">
        <f t="shared" si="8"/>
        <v>7.2204365318896162</v>
      </c>
      <c r="Y40" s="253" ph="1">
        <v>16</v>
      </c>
      <c r="Z40" s="254" t="str">
        <f t="shared" si="5"/>
        <v>OK</v>
      </c>
    </row>
    <row r="41" spans="1:26" ht="12" customHeight="1" x14ac:dyDescent="0.3">
      <c r="A41" s="191">
        <v>19</v>
      </c>
      <c r="B41" s="192" t="s">
        <v>131</v>
      </c>
      <c r="C41" s="192">
        <v>7.8559999999999999</v>
      </c>
      <c r="D41" s="193">
        <f t="shared" si="14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11"/>
        <v>41.404470886867763</v>
      </c>
      <c r="R41" s="196">
        <v>0</v>
      </c>
      <c r="S41" s="196">
        <v>34.4</v>
      </c>
      <c r="T41" s="193">
        <f t="shared" si="9"/>
        <v>72.556255480981662</v>
      </c>
      <c r="U41" s="194">
        <f t="shared" si="12"/>
        <v>322.72727272727269</v>
      </c>
      <c r="V41" s="193">
        <f t="shared" si="6"/>
        <v>5.5720658924548943</v>
      </c>
      <c r="W41" s="193">
        <f t="shared" si="13"/>
        <v>5.396458346692226</v>
      </c>
      <c r="X41" s="193">
        <f t="shared" si="8"/>
        <v>7.0720658924548943</v>
      </c>
      <c r="Y41" s="197" ph="1">
        <v>16</v>
      </c>
      <c r="Z41" s="198" t="str">
        <f t="shared" si="5"/>
        <v>OK</v>
      </c>
    </row>
    <row r="42" spans="1:26" ht="12" customHeight="1" x14ac:dyDescent="0.3">
      <c r="A42" s="191">
        <v>20</v>
      </c>
      <c r="B42" s="192" t="s">
        <v>131</v>
      </c>
      <c r="C42" s="192">
        <v>7.8559999999999999</v>
      </c>
      <c r="D42" s="193">
        <f t="shared" si="14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11"/>
        <v>68.240702017244985</v>
      </c>
      <c r="R42" s="196">
        <v>0</v>
      </c>
      <c r="S42" s="196">
        <v>33.4</v>
      </c>
      <c r="T42" s="193">
        <f t="shared" si="9"/>
        <v>89.462133955134476</v>
      </c>
      <c r="U42" s="194">
        <f t="shared" si="12"/>
        <v>303.24468040377968</v>
      </c>
      <c r="V42" s="193">
        <f t="shared" si="6"/>
        <v>5.5720658924548943</v>
      </c>
      <c r="W42" s="193">
        <f t="shared" si="13"/>
        <v>5.2114993783411272</v>
      </c>
      <c r="X42" s="193">
        <f t="shared" si="8"/>
        <v>7.0720658924548943</v>
      </c>
      <c r="Y42" s="197" ph="1">
        <v>16</v>
      </c>
      <c r="Z42" s="198" t="str">
        <f t="shared" si="5"/>
        <v>OK</v>
      </c>
    </row>
    <row r="43" spans="1:26" ht="12" customHeight="1" x14ac:dyDescent="0.3">
      <c r="A43" s="239">
        <v>21</v>
      </c>
      <c r="B43" s="240" t="s">
        <v>131</v>
      </c>
      <c r="C43" s="240">
        <v>7.8559999999999999</v>
      </c>
      <c r="D43" s="241">
        <f t="shared" si="14"/>
        <v>8.4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11"/>
        <v>95.076933147622199</v>
      </c>
      <c r="R43" s="244">
        <v>0</v>
      </c>
      <c r="S43" s="244">
        <v>32</v>
      </c>
      <c r="T43" s="241">
        <f t="shared" si="9"/>
        <v>110.05282012178253</v>
      </c>
      <c r="U43" s="242">
        <f t="shared" si="12"/>
        <v>276.47678838713722</v>
      </c>
      <c r="V43" s="241">
        <f t="shared" si="6"/>
        <v>5.5720658924548943</v>
      </c>
      <c r="W43" s="241">
        <f t="shared" si="13"/>
        <v>5.0581756803405993</v>
      </c>
      <c r="X43" s="241">
        <f t="shared" si="8"/>
        <v>7.0720658924548943</v>
      </c>
      <c r="Y43" s="245" ph="1">
        <v>16</v>
      </c>
      <c r="Z43" s="246" t="str">
        <f t="shared" si="5"/>
        <v>OK</v>
      </c>
    </row>
    <row r="44" spans="1:26" ht="12" customHeight="1" x14ac:dyDescent="0.3">
      <c r="A44" s="247">
        <v>22</v>
      </c>
      <c r="B44" s="248" t="s">
        <v>131</v>
      </c>
      <c r="C44" s="248">
        <v>7.8559999999999999</v>
      </c>
      <c r="D44" s="249">
        <f t="shared" si="14"/>
        <v>9.1</v>
      </c>
      <c r="E44" s="250">
        <v>0</v>
      </c>
      <c r="F44" s="250">
        <v>0</v>
      </c>
      <c r="G44" s="250">
        <f t="shared" si="1"/>
        <v>0</v>
      </c>
      <c r="H44" s="249">
        <f t="shared" si="2"/>
        <v>35.796690000000005</v>
      </c>
      <c r="I44" s="250">
        <v>0</v>
      </c>
      <c r="J44" s="250">
        <f t="shared" si="3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11"/>
        <v>121.91316427799939</v>
      </c>
      <c r="R44" s="252">
        <v>0</v>
      </c>
      <c r="S44" s="252">
        <v>30.1</v>
      </c>
      <c r="T44" s="249">
        <f t="shared" si="9"/>
        <v>132.5927962759458</v>
      </c>
      <c r="U44" s="250">
        <f t="shared" si="12"/>
        <v>247.17481938672498</v>
      </c>
      <c r="V44" s="249">
        <f t="shared" si="6"/>
        <v>5.5720658924548943</v>
      </c>
      <c r="W44" s="249">
        <f t="shared" si="13"/>
        <v>4.8903656673918805</v>
      </c>
      <c r="X44" s="249">
        <f t="shared" si="8"/>
        <v>7.0720658924548943</v>
      </c>
      <c r="Y44" s="253" ph="1">
        <v>16</v>
      </c>
      <c r="Z44" s="254" t="str">
        <f t="shared" si="5"/>
        <v>OK</v>
      </c>
    </row>
    <row r="45" spans="1:26" ht="12" customHeight="1" x14ac:dyDescent="0.3">
      <c r="A45" s="191">
        <v>23</v>
      </c>
      <c r="B45" s="192" t="s">
        <v>131</v>
      </c>
      <c r="C45" s="192">
        <v>7.8559999999999999</v>
      </c>
      <c r="D45" s="193">
        <f t="shared" si="14"/>
        <v>9.7999999999999989</v>
      </c>
      <c r="E45" s="194">
        <v>0</v>
      </c>
      <c r="F45" s="194">
        <v>0</v>
      </c>
      <c r="G45" s="194">
        <f t="shared" si="1"/>
        <v>0</v>
      </c>
      <c r="H45" s="193">
        <f t="shared" si="2"/>
        <v>28.758015000000011</v>
      </c>
      <c r="I45" s="194">
        <v>0</v>
      </c>
      <c r="J45" s="194">
        <f t="shared" si="3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11"/>
        <v>148.74939540837659</v>
      </c>
      <c r="R45" s="196">
        <v>0</v>
      </c>
      <c r="S45" s="196">
        <v>27.7</v>
      </c>
      <c r="T45" s="193">
        <f t="shared" si="9"/>
        <v>156.2954018336994</v>
      </c>
      <c r="U45" s="194">
        <f t="shared" si="12"/>
        <v>216.3614321616453</v>
      </c>
      <c r="V45" s="193">
        <f t="shared" si="6"/>
        <v>5.5720658924548943</v>
      </c>
      <c r="W45" s="193">
        <f t="shared" si="13"/>
        <v>4.6850209839986885</v>
      </c>
      <c r="X45" s="193">
        <f t="shared" si="8"/>
        <v>7.0720658924548943</v>
      </c>
      <c r="Y45" s="197" ph="1">
        <v>16</v>
      </c>
      <c r="Z45" s="198" t="str">
        <f t="shared" si="5"/>
        <v>OK</v>
      </c>
    </row>
    <row r="46" spans="1:26" ht="12" customHeight="1" x14ac:dyDescent="0.3">
      <c r="A46" s="191">
        <v>24</v>
      </c>
      <c r="B46" s="192" t="s">
        <v>131</v>
      </c>
      <c r="C46" s="192">
        <v>7.8559999999999999</v>
      </c>
      <c r="D46" s="193">
        <f t="shared" si="14"/>
        <v>10.499999999999998</v>
      </c>
      <c r="E46" s="194">
        <v>0</v>
      </c>
      <c r="F46" s="194">
        <v>0</v>
      </c>
      <c r="G46" s="194">
        <f t="shared" si="1"/>
        <v>0</v>
      </c>
      <c r="H46" s="193">
        <f t="shared" si="2"/>
        <v>21.719340000000017</v>
      </c>
      <c r="I46" s="194">
        <v>0</v>
      </c>
      <c r="J46" s="194">
        <f t="shared" si="3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11"/>
        <v>175.58562653875381</v>
      </c>
      <c r="R46" s="196">
        <v>0</v>
      </c>
      <c r="S46" s="196">
        <v>25</v>
      </c>
      <c r="T46" s="193">
        <f t="shared" si="9"/>
        <v>180.846101000289</v>
      </c>
      <c r="U46" s="194">
        <f t="shared" si="12"/>
        <v>184.44552324507882</v>
      </c>
      <c r="V46" s="193">
        <f t="shared" si="6"/>
        <v>5.5720658924548943</v>
      </c>
      <c r="W46" s="193">
        <f t="shared" si="13"/>
        <v>4.4097225330033254</v>
      </c>
      <c r="X46" s="193">
        <f t="shared" si="8"/>
        <v>7.0720658924548943</v>
      </c>
      <c r="Y46" s="197" ph="1">
        <v>16</v>
      </c>
      <c r="Z46" s="198" t="str">
        <f t="shared" si="5"/>
        <v>OK</v>
      </c>
    </row>
    <row r="47" spans="1:26" ht="12" customHeight="1" x14ac:dyDescent="0.3">
      <c r="A47" s="191">
        <v>25</v>
      </c>
      <c r="B47" s="192" t="s">
        <v>131</v>
      </c>
      <c r="C47" s="192">
        <v>7.8559999999999999</v>
      </c>
      <c r="D47" s="193">
        <f t="shared" si="14"/>
        <v>11.199999999999998</v>
      </c>
      <c r="E47" s="194">
        <v>0</v>
      </c>
      <c r="F47" s="194">
        <v>0</v>
      </c>
      <c r="G47" s="194">
        <f t="shared" si="1"/>
        <v>0</v>
      </c>
      <c r="H47" s="193">
        <f t="shared" si="2"/>
        <v>14.680665000000026</v>
      </c>
      <c r="I47" s="194">
        <v>0</v>
      </c>
      <c r="J47" s="194">
        <f t="shared" si="3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11"/>
        <v>202.42185766913099</v>
      </c>
      <c r="R47" s="196">
        <v>0</v>
      </c>
      <c r="S47" s="196">
        <v>17.100000000000001</v>
      </c>
      <c r="T47" s="193">
        <f t="shared" si="9"/>
        <v>204.57721882512217</v>
      </c>
      <c r="U47" s="194">
        <f t="shared" si="12"/>
        <v>153.59507007279566</v>
      </c>
      <c r="V47" s="193">
        <f t="shared" si="6"/>
        <v>5.5720658924548943</v>
      </c>
      <c r="W47" s="193">
        <f t="shared" si="13"/>
        <v>3.9728872251021317</v>
      </c>
      <c r="X47" s="193">
        <f t="shared" si="8"/>
        <v>7.0720658924548943</v>
      </c>
      <c r="Y47" s="197" ph="1">
        <v>16</v>
      </c>
      <c r="Z47" s="198" t="str">
        <f t="shared" si="5"/>
        <v>OK</v>
      </c>
    </row>
    <row r="48" spans="1:26" ht="12" customHeight="1" x14ac:dyDescent="0.3">
      <c r="A48" s="239">
        <v>26</v>
      </c>
      <c r="B48" s="240" t="s">
        <v>131</v>
      </c>
      <c r="C48" s="240">
        <v>7.8559999999999999</v>
      </c>
      <c r="D48" s="241">
        <f t="shared" si="14"/>
        <v>11.899999999999997</v>
      </c>
      <c r="E48" s="242">
        <v>0</v>
      </c>
      <c r="F48" s="242">
        <v>0</v>
      </c>
      <c r="G48" s="242">
        <f t="shared" si="1"/>
        <v>0</v>
      </c>
      <c r="H48" s="241">
        <f t="shared" si="2"/>
        <v>7.6419900000000327</v>
      </c>
      <c r="I48" s="242">
        <v>0</v>
      </c>
      <c r="J48" s="242">
        <f t="shared" si="3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11"/>
        <v>229.25808879950822</v>
      </c>
      <c r="R48" s="244">
        <v>0</v>
      </c>
      <c r="S48" s="244">
        <v>14.1</v>
      </c>
      <c r="T48" s="241">
        <f t="shared" si="9"/>
        <v>230.55520224016459</v>
      </c>
      <c r="U48" s="242">
        <f t="shared" si="12"/>
        <v>119.82369163324053</v>
      </c>
      <c r="V48" s="241">
        <f t="shared" si="6"/>
        <v>5.5720658924548943</v>
      </c>
      <c r="W48" s="241">
        <f t="shared" si="13"/>
        <v>3.2452928724962828</v>
      </c>
      <c r="X48" s="241">
        <f t="shared" si="8"/>
        <v>7.0720658924548943</v>
      </c>
      <c r="Y48" s="245" ph="1">
        <v>16</v>
      </c>
      <c r="Z48" s="246" t="str">
        <f t="shared" si="5"/>
        <v>OK</v>
      </c>
    </row>
    <row r="49" spans="1:28" ht="12" customHeight="1" x14ac:dyDescent="0.3">
      <c r="A49" s="75">
        <v>1</v>
      </c>
      <c r="B49" s="75" t="s">
        <v>132</v>
      </c>
      <c r="C49" s="75">
        <v>0.8</v>
      </c>
      <c r="D49" s="75">
        <v>11.9</v>
      </c>
      <c r="E49" s="76">
        <v>0</v>
      </c>
      <c r="F49" s="76">
        <v>0</v>
      </c>
      <c r="G49" s="76">
        <f t="shared" si="1"/>
        <v>0</v>
      </c>
      <c r="H49" s="76">
        <f t="shared" si="2"/>
        <v>7.6419899999999972</v>
      </c>
      <c r="I49" s="76">
        <v>0</v>
      </c>
      <c r="J49" s="76">
        <f t="shared" si="3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229.25808879950833</v>
      </c>
      <c r="R49" s="78">
        <v>0</v>
      </c>
      <c r="S49" s="78">
        <v>-20.2</v>
      </c>
      <c r="T49" s="79">
        <f t="shared" si="9"/>
        <v>231.91246469304588</v>
      </c>
      <c r="U49" s="76">
        <f t="shared" si="12"/>
        <v>118.05925044449486</v>
      </c>
      <c r="V49" s="79">
        <f t="shared" si="6"/>
        <v>5.5720658924548943</v>
      </c>
      <c r="W49" s="79">
        <f t="shared" si="13"/>
        <v>3.5029864413011946</v>
      </c>
      <c r="X49" s="79">
        <f t="shared" si="8"/>
        <v>7.0720658924548943</v>
      </c>
      <c r="Y49" s="181" ph="1">
        <v>20</v>
      </c>
      <c r="Z49" s="79" t="str">
        <f t="shared" si="5"/>
        <v>OK</v>
      </c>
    </row>
    <row r="50" spans="1:28" ht="12" customHeight="1" x14ac:dyDescent="0.3">
      <c r="A50" s="75">
        <v>2</v>
      </c>
      <c r="B50" s="75" t="s">
        <v>132</v>
      </c>
      <c r="C50" s="75">
        <v>1.8</v>
      </c>
      <c r="D50" s="75">
        <v>11.9</v>
      </c>
      <c r="E50" s="76">
        <v>0</v>
      </c>
      <c r="F50" s="76">
        <v>0</v>
      </c>
      <c r="G50" s="76">
        <f t="shared" si="1"/>
        <v>0</v>
      </c>
      <c r="H50" s="76">
        <f t="shared" si="2"/>
        <v>7.6419899999999972</v>
      </c>
      <c r="I50" s="76">
        <v>0</v>
      </c>
      <c r="J50" s="76">
        <f t="shared" si="3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5">$M$11/ABS(($M$12/(D50-$M$13)))/1000</f>
        <v>229.25808879950833</v>
      </c>
      <c r="R50" s="78">
        <v>0</v>
      </c>
      <c r="S50" s="78">
        <v>-14.4</v>
      </c>
      <c r="T50" s="79">
        <f t="shared" si="9"/>
        <v>230.61082212247379</v>
      </c>
      <c r="U50" s="76">
        <f t="shared" si="12"/>
        <v>119.75138578623857</v>
      </c>
      <c r="V50" s="79">
        <f t="shared" si="6"/>
        <v>5.5720658924548943</v>
      </c>
      <c r="W50" s="79">
        <f t="shared" si="13"/>
        <v>3.4781490836003544</v>
      </c>
      <c r="X50" s="79">
        <f t="shared" si="8"/>
        <v>7.0720658924548943</v>
      </c>
      <c r="Y50" s="181" ph="1">
        <v>20</v>
      </c>
      <c r="Z50" s="79" t="str">
        <f t="shared" si="5"/>
        <v>OK</v>
      </c>
    </row>
    <row r="51" spans="1:28" ht="12" customHeight="1" x14ac:dyDescent="0.3">
      <c r="A51" s="75">
        <v>3</v>
      </c>
      <c r="B51" s="75" t="s">
        <v>132</v>
      </c>
      <c r="C51" s="75">
        <f>C50+0.8</f>
        <v>2.6</v>
      </c>
      <c r="D51" s="75">
        <v>11.9</v>
      </c>
      <c r="E51" s="76">
        <v>0</v>
      </c>
      <c r="F51" s="76">
        <v>0</v>
      </c>
      <c r="G51" s="76">
        <f t="shared" si="1"/>
        <v>0</v>
      </c>
      <c r="H51" s="76">
        <f t="shared" si="2"/>
        <v>7.6419899999999972</v>
      </c>
      <c r="I51" s="76">
        <v>0</v>
      </c>
      <c r="J51" s="76">
        <f t="shared" si="3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5"/>
        <v>229.25808879950833</v>
      </c>
      <c r="R51" s="78">
        <v>0</v>
      </c>
      <c r="S51" s="78">
        <v>-9.5</v>
      </c>
      <c r="T51" s="79">
        <f t="shared" si="9"/>
        <v>229.84782200404521</v>
      </c>
      <c r="U51" s="76">
        <f t="shared" si="12"/>
        <v>120.74328594019572</v>
      </c>
      <c r="V51" s="79">
        <f t="shared" si="6"/>
        <v>5.5720658924548943</v>
      </c>
      <c r="W51" s="79">
        <f t="shared" si="13"/>
        <v>3.4638332101138825</v>
      </c>
      <c r="X51" s="79">
        <f t="shared" si="8"/>
        <v>7.0720658924548943</v>
      </c>
      <c r="Y51" s="181" ph="1">
        <v>20</v>
      </c>
      <c r="Z51" s="79" t="str">
        <f t="shared" si="5"/>
        <v>OK</v>
      </c>
    </row>
    <row r="52" spans="1:28" ht="12" customHeight="1" x14ac:dyDescent="0.3">
      <c r="A52" s="75">
        <v>4</v>
      </c>
      <c r="B52" s="75" t="s">
        <v>132</v>
      </c>
      <c r="C52" s="75">
        <f>C51+0.8</f>
        <v>3.4000000000000004</v>
      </c>
      <c r="D52" s="75">
        <v>11.9</v>
      </c>
      <c r="E52" s="76">
        <v>0</v>
      </c>
      <c r="F52" s="76">
        <v>0</v>
      </c>
      <c r="G52" s="76">
        <f t="shared" si="1"/>
        <v>0</v>
      </c>
      <c r="H52" s="76">
        <f t="shared" si="2"/>
        <v>7.6419899999999972</v>
      </c>
      <c r="I52" s="76">
        <v>0</v>
      </c>
      <c r="J52" s="76">
        <f t="shared" si="3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5"/>
        <v>229.25808879950833</v>
      </c>
      <c r="R52" s="78">
        <v>0</v>
      </c>
      <c r="S52" s="78">
        <v>-4.8</v>
      </c>
      <c r="T52" s="79">
        <f t="shared" si="9"/>
        <v>229.40878640541047</v>
      </c>
      <c r="U52" s="76">
        <f t="shared" si="12"/>
        <v>121.31403221842089</v>
      </c>
      <c r="V52" s="79">
        <f t="shared" si="6"/>
        <v>5.5720658924548943</v>
      </c>
      <c r="W52" s="79">
        <f t="shared" si="13"/>
        <v>3.4556754536448087</v>
      </c>
      <c r="X52" s="79">
        <f t="shared" si="8"/>
        <v>7.0720658924548943</v>
      </c>
      <c r="Y52" s="181" ph="1">
        <v>20</v>
      </c>
      <c r="Z52" s="79" t="str">
        <f t="shared" si="5"/>
        <v>OK</v>
      </c>
    </row>
    <row r="53" spans="1:28" ht="12" customHeight="1" x14ac:dyDescent="0.3">
      <c r="A53" s="75">
        <v>5</v>
      </c>
      <c r="B53" s="75" t="s">
        <v>132</v>
      </c>
      <c r="C53" s="75">
        <f>C52+0.8</f>
        <v>4.2</v>
      </c>
      <c r="D53" s="75">
        <v>11.9</v>
      </c>
      <c r="E53" s="76">
        <v>0</v>
      </c>
      <c r="F53" s="76">
        <v>0</v>
      </c>
      <c r="G53" s="76">
        <f t="shared" si="1"/>
        <v>0</v>
      </c>
      <c r="H53" s="76">
        <f t="shared" si="2"/>
        <v>7.6419899999999972</v>
      </c>
      <c r="I53" s="76">
        <v>0</v>
      </c>
      <c r="J53" s="76">
        <f t="shared" si="3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5"/>
        <v>229.25808879950833</v>
      </c>
      <c r="R53" s="78">
        <v>0</v>
      </c>
      <c r="S53" s="78">
        <v>-0.11</v>
      </c>
      <c r="T53" s="79">
        <f t="shared" si="9"/>
        <v>229.25816796791176</v>
      </c>
      <c r="U53" s="76">
        <f t="shared" si="12"/>
        <v>121.50983618716921</v>
      </c>
      <c r="V53" s="79">
        <f t="shared" si="6"/>
        <v>5.5720658924548943</v>
      </c>
      <c r="W53" s="79">
        <f t="shared" si="13"/>
        <v>3.4528900504370612</v>
      </c>
      <c r="X53" s="79">
        <f t="shared" si="8"/>
        <v>7.0720658924548943</v>
      </c>
      <c r="Y53" s="181" ph="1">
        <v>20</v>
      </c>
      <c r="Z53" s="79" t="str">
        <f t="shared" si="5"/>
        <v>OK</v>
      </c>
    </row>
    <row r="54" spans="1:28" ht="12" customHeight="1" x14ac:dyDescent="0.3">
      <c r="A54" s="75">
        <v>6</v>
      </c>
      <c r="B54" s="75" t="s">
        <v>132</v>
      </c>
      <c r="C54" s="75">
        <f>C53+0.8</f>
        <v>5</v>
      </c>
      <c r="D54" s="75">
        <v>11.9</v>
      </c>
      <c r="E54" s="76">
        <v>0</v>
      </c>
      <c r="F54" s="76">
        <v>0</v>
      </c>
      <c r="G54" s="76">
        <f t="shared" si="1"/>
        <v>0</v>
      </c>
      <c r="H54" s="76">
        <f t="shared" si="2"/>
        <v>7.6419899999999972</v>
      </c>
      <c r="I54" s="76">
        <v>0</v>
      </c>
      <c r="J54" s="76">
        <f t="shared" si="3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5"/>
        <v>229.25808879950833</v>
      </c>
      <c r="R54" s="78">
        <v>0</v>
      </c>
      <c r="S54" s="78">
        <v>4.3</v>
      </c>
      <c r="T54" s="79">
        <f t="shared" si="9"/>
        <v>229.37903408987327</v>
      </c>
      <c r="U54" s="76">
        <f t="shared" si="12"/>
        <v>121.35271022861924</v>
      </c>
      <c r="V54" s="79">
        <f t="shared" si="6"/>
        <v>5.5720658924548943</v>
      </c>
      <c r="W54" s="79">
        <f t="shared" si="13"/>
        <v>3.4551247065624571</v>
      </c>
      <c r="X54" s="79">
        <f t="shared" si="8"/>
        <v>7.0720658924548943</v>
      </c>
      <c r="Y54" s="181" ph="1">
        <v>20</v>
      </c>
      <c r="Z54" s="79" t="str">
        <f t="shared" si="5"/>
        <v>OK</v>
      </c>
    </row>
    <row r="55" spans="1:28" ht="12" customHeight="1" x14ac:dyDescent="0.3">
      <c r="A55" s="75">
        <v>7</v>
      </c>
      <c r="B55" s="75" t="s">
        <v>132</v>
      </c>
      <c r="C55" s="75">
        <f>C54+(7.856-C54-0.75)</f>
        <v>7.1059999999999999</v>
      </c>
      <c r="D55" s="75">
        <v>11.9</v>
      </c>
      <c r="E55" s="76">
        <v>0</v>
      </c>
      <c r="F55" s="76">
        <v>0</v>
      </c>
      <c r="G55" s="76">
        <f t="shared" si="1"/>
        <v>0</v>
      </c>
      <c r="H55" s="76">
        <f t="shared" si="2"/>
        <v>7.6419899999999972</v>
      </c>
      <c r="I55" s="76">
        <v>0</v>
      </c>
      <c r="J55" s="76">
        <f t="shared" si="3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5"/>
        <v>229.25808879950833</v>
      </c>
      <c r="R55" s="78">
        <v>0</v>
      </c>
      <c r="S55" s="78">
        <v>15.3</v>
      </c>
      <c r="T55" s="79">
        <f t="shared" si="9"/>
        <v>230.7846209780956</v>
      </c>
      <c r="U55" s="76">
        <f t="shared" si="12"/>
        <v>119.52544727393021</v>
      </c>
      <c r="V55" s="79">
        <f t="shared" si="6"/>
        <v>5.5720658924548943</v>
      </c>
      <c r="W55" s="79">
        <f t="shared" si="13"/>
        <v>3.4814348977375245</v>
      </c>
      <c r="X55" s="79">
        <f t="shared" si="8"/>
        <v>7.0720658924548943</v>
      </c>
      <c r="Y55" s="181" ph="1">
        <v>20</v>
      </c>
      <c r="Z55" s="79" t="str">
        <f t="shared" si="5"/>
        <v>OK</v>
      </c>
    </row>
    <row r="56" spans="1:28" ht="12" customHeight="1" x14ac:dyDescent="0.3">
      <c r="A56" s="75">
        <v>8</v>
      </c>
      <c r="B56" s="75" t="s">
        <v>132</v>
      </c>
      <c r="C56" s="75">
        <v>7.8559999999999999</v>
      </c>
      <c r="D56" s="75">
        <v>11.9</v>
      </c>
      <c r="E56" s="76">
        <v>0</v>
      </c>
      <c r="F56" s="76">
        <v>0</v>
      </c>
      <c r="G56" s="76">
        <f t="shared" si="1"/>
        <v>0</v>
      </c>
      <c r="H56" s="76">
        <f t="shared" si="2"/>
        <v>7.6419899999999972</v>
      </c>
      <c r="I56" s="76">
        <v>0</v>
      </c>
      <c r="J56" s="76">
        <f t="shared" si="3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5"/>
        <v>229.25808879950833</v>
      </c>
      <c r="R56" s="78">
        <v>0</v>
      </c>
      <c r="S56" s="78">
        <v>18.399999999999999</v>
      </c>
      <c r="T56" s="79">
        <f t="shared" si="9"/>
        <v>231.46263473831635</v>
      </c>
      <c r="U56" s="76">
        <f t="shared" si="12"/>
        <v>118.64402938564324</v>
      </c>
      <c r="V56" s="79">
        <f t="shared" si="6"/>
        <v>5.5720658924548943</v>
      </c>
      <c r="W56" s="79">
        <f t="shared" si="13"/>
        <v>3.4943429254518001</v>
      </c>
      <c r="X56" s="79">
        <f t="shared" si="8"/>
        <v>7.0720658924548943</v>
      </c>
      <c r="Y56" s="181" ph="1">
        <v>20</v>
      </c>
      <c r="Z56" s="79" t="str">
        <f t="shared" si="5"/>
        <v>OK</v>
      </c>
    </row>
    <row r="57" spans="1:28" ht="12" customHeight="1" x14ac:dyDescent="0.3">
      <c r="A57" s="80">
        <v>1</v>
      </c>
      <c r="B57" s="80" t="s">
        <v>133</v>
      </c>
      <c r="C57" s="80">
        <v>0</v>
      </c>
      <c r="D57" s="80">
        <v>0</v>
      </c>
      <c r="E57" s="81">
        <v>0</v>
      </c>
      <c r="F57" s="81">
        <v>0</v>
      </c>
      <c r="G57" s="81">
        <f t="shared" si="1"/>
        <v>0</v>
      </c>
      <c r="H57" s="81">
        <f t="shared" si="2"/>
        <v>127.29946499999998</v>
      </c>
      <c r="I57" s="81">
        <v>0</v>
      </c>
      <c r="J57" s="81">
        <f t="shared" si="3"/>
        <v>171.85427774999999</v>
      </c>
      <c r="K57" s="81">
        <v>355</v>
      </c>
      <c r="L57" s="82">
        <v>0.75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20.2</v>
      </c>
      <c r="T57" s="84">
        <f t="shared" si="9"/>
        <v>34.987426312891323</v>
      </c>
      <c r="U57" s="81">
        <f t="shared" si="12"/>
        <v>322.72727272727269</v>
      </c>
      <c r="V57" s="84">
        <f t="shared" si="6"/>
        <v>5.5720658924548943</v>
      </c>
      <c r="W57" s="84">
        <f>15.8*N57*L57*SQRT(J57)/SQRT(U57*P57)</f>
        <v>8.6473032593631434</v>
      </c>
      <c r="X57" s="84">
        <f t="shared" ref="X57:X74" si="16">MAX(V57,W57)+O57</f>
        <v>10.147303259363143</v>
      </c>
      <c r="Y57" s="140" ph="1">
        <v>16</v>
      </c>
      <c r="Z57" s="84" t="str">
        <f t="shared" si="5"/>
        <v>OK</v>
      </c>
    </row>
    <row r="58" spans="1:28" ht="12" customHeight="1" x14ac:dyDescent="0.3">
      <c r="A58" s="80">
        <v>2</v>
      </c>
      <c r="B58" s="80" t="s">
        <v>133</v>
      </c>
      <c r="C58" s="80">
        <v>0</v>
      </c>
      <c r="D58" s="80">
        <v>0.7</v>
      </c>
      <c r="E58" s="81">
        <v>0</v>
      </c>
      <c r="F58" s="81">
        <v>0</v>
      </c>
      <c r="G58" s="81">
        <f t="shared" ref="G58:G74" si="17">E58*$F$18+F58*$F$17</f>
        <v>0</v>
      </c>
      <c r="H58" s="81">
        <f t="shared" si="2"/>
        <v>120.26079</v>
      </c>
      <c r="I58" s="81">
        <v>0</v>
      </c>
      <c r="J58" s="81">
        <f t="shared" si="3"/>
        <v>162.35206650000001</v>
      </c>
      <c r="K58" s="81">
        <v>355</v>
      </c>
      <c r="L58" s="82">
        <v>0.75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22.790656260557402</v>
      </c>
      <c r="T58" s="84">
        <f t="shared" si="9"/>
        <v>39.474574581123136</v>
      </c>
      <c r="U58" s="81">
        <f t="shared" si="12"/>
        <v>322.72727272727269</v>
      </c>
      <c r="V58" s="84">
        <f t="shared" ref="V58:V74" si="18">14.3*$F$8/SQRT(K58/$F$7)</f>
        <v>5.5720658924548943</v>
      </c>
      <c r="W58" s="84">
        <f>15.8*N58*L58*SQRT(J58)/SQRT(U58*P58)</f>
        <v>8.4048395455029592</v>
      </c>
      <c r="X58" s="84">
        <f t="shared" si="16"/>
        <v>9.9048395455029592</v>
      </c>
      <c r="Y58" s="140" ph="1">
        <v>16</v>
      </c>
      <c r="Z58" s="84" t="str">
        <f t="shared" ref="Z58:Z74" si="19">IF(MROUND(X58,0.5)&lt;=Y58,"OK","N.G")</f>
        <v>OK</v>
      </c>
    </row>
    <row r="59" spans="1:28" ht="12" customHeight="1" x14ac:dyDescent="0.3">
      <c r="A59" s="80">
        <v>3</v>
      </c>
      <c r="B59" s="80" t="s">
        <v>133</v>
      </c>
      <c r="C59" s="80">
        <v>0</v>
      </c>
      <c r="D59" s="80">
        <v>1.4</v>
      </c>
      <c r="E59" s="81">
        <v>0</v>
      </c>
      <c r="F59" s="81">
        <v>0</v>
      </c>
      <c r="G59" s="81">
        <f t="shared" si="17"/>
        <v>0</v>
      </c>
      <c r="H59" s="81">
        <f t="shared" si="2"/>
        <v>113.22211499999999</v>
      </c>
      <c r="I59" s="81">
        <v>0</v>
      </c>
      <c r="J59" s="81">
        <f t="shared" si="3"/>
        <v>152.84985524999999</v>
      </c>
      <c r="K59" s="81">
        <v>355</v>
      </c>
      <c r="L59" s="82">
        <v>0.75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25.116716907297899</v>
      </c>
      <c r="T59" s="84">
        <f t="shared" si="9"/>
        <v>43.503429802764202</v>
      </c>
      <c r="U59" s="81">
        <f t="shared" si="12"/>
        <v>322.72727272727269</v>
      </c>
      <c r="V59" s="84">
        <f t="shared" si="18"/>
        <v>5.5720658924548943</v>
      </c>
      <c r="W59" s="84">
        <f t="shared" ref="W59:W74" si="20">15.8*N59*L59*SQRT(J59)/SQRT(U59*P59)</f>
        <v>8.1551702564635828</v>
      </c>
      <c r="X59" s="84">
        <f t="shared" si="16"/>
        <v>9.6551702564635828</v>
      </c>
      <c r="Y59" s="140" ph="1">
        <v>16</v>
      </c>
      <c r="Z59" s="84" t="str">
        <f t="shared" si="19"/>
        <v>OK</v>
      </c>
    </row>
    <row r="60" spans="1:28" ht="12" customHeight="1" x14ac:dyDescent="0.3">
      <c r="A60" s="80">
        <v>4</v>
      </c>
      <c r="B60" s="80" t="s">
        <v>133</v>
      </c>
      <c r="C60" s="80">
        <v>0</v>
      </c>
      <c r="D60" s="80">
        <v>2.0999999999999996</v>
      </c>
      <c r="E60" s="81">
        <v>0</v>
      </c>
      <c r="F60" s="81">
        <v>0</v>
      </c>
      <c r="G60" s="81">
        <f t="shared" si="17"/>
        <v>0</v>
      </c>
      <c r="H60" s="81">
        <f t="shared" si="2"/>
        <v>106.18343999999999</v>
      </c>
      <c r="I60" s="81">
        <v>0</v>
      </c>
      <c r="J60" s="81">
        <f t="shared" si="3"/>
        <v>143.347644</v>
      </c>
      <c r="K60" s="81">
        <v>355</v>
      </c>
      <c r="L60" s="82">
        <v>0.75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27.109419100389399</v>
      </c>
      <c r="T60" s="84">
        <f t="shared" ref="T60:T74" si="21">SQRT(Q60^2+R60^2-Q60*R60+3*S60^2)</f>
        <v>46.954891245552602</v>
      </c>
      <c r="U60" s="81">
        <f t="shared" si="12"/>
        <v>322.72727272727269</v>
      </c>
      <c r="V60" s="84">
        <f t="shared" si="18"/>
        <v>5.5720658924548943</v>
      </c>
      <c r="W60" s="84">
        <f t="shared" si="20"/>
        <v>7.897612046572446</v>
      </c>
      <c r="X60" s="84">
        <f t="shared" si="16"/>
        <v>9.397612046572446</v>
      </c>
      <c r="Y60" s="140" ph="1">
        <v>16</v>
      </c>
      <c r="Z60" s="84" t="str">
        <f t="shared" si="19"/>
        <v>OK</v>
      </c>
    </row>
    <row r="61" spans="1:28" ht="12" customHeight="1" x14ac:dyDescent="0.3">
      <c r="A61" s="80">
        <v>5</v>
      </c>
      <c r="B61" s="80" t="s">
        <v>133</v>
      </c>
      <c r="C61" s="80">
        <v>0</v>
      </c>
      <c r="D61" s="80">
        <v>2.8</v>
      </c>
      <c r="E61" s="81">
        <v>0</v>
      </c>
      <c r="F61" s="81">
        <v>0</v>
      </c>
      <c r="G61" s="81">
        <f t="shared" si="17"/>
        <v>0</v>
      </c>
      <c r="H61" s="81">
        <f t="shared" si="2"/>
        <v>99.144764999999992</v>
      </c>
      <c r="I61" s="81">
        <v>0</v>
      </c>
      <c r="J61" s="81">
        <f t="shared" si="3"/>
        <v>133.84543274999999</v>
      </c>
      <c r="K61" s="81">
        <v>355</v>
      </c>
      <c r="L61" s="82">
        <v>0.75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28.6999999999999</v>
      </c>
      <c r="T61" s="84">
        <f t="shared" si="21"/>
        <v>49.709858177226607</v>
      </c>
      <c r="U61" s="81">
        <f t="shared" si="12"/>
        <v>322.72727272727269</v>
      </c>
      <c r="V61" s="84">
        <f t="shared" si="18"/>
        <v>5.5720658924548943</v>
      </c>
      <c r="W61" s="84">
        <f t="shared" si="20"/>
        <v>7.6313662056295097</v>
      </c>
      <c r="X61" s="84">
        <f t="shared" si="16"/>
        <v>9.1313662056295097</v>
      </c>
      <c r="Y61" s="140" ph="1">
        <v>16</v>
      </c>
      <c r="Z61" s="84" t="str">
        <f t="shared" si="19"/>
        <v>OK</v>
      </c>
    </row>
    <row r="62" spans="1:28" ht="12" customHeight="1" x14ac:dyDescent="0.3">
      <c r="A62" s="80">
        <v>6</v>
      </c>
      <c r="B62" s="80" t="s">
        <v>133</v>
      </c>
      <c r="C62" s="80">
        <v>0</v>
      </c>
      <c r="D62" s="80">
        <v>3.5</v>
      </c>
      <c r="E62" s="81">
        <v>0</v>
      </c>
      <c r="F62" s="81">
        <v>0</v>
      </c>
      <c r="G62" s="81">
        <f t="shared" si="17"/>
        <v>0</v>
      </c>
      <c r="H62" s="81">
        <f t="shared" si="2"/>
        <v>92.106089999999995</v>
      </c>
      <c r="I62" s="81">
        <v>0</v>
      </c>
      <c r="J62" s="81">
        <f t="shared" si="3"/>
        <v>124.3432215</v>
      </c>
      <c r="K62" s="81">
        <v>355</v>
      </c>
      <c r="L62" s="82">
        <v>0.75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29.857936048389998</v>
      </c>
      <c r="T62" s="84">
        <f t="shared" si="21"/>
        <v>51.715462244953791</v>
      </c>
      <c r="U62" s="81">
        <f t="shared" si="12"/>
        <v>322.72727272727269</v>
      </c>
      <c r="V62" s="84">
        <f t="shared" si="18"/>
        <v>5.5720658924548943</v>
      </c>
      <c r="W62" s="84">
        <f t="shared" si="20"/>
        <v>7.3554893984480767</v>
      </c>
      <c r="X62" s="84">
        <f t="shared" si="16"/>
        <v>8.8554893984480767</v>
      </c>
      <c r="Y62" s="140" ph="1">
        <v>16</v>
      </c>
      <c r="Z62" s="84" t="str">
        <f t="shared" si="19"/>
        <v>OK</v>
      </c>
    </row>
    <row r="63" spans="1:28" ht="12" customHeight="1" x14ac:dyDescent="0.3">
      <c r="A63" s="80">
        <v>7</v>
      </c>
      <c r="B63" s="80" t="s">
        <v>133</v>
      </c>
      <c r="C63" s="80">
        <v>0</v>
      </c>
      <c r="D63" s="80">
        <v>4.2</v>
      </c>
      <c r="E63" s="81">
        <v>0</v>
      </c>
      <c r="F63" s="81">
        <v>0</v>
      </c>
      <c r="G63" s="81">
        <f t="shared" si="17"/>
        <v>0</v>
      </c>
      <c r="H63" s="81">
        <f t="shared" si="2"/>
        <v>85.067414999999997</v>
      </c>
      <c r="I63" s="81">
        <v>0</v>
      </c>
      <c r="J63" s="81">
        <f t="shared" si="3"/>
        <v>114.84101025</v>
      </c>
      <c r="K63" s="81">
        <v>355</v>
      </c>
      <c r="L63" s="82">
        <v>0.75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30.705660816190498</v>
      </c>
      <c r="T63" s="84">
        <f t="shared" si="21"/>
        <v>53.183764613618784</v>
      </c>
      <c r="U63" s="81">
        <f t="shared" si="12"/>
        <v>322.72727272727269</v>
      </c>
      <c r="V63" s="84">
        <f t="shared" si="18"/>
        <v>5.5720658924548943</v>
      </c>
      <c r="W63" s="84">
        <f t="shared" si="20"/>
        <v>7.0688541091848798</v>
      </c>
      <c r="X63" s="84">
        <f t="shared" si="16"/>
        <v>8.5688541091848798</v>
      </c>
      <c r="Y63" s="140" ph="1">
        <v>16</v>
      </c>
      <c r="Z63" s="84" t="str">
        <f t="shared" si="19"/>
        <v>OK</v>
      </c>
      <c r="AB63" s="4" t="s">
        <v>96</v>
      </c>
    </row>
    <row r="64" spans="1:28" ht="12" customHeight="1" x14ac:dyDescent="0.3">
      <c r="A64" s="80">
        <v>8</v>
      </c>
      <c r="B64" s="80" t="s">
        <v>133</v>
      </c>
      <c r="C64" s="80">
        <v>0</v>
      </c>
      <c r="D64" s="80">
        <v>4.9000000000000004</v>
      </c>
      <c r="E64" s="81">
        <v>0</v>
      </c>
      <c r="F64" s="81">
        <v>0</v>
      </c>
      <c r="G64" s="81">
        <f t="shared" si="17"/>
        <v>0</v>
      </c>
      <c r="H64" s="81">
        <f t="shared" si="2"/>
        <v>78.028739999999985</v>
      </c>
      <c r="I64" s="81">
        <v>0</v>
      </c>
      <c r="J64" s="81">
        <f t="shared" si="3"/>
        <v>105.33879899999998</v>
      </c>
      <c r="K64" s="81">
        <v>355</v>
      </c>
      <c r="L64" s="82">
        <v>0.75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31.403847156124399</v>
      </c>
      <c r="T64" s="84">
        <f t="shared" si="21"/>
        <v>54.393058827534858</v>
      </c>
      <c r="U64" s="81">
        <f t="shared" si="12"/>
        <v>322.72727272727269</v>
      </c>
      <c r="V64" s="84">
        <f t="shared" si="18"/>
        <v>5.5720658924548943</v>
      </c>
      <c r="W64" s="84">
        <f t="shared" si="20"/>
        <v>6.7700939833356726</v>
      </c>
      <c r="X64" s="84">
        <f t="shared" si="16"/>
        <v>8.2700939833356735</v>
      </c>
      <c r="Y64" s="140" ph="1">
        <v>16</v>
      </c>
      <c r="Z64" s="84" t="str">
        <f t="shared" si="19"/>
        <v>OK</v>
      </c>
    </row>
    <row r="65" spans="1:26" ht="12" customHeight="1" x14ac:dyDescent="0.3">
      <c r="A65" s="80">
        <v>9</v>
      </c>
      <c r="B65" s="80" t="s">
        <v>133</v>
      </c>
      <c r="C65" s="80">
        <v>0</v>
      </c>
      <c r="D65" s="80">
        <v>5.6000000000000005</v>
      </c>
      <c r="E65" s="81">
        <v>0</v>
      </c>
      <c r="F65" s="81">
        <v>0</v>
      </c>
      <c r="G65" s="81">
        <f t="shared" si="17"/>
        <v>0</v>
      </c>
      <c r="H65" s="81">
        <f t="shared" si="2"/>
        <v>70.990064999999987</v>
      </c>
      <c r="I65" s="81">
        <v>0</v>
      </c>
      <c r="J65" s="81">
        <f t="shared" si="3"/>
        <v>95.836587749999993</v>
      </c>
      <c r="K65" s="81">
        <v>355</v>
      </c>
      <c r="L65" s="82">
        <v>0.75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32.1</v>
      </c>
      <c r="T65" s="84">
        <f t="shared" si="21"/>
        <v>55.598830922960964</v>
      </c>
      <c r="U65" s="81">
        <f t="shared" si="12"/>
        <v>322.72727272727269</v>
      </c>
      <c r="V65" s="84">
        <f t="shared" si="18"/>
        <v>5.5720658924548943</v>
      </c>
      <c r="W65" s="84">
        <f t="shared" si="20"/>
        <v>6.4575263584019398</v>
      </c>
      <c r="X65" s="84">
        <f t="shared" si="16"/>
        <v>7.9575263584019398</v>
      </c>
      <c r="Y65" s="140" ph="1">
        <v>16</v>
      </c>
      <c r="Z65" s="84" t="str">
        <f t="shared" si="19"/>
        <v>OK</v>
      </c>
    </row>
    <row r="66" spans="1:26" ht="12" customHeight="1" x14ac:dyDescent="0.3">
      <c r="A66" s="80">
        <v>10</v>
      </c>
      <c r="B66" s="80" t="s">
        <v>133</v>
      </c>
      <c r="C66" s="80">
        <v>0</v>
      </c>
      <c r="D66" s="80">
        <v>6.3000000000000007</v>
      </c>
      <c r="E66" s="81">
        <v>0</v>
      </c>
      <c r="F66" s="81">
        <v>0</v>
      </c>
      <c r="G66" s="81">
        <f t="shared" si="17"/>
        <v>0</v>
      </c>
      <c r="H66" s="81">
        <f t="shared" si="2"/>
        <v>63.951389999999989</v>
      </c>
      <c r="I66" s="81">
        <v>0</v>
      </c>
      <c r="J66" s="81">
        <f t="shared" si="3"/>
        <v>86.334376499999991</v>
      </c>
      <c r="K66" s="81">
        <v>355</v>
      </c>
      <c r="L66" s="82">
        <v>0.75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32.359080355557502</v>
      </c>
      <c r="T66" s="84">
        <f t="shared" si="21"/>
        <v>56.047571262029564</v>
      </c>
      <c r="U66" s="81">
        <f t="shared" si="12"/>
        <v>322.72727272727269</v>
      </c>
      <c r="V66" s="84">
        <f t="shared" si="18"/>
        <v>5.5720658924548943</v>
      </c>
      <c r="W66" s="84">
        <f t="shared" si="20"/>
        <v>6.1290391413103036</v>
      </c>
      <c r="X66" s="84">
        <f t="shared" si="16"/>
        <v>7.6290391413103036</v>
      </c>
      <c r="Y66" s="140" ph="1">
        <v>16</v>
      </c>
      <c r="Z66" s="84" t="str">
        <f t="shared" si="19"/>
        <v>OK</v>
      </c>
    </row>
    <row r="67" spans="1:26" ht="12" customHeight="1" x14ac:dyDescent="0.3">
      <c r="A67" s="80">
        <v>11</v>
      </c>
      <c r="B67" s="80" t="s">
        <v>133</v>
      </c>
      <c r="C67" s="80">
        <v>0</v>
      </c>
      <c r="D67" s="80">
        <v>7.0000000000000009</v>
      </c>
      <c r="E67" s="81">
        <v>0</v>
      </c>
      <c r="F67" s="81">
        <v>0</v>
      </c>
      <c r="G67" s="81">
        <f t="shared" si="17"/>
        <v>0</v>
      </c>
      <c r="H67" s="81">
        <f t="shared" si="2"/>
        <v>56.912714999999984</v>
      </c>
      <c r="I67" s="81">
        <v>0</v>
      </c>
      <c r="J67" s="81">
        <f t="shared" si="3"/>
        <v>76.832165249999989</v>
      </c>
      <c r="K67" s="81">
        <v>355</v>
      </c>
      <c r="L67" s="82">
        <v>0.75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31.9836181127576</v>
      </c>
      <c r="T67" s="84">
        <f t="shared" si="21"/>
        <v>55.397251581176377</v>
      </c>
      <c r="U67" s="81">
        <f t="shared" si="12"/>
        <v>322.72727272727269</v>
      </c>
      <c r="V67" s="84">
        <f t="shared" si="18"/>
        <v>5.5720658924548943</v>
      </c>
      <c r="W67" s="84">
        <f t="shared" si="20"/>
        <v>5.781919657170242</v>
      </c>
      <c r="X67" s="84">
        <f t="shared" si="16"/>
        <v>7.281919657170242</v>
      </c>
      <c r="Y67" s="140" ph="1">
        <v>16</v>
      </c>
      <c r="Z67" s="84" t="str">
        <f t="shared" si="19"/>
        <v>OK</v>
      </c>
    </row>
    <row r="68" spans="1:26" ht="12" customHeight="1" x14ac:dyDescent="0.3">
      <c r="A68" s="80">
        <v>12</v>
      </c>
      <c r="B68" s="80" t="s">
        <v>133</v>
      </c>
      <c r="C68" s="80">
        <v>0</v>
      </c>
      <c r="D68" s="80">
        <v>7.7000000000000011</v>
      </c>
      <c r="E68" s="81">
        <v>0</v>
      </c>
      <c r="F68" s="81">
        <v>0</v>
      </c>
      <c r="G68" s="81">
        <f t="shared" si="17"/>
        <v>0</v>
      </c>
      <c r="H68" s="81">
        <f t="shared" si="2"/>
        <v>49.874039999999987</v>
      </c>
      <c r="I68" s="81">
        <v>0</v>
      </c>
      <c r="J68" s="81">
        <f t="shared" si="3"/>
        <v>67.329953999999987</v>
      </c>
      <c r="K68" s="81">
        <v>355</v>
      </c>
      <c r="L68" s="82">
        <v>0.75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31.135105582939602</v>
      </c>
      <c r="T68" s="84">
        <f t="shared" si="21"/>
        <v>53.927584768672794</v>
      </c>
      <c r="U68" s="81">
        <f t="shared" si="12"/>
        <v>322.72727272727269</v>
      </c>
      <c r="V68" s="84">
        <f t="shared" si="18"/>
        <v>5.5720658924548943</v>
      </c>
      <c r="W68" s="84">
        <f t="shared" si="20"/>
        <v>5.4125843225052463</v>
      </c>
      <c r="X68" s="84">
        <f t="shared" si="16"/>
        <v>7.0720658924548943</v>
      </c>
      <c r="Y68" s="140" ph="1">
        <v>16</v>
      </c>
      <c r="Z68" s="84" t="str">
        <f t="shared" si="19"/>
        <v>OK</v>
      </c>
    </row>
    <row r="69" spans="1:26" ht="12" customHeight="1" x14ac:dyDescent="0.3">
      <c r="A69" s="80">
        <v>13</v>
      </c>
      <c r="B69" s="80" t="s">
        <v>133</v>
      </c>
      <c r="C69" s="80">
        <v>0</v>
      </c>
      <c r="D69" s="80">
        <v>8.4</v>
      </c>
      <c r="E69" s="81">
        <v>0</v>
      </c>
      <c r="F69" s="81">
        <v>0</v>
      </c>
      <c r="G69" s="81">
        <f t="shared" si="17"/>
        <v>0</v>
      </c>
      <c r="H69" s="81">
        <f t="shared" si="2"/>
        <v>42.835364999999996</v>
      </c>
      <c r="I69" s="81">
        <v>0</v>
      </c>
      <c r="J69" s="81">
        <f t="shared" si="3"/>
        <v>57.827742749999999</v>
      </c>
      <c r="K69" s="81">
        <v>355</v>
      </c>
      <c r="L69" s="82">
        <v>0.75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29.972220103788199</v>
      </c>
      <c r="T69" s="84">
        <f t="shared" si="21"/>
        <v>51.91340803539849</v>
      </c>
      <c r="U69" s="81">
        <f t="shared" si="12"/>
        <v>322.72727272727269</v>
      </c>
      <c r="V69" s="84">
        <f t="shared" si="18"/>
        <v>5.5720658924548943</v>
      </c>
      <c r="W69" s="84">
        <f t="shared" si="20"/>
        <v>5.0161283052258048</v>
      </c>
      <c r="X69" s="84">
        <f t="shared" si="16"/>
        <v>7.0720658924548943</v>
      </c>
      <c r="Y69" s="140" ph="1">
        <v>16</v>
      </c>
      <c r="Z69" s="84" t="str">
        <f t="shared" si="19"/>
        <v>OK</v>
      </c>
    </row>
    <row r="70" spans="1:26" ht="12" customHeight="1" x14ac:dyDescent="0.3">
      <c r="A70" s="80">
        <v>14</v>
      </c>
      <c r="B70" s="80" t="s">
        <v>133</v>
      </c>
      <c r="C70" s="80">
        <v>0</v>
      </c>
      <c r="D70" s="80">
        <v>9.1</v>
      </c>
      <c r="E70" s="81">
        <v>0</v>
      </c>
      <c r="F70" s="81">
        <v>0</v>
      </c>
      <c r="G70" s="81">
        <f t="shared" si="17"/>
        <v>0</v>
      </c>
      <c r="H70" s="81">
        <f t="shared" si="2"/>
        <v>35.796690000000005</v>
      </c>
      <c r="I70" s="81">
        <v>0</v>
      </c>
      <c r="J70" s="81">
        <f t="shared" si="3"/>
        <v>48.325531500000011</v>
      </c>
      <c r="K70" s="81">
        <v>355</v>
      </c>
      <c r="L70" s="82">
        <v>0.75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28.5611444879126</v>
      </c>
      <c r="T70" s="84">
        <f t="shared" si="21"/>
        <v>49.469353375380408</v>
      </c>
      <c r="U70" s="81">
        <f t="shared" si="12"/>
        <v>322.72727272727269</v>
      </c>
      <c r="V70" s="84">
        <f t="shared" si="18"/>
        <v>5.5720658924548943</v>
      </c>
      <c r="W70" s="84">
        <f t="shared" si="20"/>
        <v>4.5855225766258556</v>
      </c>
      <c r="X70" s="84">
        <f t="shared" si="16"/>
        <v>7.0720658924548943</v>
      </c>
      <c r="Y70" s="140" ph="1">
        <v>16</v>
      </c>
      <c r="Z70" s="84" t="str">
        <f t="shared" si="19"/>
        <v>OK</v>
      </c>
    </row>
    <row r="71" spans="1:26" ht="12" customHeight="1" x14ac:dyDescent="0.3">
      <c r="A71" s="80">
        <v>15</v>
      </c>
      <c r="B71" s="80" t="s">
        <v>133</v>
      </c>
      <c r="C71" s="80">
        <v>0</v>
      </c>
      <c r="D71" s="80">
        <v>9.7999999999999989</v>
      </c>
      <c r="E71" s="81">
        <v>0</v>
      </c>
      <c r="F71" s="81">
        <v>0</v>
      </c>
      <c r="G71" s="81">
        <f t="shared" si="17"/>
        <v>0</v>
      </c>
      <c r="H71" s="81">
        <f t="shared" si="2"/>
        <v>28.758015000000011</v>
      </c>
      <c r="I71" s="81">
        <v>0</v>
      </c>
      <c r="J71" s="81">
        <f t="shared" si="3"/>
        <v>38.823320250000016</v>
      </c>
      <c r="K71" s="81">
        <v>355</v>
      </c>
      <c r="L71" s="82">
        <v>0.75</v>
      </c>
      <c r="M71" s="82">
        <v>4</v>
      </c>
      <c r="N71" s="83">
        <v>1</v>
      </c>
      <c r="O71" s="83">
        <v>1.5</v>
      </c>
      <c r="P71" s="83">
        <v>1</v>
      </c>
      <c r="Q71" s="83">
        <v>0</v>
      </c>
      <c r="R71" s="83">
        <v>0</v>
      </c>
      <c r="S71" s="83">
        <v>26.867572760892099</v>
      </c>
      <c r="T71" s="84">
        <f t="shared" si="21"/>
        <v>46.536001097918728</v>
      </c>
      <c r="U71" s="81">
        <f t="shared" si="12"/>
        <v>322.72727272727269</v>
      </c>
      <c r="V71" s="84">
        <f t="shared" si="18"/>
        <v>5.5720658924548943</v>
      </c>
      <c r="W71" s="84">
        <f t="shared" si="20"/>
        <v>4.1100476185810013</v>
      </c>
      <c r="X71" s="84">
        <f t="shared" si="16"/>
        <v>7.0720658924548943</v>
      </c>
      <c r="Y71" s="140" ph="1">
        <v>16</v>
      </c>
      <c r="Z71" s="84" t="str">
        <f t="shared" si="19"/>
        <v>OK</v>
      </c>
    </row>
    <row r="72" spans="1:26" ht="12" customHeight="1" x14ac:dyDescent="0.3">
      <c r="A72" s="80">
        <v>16</v>
      </c>
      <c r="B72" s="80" t="s">
        <v>133</v>
      </c>
      <c r="C72" s="80">
        <v>0</v>
      </c>
      <c r="D72" s="80">
        <v>10.499999999999998</v>
      </c>
      <c r="E72" s="81">
        <v>0</v>
      </c>
      <c r="F72" s="81">
        <v>0</v>
      </c>
      <c r="G72" s="81">
        <f t="shared" si="17"/>
        <v>0</v>
      </c>
      <c r="H72" s="81">
        <f t="shared" si="2"/>
        <v>21.719340000000017</v>
      </c>
      <c r="I72" s="81">
        <v>0</v>
      </c>
      <c r="J72" s="81">
        <f t="shared" si="3"/>
        <v>29.321109000000025</v>
      </c>
      <c r="K72" s="81">
        <v>355</v>
      </c>
      <c r="L72" s="82">
        <v>0.75</v>
      </c>
      <c r="M72" s="82">
        <v>4</v>
      </c>
      <c r="N72" s="83">
        <v>1</v>
      </c>
      <c r="O72" s="83">
        <v>1.5</v>
      </c>
      <c r="P72" s="83">
        <v>1</v>
      </c>
      <c r="Q72" s="83">
        <v>0</v>
      </c>
      <c r="R72" s="83">
        <v>0</v>
      </c>
      <c r="S72" s="83">
        <v>24.862115285904601</v>
      </c>
      <c r="T72" s="84">
        <f t="shared" si="21"/>
        <v>43.062446858821595</v>
      </c>
      <c r="U72" s="81">
        <f t="shared" si="12"/>
        <v>322.72727272727269</v>
      </c>
      <c r="V72" s="84">
        <f t="shared" si="18"/>
        <v>5.5720658924548943</v>
      </c>
      <c r="W72" s="84">
        <f t="shared" si="20"/>
        <v>3.5718294406734037</v>
      </c>
      <c r="X72" s="84">
        <f t="shared" si="16"/>
        <v>7.0720658924548943</v>
      </c>
      <c r="Y72" s="140" ph="1">
        <v>16</v>
      </c>
      <c r="Z72" s="84" t="str">
        <f t="shared" si="19"/>
        <v>OK</v>
      </c>
    </row>
    <row r="73" spans="1:26" ht="12" customHeight="1" x14ac:dyDescent="0.3">
      <c r="A73" s="80">
        <v>17</v>
      </c>
      <c r="B73" s="80" t="s">
        <v>133</v>
      </c>
      <c r="C73" s="80">
        <v>0</v>
      </c>
      <c r="D73" s="80">
        <v>11.199999999999998</v>
      </c>
      <c r="E73" s="81">
        <v>0</v>
      </c>
      <c r="F73" s="81">
        <v>0</v>
      </c>
      <c r="G73" s="81">
        <f t="shared" si="17"/>
        <v>0</v>
      </c>
      <c r="H73" s="81">
        <f t="shared" si="2"/>
        <v>14.680665000000026</v>
      </c>
      <c r="I73" s="81">
        <v>0</v>
      </c>
      <c r="J73" s="81">
        <f t="shared" si="3"/>
        <v>19.818897750000037</v>
      </c>
      <c r="K73" s="81">
        <v>355</v>
      </c>
      <c r="L73" s="82">
        <v>0.75</v>
      </c>
      <c r="M73" s="82">
        <v>4</v>
      </c>
      <c r="N73" s="83">
        <v>1</v>
      </c>
      <c r="O73" s="83">
        <v>1.5</v>
      </c>
      <c r="P73" s="83">
        <v>1</v>
      </c>
      <c r="Q73" s="83">
        <v>0</v>
      </c>
      <c r="R73" s="83">
        <v>0</v>
      </c>
      <c r="S73" s="83">
        <v>22.515886289943001</v>
      </c>
      <c r="T73" s="84">
        <f t="shared" si="21"/>
        <v>38.99865903162479</v>
      </c>
      <c r="U73" s="81">
        <f t="shared" si="12"/>
        <v>322.72727272727269</v>
      </c>
      <c r="V73" s="84">
        <f t="shared" si="18"/>
        <v>5.5720658924548943</v>
      </c>
      <c r="W73" s="84">
        <f t="shared" si="20"/>
        <v>2.936569372502412</v>
      </c>
      <c r="X73" s="84">
        <f t="shared" si="16"/>
        <v>7.0720658924548943</v>
      </c>
      <c r="Y73" s="140" ph="1">
        <v>16</v>
      </c>
      <c r="Z73" s="84" t="str">
        <f t="shared" si="19"/>
        <v>OK</v>
      </c>
    </row>
    <row r="74" spans="1:26" ht="12" customHeight="1" x14ac:dyDescent="0.3">
      <c r="A74" s="80">
        <v>18</v>
      </c>
      <c r="B74" s="80" t="s">
        <v>133</v>
      </c>
      <c r="C74" s="80">
        <v>0</v>
      </c>
      <c r="D74" s="80">
        <v>11.899999999999997</v>
      </c>
      <c r="E74" s="81">
        <v>0</v>
      </c>
      <c r="F74" s="81">
        <v>0</v>
      </c>
      <c r="G74" s="81">
        <f t="shared" si="17"/>
        <v>0</v>
      </c>
      <c r="H74" s="81">
        <f t="shared" si="2"/>
        <v>7.6419900000000327</v>
      </c>
      <c r="I74" s="81">
        <v>0</v>
      </c>
      <c r="J74" s="81">
        <f t="shared" si="3"/>
        <v>10.316686500000046</v>
      </c>
      <c r="K74" s="81">
        <v>355</v>
      </c>
      <c r="L74" s="82">
        <v>0.75</v>
      </c>
      <c r="M74" s="82">
        <v>4</v>
      </c>
      <c r="N74" s="83">
        <v>1</v>
      </c>
      <c r="O74" s="83">
        <v>1.5</v>
      </c>
      <c r="P74" s="83">
        <v>1</v>
      </c>
      <c r="Q74" s="83">
        <v>0</v>
      </c>
      <c r="R74" s="83">
        <v>0</v>
      </c>
      <c r="S74" s="83">
        <v>19.8</v>
      </c>
      <c r="T74" s="84">
        <f t="shared" si="21"/>
        <v>34.294605989863776</v>
      </c>
      <c r="U74" s="81">
        <f t="shared" ref="U74" si="22">MIN(K74/$F$7,1.3*(K74/$F$7-T74))</f>
        <v>322.72727272727269</v>
      </c>
      <c r="V74" s="84">
        <f t="shared" si="18"/>
        <v>5.5720658924548943</v>
      </c>
      <c r="W74" s="84">
        <f t="shared" si="20"/>
        <v>2.1187056911655127</v>
      </c>
      <c r="X74" s="84">
        <f t="shared" si="16"/>
        <v>7.0720658924548943</v>
      </c>
      <c r="Y74" s="140" ph="1">
        <v>16</v>
      </c>
      <c r="Z74" s="84" t="str">
        <f t="shared" si="19"/>
        <v>OK</v>
      </c>
    </row>
    <row r="76" spans="1:26" ht="12" customHeight="1" x14ac:dyDescent="0.45">
      <c r="A76" s="4" t="s">
        <v>134</v>
      </c>
    </row>
    <row r="77" spans="1:26" ht="12" customHeight="1" x14ac:dyDescent="0.45">
      <c r="A77" s="4" t="s">
        <v>135</v>
      </c>
    </row>
    <row r="78" spans="1:26" ht="12" customHeight="1" x14ac:dyDescent="0.45">
      <c r="A78" s="4" t="s">
        <v>263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136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137</v>
      </c>
      <c r="B107" s="21" t="s">
        <v>138</v>
      </c>
      <c r="C107" s="22" t="s">
        <v>139</v>
      </c>
      <c r="D107" s="22"/>
      <c r="E107" s="23" t="s">
        <v>140</v>
      </c>
      <c r="F107" s="21" t="s">
        <v>141</v>
      </c>
      <c r="G107" s="24" t="s">
        <v>142</v>
      </c>
      <c r="H107" s="24" t="s">
        <v>143</v>
      </c>
      <c r="I107" s="24" t="s">
        <v>144</v>
      </c>
      <c r="J107" s="24" t="s">
        <v>145</v>
      </c>
      <c r="K107" s="24" t="s">
        <v>146</v>
      </c>
      <c r="L107" s="24"/>
      <c r="M107" s="25" t="s">
        <v>147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148</v>
      </c>
      <c r="B109" s="33"/>
      <c r="C109" s="22"/>
      <c r="D109" s="22"/>
      <c r="E109" s="24"/>
      <c r="F109" s="34"/>
      <c r="G109" s="35"/>
      <c r="H109" s="36" t="s">
        <v>149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150</v>
      </c>
      <c r="B110" s="22"/>
      <c r="C110" s="22"/>
      <c r="D110" s="22"/>
      <c r="E110" s="22" t="s">
        <v>151</v>
      </c>
      <c r="F110" s="22" t="s">
        <v>152</v>
      </c>
      <c r="G110" s="40" t="s">
        <v>153</v>
      </c>
      <c r="H110" s="41" t="s">
        <v>151</v>
      </c>
      <c r="I110" s="22" t="s">
        <v>152</v>
      </c>
      <c r="J110" s="42" t="s">
        <v>154</v>
      </c>
      <c r="K110" s="24" t="s">
        <v>155</v>
      </c>
      <c r="L110" s="24"/>
      <c r="M110" s="25" t="s">
        <v>156</v>
      </c>
      <c r="N110" s="9"/>
    </row>
    <row r="111" spans="1:14" ht="15" customHeight="1" x14ac:dyDescent="0.45">
      <c r="A111" s="43" t="s">
        <v>157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158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137</v>
      </c>
      <c r="B113" s="21" t="s">
        <v>138</v>
      </c>
      <c r="C113" s="22" t="s">
        <v>139</v>
      </c>
      <c r="D113" s="22"/>
      <c r="E113" s="23" t="s">
        <v>140</v>
      </c>
      <c r="F113" s="21" t="s">
        <v>141</v>
      </c>
      <c r="G113" s="24" t="s">
        <v>142</v>
      </c>
      <c r="H113" s="24" t="s">
        <v>143</v>
      </c>
      <c r="I113" s="24" t="s">
        <v>144</v>
      </c>
      <c r="J113" s="24" t="s">
        <v>145</v>
      </c>
      <c r="K113" s="24" t="s">
        <v>146</v>
      </c>
      <c r="L113" s="24"/>
      <c r="M113" s="25" t="s">
        <v>147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148</v>
      </c>
      <c r="B115" s="33"/>
      <c r="C115" s="22"/>
      <c r="D115" s="22"/>
      <c r="E115" s="24"/>
      <c r="F115" s="34"/>
      <c r="G115" s="35"/>
      <c r="H115" s="36" t="s">
        <v>149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150</v>
      </c>
      <c r="B116" s="22"/>
      <c r="C116" s="22"/>
      <c r="D116" s="22"/>
      <c r="E116" s="22" t="s">
        <v>151</v>
      </c>
      <c r="F116" s="22" t="s">
        <v>152</v>
      </c>
      <c r="G116" s="40" t="s">
        <v>153</v>
      </c>
      <c r="H116" s="41" t="s">
        <v>151</v>
      </c>
      <c r="I116" s="22" t="s">
        <v>152</v>
      </c>
      <c r="J116" s="42" t="s">
        <v>154</v>
      </c>
      <c r="K116" s="24" t="s">
        <v>155</v>
      </c>
      <c r="L116" s="24"/>
      <c r="M116" s="25" t="s">
        <v>156</v>
      </c>
      <c r="N116" s="9"/>
    </row>
    <row r="117" spans="1:14" ht="15" customHeight="1" x14ac:dyDescent="0.45">
      <c r="A117" s="43" t="s">
        <v>159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160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137</v>
      </c>
      <c r="B119" s="21" t="s">
        <v>138</v>
      </c>
      <c r="C119" s="22" t="s">
        <v>139</v>
      </c>
      <c r="D119" s="22"/>
      <c r="E119" s="23" t="s">
        <v>140</v>
      </c>
      <c r="F119" s="21" t="s">
        <v>141</v>
      </c>
      <c r="G119" s="24" t="s">
        <v>142</v>
      </c>
      <c r="H119" s="24" t="s">
        <v>143</v>
      </c>
      <c r="I119" s="24" t="s">
        <v>144</v>
      </c>
      <c r="J119" s="24" t="s">
        <v>145</v>
      </c>
      <c r="K119" s="24" t="s">
        <v>146</v>
      </c>
      <c r="L119" s="24"/>
      <c r="M119" s="25" t="s">
        <v>147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148</v>
      </c>
      <c r="B121" s="33"/>
      <c r="C121" s="22"/>
      <c r="D121" s="22"/>
      <c r="E121" s="24"/>
      <c r="F121" s="34"/>
      <c r="G121" s="35"/>
      <c r="H121" s="36" t="s">
        <v>149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150</v>
      </c>
      <c r="B122" s="22"/>
      <c r="C122" s="22"/>
      <c r="D122" s="22"/>
      <c r="E122" s="22" t="s">
        <v>151</v>
      </c>
      <c r="F122" s="22" t="s">
        <v>152</v>
      </c>
      <c r="G122" s="40" t="s">
        <v>153</v>
      </c>
      <c r="H122" s="41" t="s">
        <v>151</v>
      </c>
      <c r="I122" s="22" t="s">
        <v>152</v>
      </c>
      <c r="J122" s="42" t="s">
        <v>154</v>
      </c>
      <c r="K122" s="24" t="s">
        <v>155</v>
      </c>
      <c r="L122" s="24"/>
      <c r="M122" s="25" t="s">
        <v>156</v>
      </c>
      <c r="N122" s="9"/>
    </row>
    <row r="123" spans="1:14" ht="15" customHeight="1" x14ac:dyDescent="0.45">
      <c r="A123" s="43" t="s">
        <v>161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162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137</v>
      </c>
      <c r="B125" s="21" t="s">
        <v>138</v>
      </c>
      <c r="C125" s="22" t="s">
        <v>139</v>
      </c>
      <c r="D125" s="22"/>
      <c r="E125" s="23" t="s">
        <v>140</v>
      </c>
      <c r="F125" s="21" t="s">
        <v>141</v>
      </c>
      <c r="G125" s="24" t="s">
        <v>142</v>
      </c>
      <c r="H125" s="24" t="s">
        <v>143</v>
      </c>
      <c r="I125" s="24" t="s">
        <v>144</v>
      </c>
      <c r="J125" s="24" t="s">
        <v>145</v>
      </c>
      <c r="K125" s="24" t="s">
        <v>146</v>
      </c>
      <c r="L125" s="24"/>
      <c r="M125" s="25" t="s">
        <v>147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148</v>
      </c>
      <c r="B127" s="33"/>
      <c r="C127" s="22"/>
      <c r="D127" s="22"/>
      <c r="E127" s="24"/>
      <c r="F127" s="34"/>
      <c r="G127" s="35"/>
      <c r="H127" s="36" t="s">
        <v>149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150</v>
      </c>
      <c r="B128" s="22"/>
      <c r="C128" s="22"/>
      <c r="D128" s="22"/>
      <c r="E128" s="22" t="s">
        <v>151</v>
      </c>
      <c r="F128" s="22" t="s">
        <v>152</v>
      </c>
      <c r="G128" s="40" t="s">
        <v>153</v>
      </c>
      <c r="H128" s="41" t="s">
        <v>151</v>
      </c>
      <c r="I128" s="22" t="s">
        <v>152</v>
      </c>
      <c r="J128" s="42" t="s">
        <v>154</v>
      </c>
      <c r="K128" s="24" t="s">
        <v>155</v>
      </c>
      <c r="L128" s="24"/>
      <c r="M128" s="25" t="s">
        <v>156</v>
      </c>
      <c r="N128" s="9"/>
    </row>
    <row r="129" spans="1:14" ht="15" customHeight="1" x14ac:dyDescent="0.45">
      <c r="A129" s="43" t="s">
        <v>163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164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137</v>
      </c>
      <c r="B131" s="21" t="s">
        <v>138</v>
      </c>
      <c r="C131" s="22" t="s">
        <v>139</v>
      </c>
      <c r="D131" s="22"/>
      <c r="E131" s="23" t="s">
        <v>140</v>
      </c>
      <c r="F131" s="21" t="s">
        <v>141</v>
      </c>
      <c r="G131" s="24" t="s">
        <v>142</v>
      </c>
      <c r="H131" s="24" t="s">
        <v>143</v>
      </c>
      <c r="I131" s="24" t="s">
        <v>144</v>
      </c>
      <c r="J131" s="24" t="s">
        <v>145</v>
      </c>
      <c r="K131" s="24" t="s">
        <v>146</v>
      </c>
      <c r="L131" s="24"/>
      <c r="M131" s="25" t="s">
        <v>147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148</v>
      </c>
      <c r="B133" s="33"/>
      <c r="C133" s="22"/>
      <c r="D133" s="22"/>
      <c r="E133" s="24"/>
      <c r="F133" s="34"/>
      <c r="G133" s="35"/>
      <c r="H133" s="36" t="s">
        <v>149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150</v>
      </c>
      <c r="B134" s="22"/>
      <c r="C134" s="22"/>
      <c r="D134" s="22"/>
      <c r="E134" s="22" t="s">
        <v>151</v>
      </c>
      <c r="F134" s="22" t="s">
        <v>152</v>
      </c>
      <c r="G134" s="40" t="s">
        <v>153</v>
      </c>
      <c r="H134" s="41" t="s">
        <v>151</v>
      </c>
      <c r="I134" s="22" t="s">
        <v>152</v>
      </c>
      <c r="J134" s="42" t="s">
        <v>154</v>
      </c>
      <c r="K134" s="24" t="s">
        <v>155</v>
      </c>
      <c r="L134" s="24"/>
      <c r="M134" s="25" t="s">
        <v>156</v>
      </c>
      <c r="N134" s="9"/>
    </row>
    <row r="135" spans="1:14" ht="15" customHeight="1" x14ac:dyDescent="0.45">
      <c r="A135" s="43" t="s">
        <v>165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166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137</v>
      </c>
      <c r="B137" s="21" t="s">
        <v>138</v>
      </c>
      <c r="C137" s="22" t="s">
        <v>139</v>
      </c>
      <c r="D137" s="22"/>
      <c r="E137" s="23" t="s">
        <v>140</v>
      </c>
      <c r="F137" s="21" t="s">
        <v>141</v>
      </c>
      <c r="G137" s="24" t="s">
        <v>142</v>
      </c>
      <c r="H137" s="24" t="s">
        <v>143</v>
      </c>
      <c r="I137" s="24" t="s">
        <v>144</v>
      </c>
      <c r="J137" s="24" t="s">
        <v>145</v>
      </c>
      <c r="K137" s="24" t="s">
        <v>146</v>
      </c>
      <c r="L137" s="24"/>
      <c r="M137" s="25" t="s">
        <v>147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148</v>
      </c>
      <c r="B139" s="33"/>
      <c r="C139" s="22"/>
      <c r="D139" s="22"/>
      <c r="E139" s="24"/>
      <c r="F139" s="34"/>
      <c r="G139" s="35"/>
      <c r="H139" s="36" t="s">
        <v>149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150</v>
      </c>
      <c r="B140" s="22"/>
      <c r="C140" s="22"/>
      <c r="D140" s="22"/>
      <c r="E140" s="22" t="s">
        <v>151</v>
      </c>
      <c r="F140" s="22" t="s">
        <v>152</v>
      </c>
      <c r="G140" s="40" t="s">
        <v>153</v>
      </c>
      <c r="H140" s="41" t="s">
        <v>151</v>
      </c>
      <c r="I140" s="22" t="s">
        <v>152</v>
      </c>
      <c r="J140" s="42" t="s">
        <v>154</v>
      </c>
      <c r="K140" s="24" t="s">
        <v>155</v>
      </c>
      <c r="L140" s="24"/>
      <c r="M140" s="25" t="s">
        <v>156</v>
      </c>
      <c r="N140" s="9"/>
    </row>
    <row r="141" spans="1:14" ht="15" customHeight="1" x14ac:dyDescent="0.45">
      <c r="A141" s="43" t="s">
        <v>167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168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137</v>
      </c>
      <c r="B143" s="21" t="s">
        <v>138</v>
      </c>
      <c r="C143" s="22" t="s">
        <v>139</v>
      </c>
      <c r="D143" s="22"/>
      <c r="E143" s="23" t="s">
        <v>140</v>
      </c>
      <c r="F143" s="21" t="s">
        <v>141</v>
      </c>
      <c r="G143" s="24" t="s">
        <v>142</v>
      </c>
      <c r="H143" s="24" t="s">
        <v>143</v>
      </c>
      <c r="I143" s="24" t="s">
        <v>144</v>
      </c>
      <c r="J143" s="24" t="s">
        <v>145</v>
      </c>
      <c r="K143" s="24" t="s">
        <v>146</v>
      </c>
      <c r="L143" s="24"/>
      <c r="M143" s="25" t="s">
        <v>147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148</v>
      </c>
      <c r="B145" s="33"/>
      <c r="C145" s="22"/>
      <c r="D145" s="22"/>
      <c r="E145" s="24"/>
      <c r="F145" s="34"/>
      <c r="G145" s="35"/>
      <c r="H145" s="36" t="s">
        <v>149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150</v>
      </c>
      <c r="B146" s="22"/>
      <c r="C146" s="22"/>
      <c r="D146" s="22"/>
      <c r="E146" s="22" t="s">
        <v>151</v>
      </c>
      <c r="F146" s="22" t="s">
        <v>152</v>
      </c>
      <c r="G146" s="40" t="s">
        <v>153</v>
      </c>
      <c r="H146" s="41" t="s">
        <v>151</v>
      </c>
      <c r="I146" s="22" t="s">
        <v>152</v>
      </c>
      <c r="J146" s="42" t="s">
        <v>154</v>
      </c>
      <c r="K146" s="24" t="s">
        <v>155</v>
      </c>
      <c r="L146" s="24"/>
      <c r="M146" s="25" t="s">
        <v>156</v>
      </c>
      <c r="N146" s="9"/>
    </row>
    <row r="147" spans="1:14" ht="15" customHeight="1" x14ac:dyDescent="0.45">
      <c r="A147" s="43" t="s">
        <v>159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137</v>
      </c>
      <c r="B149" s="21" t="s">
        <v>138</v>
      </c>
      <c r="C149" s="22" t="s">
        <v>139</v>
      </c>
      <c r="D149" s="22"/>
      <c r="E149" s="23" t="s">
        <v>140</v>
      </c>
      <c r="F149" s="21" t="s">
        <v>141</v>
      </c>
      <c r="G149" s="24" t="s">
        <v>142</v>
      </c>
      <c r="H149" s="24" t="s">
        <v>143</v>
      </c>
      <c r="I149" s="24" t="s">
        <v>144</v>
      </c>
      <c r="J149" s="24" t="s">
        <v>145</v>
      </c>
      <c r="K149" s="24" t="s">
        <v>146</v>
      </c>
      <c r="L149" s="24"/>
      <c r="M149" s="25" t="s">
        <v>147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148</v>
      </c>
      <c r="B151" s="33"/>
      <c r="C151" s="22"/>
      <c r="D151" s="22"/>
      <c r="E151" s="24"/>
      <c r="F151" s="34"/>
      <c r="G151" s="35"/>
      <c r="H151" s="36" t="s">
        <v>149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150</v>
      </c>
      <c r="B152" s="22"/>
      <c r="C152" s="22"/>
      <c r="D152" s="22"/>
      <c r="E152" s="22" t="s">
        <v>151</v>
      </c>
      <c r="F152" s="22" t="s">
        <v>152</v>
      </c>
      <c r="G152" s="40" t="s">
        <v>153</v>
      </c>
      <c r="H152" s="41" t="s">
        <v>151</v>
      </c>
      <c r="I152" s="22" t="s">
        <v>152</v>
      </c>
      <c r="J152" s="42" t="s">
        <v>154</v>
      </c>
      <c r="K152" s="24" t="s">
        <v>155</v>
      </c>
      <c r="L152" s="24"/>
      <c r="M152" s="25" t="s">
        <v>156</v>
      </c>
      <c r="N152" s="9"/>
    </row>
    <row r="153" spans="1:14" ht="15" customHeight="1" x14ac:dyDescent="0.45">
      <c r="A153" s="43" t="s">
        <v>159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170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137</v>
      </c>
      <c r="B155" s="21" t="s">
        <v>138</v>
      </c>
      <c r="C155" s="22" t="s">
        <v>139</v>
      </c>
      <c r="D155" s="22"/>
      <c r="E155" s="23" t="s">
        <v>140</v>
      </c>
      <c r="F155" s="21" t="s">
        <v>141</v>
      </c>
      <c r="G155" s="24" t="s">
        <v>142</v>
      </c>
      <c r="H155" s="24" t="s">
        <v>143</v>
      </c>
      <c r="I155" s="24" t="s">
        <v>144</v>
      </c>
      <c r="J155" s="24" t="s">
        <v>145</v>
      </c>
      <c r="K155" s="24" t="s">
        <v>146</v>
      </c>
      <c r="L155" s="24"/>
      <c r="M155" s="25" t="s">
        <v>147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148</v>
      </c>
      <c r="B157" s="33"/>
      <c r="C157" s="22"/>
      <c r="D157" s="22"/>
      <c r="E157" s="24"/>
      <c r="F157" s="34"/>
      <c r="G157" s="35"/>
      <c r="H157" s="36" t="s">
        <v>149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150</v>
      </c>
      <c r="B158" s="22"/>
      <c r="C158" s="22"/>
      <c r="D158" s="22"/>
      <c r="E158" s="22" t="s">
        <v>151</v>
      </c>
      <c r="F158" s="22" t="s">
        <v>152</v>
      </c>
      <c r="G158" s="40" t="s">
        <v>153</v>
      </c>
      <c r="H158" s="41" t="s">
        <v>151</v>
      </c>
      <c r="I158" s="22" t="s">
        <v>152</v>
      </c>
      <c r="J158" s="42" t="s">
        <v>154</v>
      </c>
      <c r="K158" s="24" t="s">
        <v>155</v>
      </c>
      <c r="L158" s="24"/>
      <c r="M158" s="25" t="s">
        <v>156</v>
      </c>
      <c r="N158" s="9"/>
    </row>
    <row r="159" spans="1:14" ht="15" customHeight="1" x14ac:dyDescent="0.45">
      <c r="A159" s="43" t="s">
        <v>161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171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137</v>
      </c>
      <c r="B161" s="21" t="s">
        <v>138</v>
      </c>
      <c r="C161" s="22" t="s">
        <v>139</v>
      </c>
      <c r="D161" s="22"/>
      <c r="E161" s="23" t="s">
        <v>140</v>
      </c>
      <c r="F161" s="21" t="s">
        <v>141</v>
      </c>
      <c r="G161" s="24" t="s">
        <v>142</v>
      </c>
      <c r="H161" s="24" t="s">
        <v>143</v>
      </c>
      <c r="I161" s="24" t="s">
        <v>144</v>
      </c>
      <c r="J161" s="24" t="s">
        <v>145</v>
      </c>
      <c r="K161" s="24" t="s">
        <v>146</v>
      </c>
      <c r="L161" s="24"/>
      <c r="M161" s="25" t="s">
        <v>147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148</v>
      </c>
      <c r="B163" s="33"/>
      <c r="C163" s="22"/>
      <c r="D163" s="22"/>
      <c r="E163" s="24"/>
      <c r="F163" s="34"/>
      <c r="G163" s="35"/>
      <c r="H163" s="36" t="s">
        <v>149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150</v>
      </c>
      <c r="B164" s="22"/>
      <c r="C164" s="22"/>
      <c r="D164" s="22"/>
      <c r="E164" s="22" t="s">
        <v>151</v>
      </c>
      <c r="F164" s="22" t="s">
        <v>152</v>
      </c>
      <c r="G164" s="40" t="s">
        <v>153</v>
      </c>
      <c r="H164" s="41" t="s">
        <v>151</v>
      </c>
      <c r="I164" s="22" t="s">
        <v>152</v>
      </c>
      <c r="J164" s="42" t="s">
        <v>154</v>
      </c>
      <c r="K164" s="24" t="s">
        <v>155</v>
      </c>
      <c r="L164" s="24"/>
      <c r="M164" s="25" t="s">
        <v>156</v>
      </c>
      <c r="N164" s="9"/>
    </row>
    <row r="165" spans="1:14" ht="15" customHeight="1" x14ac:dyDescent="0.45">
      <c r="A165" s="43" t="s">
        <v>163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172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137</v>
      </c>
      <c r="B167" s="21" t="s">
        <v>138</v>
      </c>
      <c r="C167" s="22" t="s">
        <v>139</v>
      </c>
      <c r="D167" s="22"/>
      <c r="E167" s="23" t="s">
        <v>140</v>
      </c>
      <c r="F167" s="21" t="s">
        <v>141</v>
      </c>
      <c r="G167" s="24" t="s">
        <v>142</v>
      </c>
      <c r="H167" s="24" t="s">
        <v>143</v>
      </c>
      <c r="I167" s="24" t="s">
        <v>144</v>
      </c>
      <c r="J167" s="24" t="s">
        <v>145</v>
      </c>
      <c r="K167" s="24" t="s">
        <v>146</v>
      </c>
      <c r="L167" s="24"/>
      <c r="M167" s="25" t="s">
        <v>147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148</v>
      </c>
      <c r="B169" s="33"/>
      <c r="C169" s="22"/>
      <c r="D169" s="22"/>
      <c r="E169" s="24"/>
      <c r="F169" s="34"/>
      <c r="G169" s="35"/>
      <c r="H169" s="36" t="s">
        <v>149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150</v>
      </c>
      <c r="B170" s="22"/>
      <c r="C170" s="22"/>
      <c r="D170" s="22"/>
      <c r="E170" s="22" t="s">
        <v>151</v>
      </c>
      <c r="F170" s="22" t="s">
        <v>152</v>
      </c>
      <c r="G170" s="40" t="s">
        <v>153</v>
      </c>
      <c r="H170" s="41" t="s">
        <v>151</v>
      </c>
      <c r="I170" s="22" t="s">
        <v>152</v>
      </c>
      <c r="J170" s="42" t="s">
        <v>154</v>
      </c>
      <c r="K170" s="24" t="s">
        <v>155</v>
      </c>
      <c r="L170" s="24"/>
      <c r="M170" s="25" t="s">
        <v>156</v>
      </c>
      <c r="N170" s="9"/>
    </row>
    <row r="171" spans="1:14" ht="15" customHeight="1" x14ac:dyDescent="0.45">
      <c r="A171" s="43" t="s">
        <v>167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44:Z74">
    <cfRule type="cellIs" dxfId="54" priority="3" operator="equal">
      <formula>"N.G"</formula>
    </cfRule>
  </conditionalFormatting>
  <conditionalFormatting sqref="Z23:Z30">
    <cfRule type="cellIs" dxfId="53" priority="2" operator="equal">
      <formula>"N.G"</formula>
    </cfRule>
  </conditionalFormatting>
  <conditionalFormatting sqref="Z31:Z43">
    <cfRule type="cellIs" dxfId="52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opLeftCell="A36" zoomScale="130" zoomScaleNormal="130" workbookViewId="0">
      <selection activeCell="S58" sqref="S58:S7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2">
        <f>'Global Strength'!D10</f>
        <v>855120</v>
      </c>
      <c r="N11" s="322" t="s">
        <v>79</v>
      </c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3">
        <f>'Global Strength'!D6</f>
        <v>29.331</v>
      </c>
      <c r="N12" s="323" t="s">
        <v>83</v>
      </c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3">
        <f>'Global Strength'!D5</f>
        <v>6.0910000000000002</v>
      </c>
      <c r="N13" s="323" t="s">
        <v>87</v>
      </c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2"/>
      <c r="N14" s="322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2">
        <f>'Global Strength'!D27</f>
        <v>27825</v>
      </c>
      <c r="N15" s="322" t="s">
        <v>92</v>
      </c>
      <c r="O15" s="5" t="s">
        <v>92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93</v>
      </c>
      <c r="E17" s="14" t="s">
        <v>94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95</v>
      </c>
      <c r="E18" s="14" t="s">
        <v>94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96</v>
      </c>
    </row>
    <row r="20" spans="1:34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34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 t="s">
        <v>123</v>
      </c>
      <c r="AE21" s="4">
        <v>1.0249999999999999</v>
      </c>
    </row>
    <row r="22" spans="1:34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  <c r="AD22" s="4" t="s">
        <v>129</v>
      </c>
      <c r="AE22" s="4">
        <v>9.81</v>
      </c>
    </row>
    <row r="23" spans="1:34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8" si="0">$M$11/ABS(($M$12/(D23-$M$13)))/1000</f>
        <v>177.57785005625448</v>
      </c>
      <c r="R23" s="292">
        <v>0</v>
      </c>
      <c r="S23" s="292">
        <v>-13.5</v>
      </c>
      <c r="T23" s="290">
        <f t="shared" ref="T23:T24" si="1">SQRT(Q23^2+R23^2-Q23*R23+3*S23^2)</f>
        <v>179.11069993331387</v>
      </c>
      <c r="U23" s="289">
        <f>MIN(K23/$F$7,1.3*(K23/$F$7-T23))</f>
        <v>186.70154463214647</v>
      </c>
      <c r="V23" s="290">
        <f>14.3*$F$8/SQRT(K23/$F$7)</f>
        <v>3.98004706603921</v>
      </c>
      <c r="W23" s="290">
        <f>15.8*N23*L23*SQRT(J23)/SQRT(U23*P23)</f>
        <v>11.369060257856148</v>
      </c>
      <c r="X23" s="290">
        <f>MAX(V23,W23)+O23</f>
        <v>12.869060257856148</v>
      </c>
      <c r="Y23" s="293">
        <v>16</v>
      </c>
      <c r="Z23" s="294" t="str">
        <f>IF(MROUND(X23,0.5)&lt;=Y23,"OK","N.G")</f>
        <v>OK</v>
      </c>
    </row>
    <row r="24" spans="1:34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4" si="2">E24*$F$18+F24*$F$17</f>
        <v>0</v>
      </c>
      <c r="H24" s="186">
        <f t="shared" ref="H24:H74" si="3">1.025*9.81*(($F$10+0.76)-D24)</f>
        <v>127.29946499999998</v>
      </c>
      <c r="I24" s="185">
        <v>0</v>
      </c>
      <c r="J24" s="185">
        <f t="shared" ref="J24:J74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177.57785005625448</v>
      </c>
      <c r="R24" s="188">
        <v>0</v>
      </c>
      <c r="S24" s="188">
        <v>-6.4</v>
      </c>
      <c r="T24" s="186">
        <f t="shared" si="1"/>
        <v>177.92350274936024</v>
      </c>
      <c r="U24" s="185">
        <f>MIN(K24/$F$7,1.3*(K24/$F$7-T24))</f>
        <v>188.2449009712862</v>
      </c>
      <c r="V24" s="186">
        <f>14.3*$F$8/SQRT(K24/$F$7)</f>
        <v>3.98004706603921</v>
      </c>
      <c r="W24" s="186">
        <f>15.8*N24*L24*SQRT(J24)/SQRT(U24*P24)</f>
        <v>11.322358796627578</v>
      </c>
      <c r="X24" s="186">
        <f>MAX(V24,W24)+O24</f>
        <v>12.822358796627578</v>
      </c>
      <c r="Y24" s="189">
        <v>16</v>
      </c>
      <c r="Z24" s="190" t="str">
        <f t="shared" ref="Z24:Z74" si="5">IF(MROUND(X24,0.5)&lt;=Y24,"OK","N.G")</f>
        <v>OK</v>
      </c>
    </row>
    <row r="25" spans="1:34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177.57785005625448</v>
      </c>
      <c r="R25" s="188">
        <v>0</v>
      </c>
      <c r="S25" s="188">
        <v>0.60000000000000797</v>
      </c>
      <c r="T25" s="186">
        <f>SQRT(Q25^2+R25^2-Q25*R25+3*S25^2)</f>
        <v>177.58089095001637</v>
      </c>
      <c r="U25" s="185">
        <f>MIN(K25/$F$7,1.3*(K25/$F$7-T25))</f>
        <v>188.69029631043324</v>
      </c>
      <c r="V25" s="186">
        <f t="shared" ref="V25:V74" si="6">14.3*$F$8/SQRT(K25/$F$7)</f>
        <v>3.98004706603921</v>
      </c>
      <c r="W25" s="186">
        <f t="shared" ref="W25:W30" si="7">15.8*N25*L25*SQRT(J25)/SQRT(U25*P25)</f>
        <v>11.308987930836588</v>
      </c>
      <c r="X25" s="186">
        <f t="shared" ref="X25:X74" si="8">MAX(V25,W25)+O25</f>
        <v>12.808987930836588</v>
      </c>
      <c r="Y25" s="189">
        <v>16</v>
      </c>
      <c r="Z25" s="190" t="str">
        <f t="shared" si="5"/>
        <v>OK</v>
      </c>
    </row>
    <row r="26" spans="1:34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177.57785005625448</v>
      </c>
      <c r="R26" s="228">
        <v>0</v>
      </c>
      <c r="S26" s="228">
        <v>7.6</v>
      </c>
      <c r="T26" s="226">
        <f t="shared" ref="T26:T74" si="9">SQRT(Q26^2+R26^2-Q26*R26+3*S26^2)</f>
        <v>178.06508032346375</v>
      </c>
      <c r="U26" s="225">
        <f>MIN(K26/$F$7,1.3*(K26/$F$7-T26))</f>
        <v>188.06085012495163</v>
      </c>
      <c r="V26" s="226">
        <f t="shared" si="6"/>
        <v>3.98004706603921</v>
      </c>
      <c r="W26" s="226">
        <f t="shared" si="7"/>
        <v>11.327897908311902</v>
      </c>
      <c r="X26" s="226">
        <f>MAX(V26,W26)+O26</f>
        <v>12.827897908311902</v>
      </c>
      <c r="Y26" s="229">
        <v>16</v>
      </c>
      <c r="Z26" s="230" t="str">
        <f t="shared" si="5"/>
        <v>OK</v>
      </c>
    </row>
    <row r="27" spans="1:34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177.57785005625448</v>
      </c>
      <c r="R27" s="220">
        <v>0</v>
      </c>
      <c r="S27" s="220">
        <v>14.7</v>
      </c>
      <c r="T27" s="218">
        <f t="shared" si="9"/>
        <v>179.3938762349529</v>
      </c>
      <c r="U27" s="217">
        <f>MIN(K27/$F$7,1.3*(K27/$F$7-T27))</f>
        <v>186.33341544001573</v>
      </c>
      <c r="V27" s="218">
        <f t="shared" si="6"/>
        <v>3.98004706603921</v>
      </c>
      <c r="W27" s="218">
        <f t="shared" si="7"/>
        <v>11.380285345520619</v>
      </c>
      <c r="X27" s="218">
        <f t="shared" si="8"/>
        <v>12.880285345520619</v>
      </c>
      <c r="Y27" s="221">
        <v>16</v>
      </c>
      <c r="Z27" s="222" t="str">
        <f t="shared" si="5"/>
        <v>OK</v>
      </c>
    </row>
    <row r="28" spans="1:34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177.57785005625448</v>
      </c>
      <c r="R28" s="188">
        <v>0</v>
      </c>
      <c r="S28" s="188">
        <v>21.7</v>
      </c>
      <c r="T28" s="186">
        <f t="shared" si="9"/>
        <v>181.51188068719247</v>
      </c>
      <c r="U28" s="185">
        <f t="shared" ref="U28:U30" si="10">MIN(K28/$F$7,1.3*(K28/$F$7-T28))</f>
        <v>183.58000965210428</v>
      </c>
      <c r="V28" s="186">
        <f t="shared" si="6"/>
        <v>3.98004706603921</v>
      </c>
      <c r="W28" s="186">
        <f t="shared" si="7"/>
        <v>11.465310737288442</v>
      </c>
      <c r="X28" s="186">
        <f t="shared" si="8"/>
        <v>12.965310737288442</v>
      </c>
      <c r="Y28" s="189">
        <v>16</v>
      </c>
      <c r="Z28" s="190" t="str">
        <f t="shared" si="5"/>
        <v>OK</v>
      </c>
    </row>
    <row r="29" spans="1:34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177.57785005625448</v>
      </c>
      <c r="R29" s="188">
        <v>0</v>
      </c>
      <c r="S29" s="188">
        <v>28.8</v>
      </c>
      <c r="T29" s="186">
        <f t="shared" si="9"/>
        <v>184.45111230513521</v>
      </c>
      <c r="U29" s="185">
        <f t="shared" si="10"/>
        <v>179.75900854877872</v>
      </c>
      <c r="V29" s="186">
        <f t="shared" si="6"/>
        <v>3.98004706603921</v>
      </c>
      <c r="W29" s="186">
        <f t="shared" si="7"/>
        <v>11.586524699542256</v>
      </c>
      <c r="X29" s="186">
        <f t="shared" si="8"/>
        <v>13.086524699542256</v>
      </c>
      <c r="Y29" s="189">
        <v>16</v>
      </c>
      <c r="Z29" s="190" t="str">
        <f>IF(MROUND(X29,0.5)&lt;=Y29,"OK","N.G")</f>
        <v>OK</v>
      </c>
    </row>
    <row r="30" spans="1:34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177.57785005625448</v>
      </c>
      <c r="R30" s="212">
        <v>0</v>
      </c>
      <c r="S30" s="212">
        <v>33.299999999999997</v>
      </c>
      <c r="T30" s="210">
        <f t="shared" si="9"/>
        <v>186.70983592355708</v>
      </c>
      <c r="U30" s="209">
        <f t="shared" si="10"/>
        <v>176.82266784483031</v>
      </c>
      <c r="V30" s="210">
        <f t="shared" si="6"/>
        <v>3.98004706603921</v>
      </c>
      <c r="W30" s="210">
        <f t="shared" si="7"/>
        <v>11.682332272831067</v>
      </c>
      <c r="X30" s="210">
        <f t="shared" si="8"/>
        <v>13.182332272831067</v>
      </c>
      <c r="Y30" s="213">
        <v>16</v>
      </c>
      <c r="Z30" s="214" t="str">
        <f t="shared" si="5"/>
        <v>OK</v>
      </c>
    </row>
    <row r="31" spans="1:34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177.57785005625448</v>
      </c>
      <c r="R31" s="236">
        <v>0</v>
      </c>
      <c r="S31" s="236">
        <v>33.299999999999997</v>
      </c>
      <c r="T31" s="233">
        <f>SQRT(Q31^2+R31^2-Q31*R31+3*S31^2)</f>
        <v>186.70983592355708</v>
      </c>
      <c r="U31" s="234">
        <f>MIN(K31/$F$7,1.3*(K31/$F$7-T31))</f>
        <v>176.82266784483031</v>
      </c>
      <c r="V31" s="233">
        <f>14.3*$F$8/SQRT(K31/$F$7)</f>
        <v>3.98004706603921</v>
      </c>
      <c r="W31" s="233">
        <f>15.8*N31*L31*SQRT(J31)/SQRT(U31*P31)</f>
        <v>10.903510121308994</v>
      </c>
      <c r="X31" s="233">
        <f t="shared" si="8"/>
        <v>12.403510121308994</v>
      </c>
      <c r="Y31" s="237" ph="1">
        <v>16</v>
      </c>
      <c r="Z31" s="238" t="str">
        <f>IF(MROUND(X31,0.5)&lt;=Y31,"OK","N.G")</f>
        <v>OK</v>
      </c>
    </row>
    <row r="32" spans="1:34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157.16995397361151</v>
      </c>
      <c r="R32" s="196">
        <v>0</v>
      </c>
      <c r="S32" s="196">
        <v>39.1</v>
      </c>
      <c r="T32" s="193">
        <f t="shared" si="9"/>
        <v>171.13978039037903</v>
      </c>
      <c r="U32" s="194">
        <f t="shared" ref="U32:U74" si="11">MIN(K32/$F$7,1.3*(K32/$F$7-T32))</f>
        <v>197.06374003796176</v>
      </c>
      <c r="V32" s="193">
        <f t="shared" si="6"/>
        <v>3.98004706603921</v>
      </c>
      <c r="W32" s="193">
        <f t="shared" ref="W32:W56" si="12">15.8*N32*L32*SQRT(J32)/SQRT(U32*P32)</f>
        <v>10.038773994597417</v>
      </c>
      <c r="X32" s="193">
        <f t="shared" si="8"/>
        <v>11.538773994597417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136.76205789096863</v>
      </c>
      <c r="R33" s="196">
        <v>0</v>
      </c>
      <c r="S33" s="196">
        <v>44.2</v>
      </c>
      <c r="T33" s="193">
        <f t="shared" si="9"/>
        <v>156.7315554653008</v>
      </c>
      <c r="U33" s="194">
        <f t="shared" si="11"/>
        <v>215.79443244056347</v>
      </c>
      <c r="V33" s="193">
        <f t="shared" si="6"/>
        <v>3.98004706603921</v>
      </c>
      <c r="W33" s="193">
        <f t="shared" si="12"/>
        <v>9.3082389849127392</v>
      </c>
      <c r="X33" s="193">
        <f t="shared" si="8"/>
        <v>10.808238984912739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116.35416180832569</v>
      </c>
      <c r="R34" s="196">
        <v>0</v>
      </c>
      <c r="S34" s="196">
        <v>48.6</v>
      </c>
      <c r="T34" s="193">
        <f t="shared" si="9"/>
        <v>143.61117982287465</v>
      </c>
      <c r="U34" s="194">
        <f t="shared" si="11"/>
        <v>232.85092077571747</v>
      </c>
      <c r="V34" s="193">
        <f t="shared" si="6"/>
        <v>3.98004706603921</v>
      </c>
      <c r="W34" s="193">
        <f t="shared" si="12"/>
        <v>8.6778357727415827</v>
      </c>
      <c r="X34" s="193">
        <f t="shared" si="8"/>
        <v>10.177835772741583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8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95.946265725682721</v>
      </c>
      <c r="R35" s="284">
        <v>0</v>
      </c>
      <c r="S35" s="284">
        <v>52</v>
      </c>
      <c r="T35" s="281">
        <f t="shared" si="9"/>
        <v>131.59667893493102</v>
      </c>
      <c r="U35" s="282">
        <f t="shared" si="11"/>
        <v>248.46977193004417</v>
      </c>
      <c r="V35" s="281">
        <f t="shared" si="6"/>
        <v>3.98004706603921</v>
      </c>
      <c r="W35" s="281">
        <f t="shared" si="12"/>
        <v>8.1174593859198456</v>
      </c>
      <c r="X35" s="281">
        <f t="shared" si="8"/>
        <v>9.6174593859198456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75.5383696430398</v>
      </c>
      <c r="R36" s="252">
        <v>0</v>
      </c>
      <c r="S36" s="252">
        <v>54.7</v>
      </c>
      <c r="T36" s="249">
        <f t="shared" si="9"/>
        <v>121.17060406026091</v>
      </c>
      <c r="U36" s="250">
        <f t="shared" si="11"/>
        <v>262.02366926711528</v>
      </c>
      <c r="V36" s="249">
        <f t="shared" si="6"/>
        <v>3.98004706603921</v>
      </c>
      <c r="W36" s="249">
        <f t="shared" si="12"/>
        <v>7.6189640159893139</v>
      </c>
      <c r="X36" s="249">
        <f t="shared" si="8"/>
        <v>9.1189640159893131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55.130473560396851</v>
      </c>
      <c r="R37" s="196">
        <v>0</v>
      </c>
      <c r="S37" s="196">
        <v>56.700000000000102</v>
      </c>
      <c r="T37" s="193">
        <f t="shared" si="9"/>
        <v>112.62343945641889</v>
      </c>
      <c r="U37" s="194">
        <f t="shared" si="11"/>
        <v>273.13498325210992</v>
      </c>
      <c r="V37" s="193">
        <f t="shared" si="6"/>
        <v>3.98004706603921</v>
      </c>
      <c r="W37" s="193">
        <f t="shared" si="12"/>
        <v>7.1715819412582533</v>
      </c>
      <c r="X37" s="193">
        <f t="shared" si="8"/>
        <v>8.6715819412582533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34.722577477753902</v>
      </c>
      <c r="R38" s="196">
        <v>0</v>
      </c>
      <c r="S38" s="196">
        <v>58.100000000000101</v>
      </c>
      <c r="T38" s="193">
        <f t="shared" si="9"/>
        <v>106.45415626784451</v>
      </c>
      <c r="U38" s="194">
        <f t="shared" si="11"/>
        <v>281.15505139725667</v>
      </c>
      <c r="V38" s="193">
        <f t="shared" si="6"/>
        <v>3.98004706603921</v>
      </c>
      <c r="W38" s="193">
        <f t="shared" si="12"/>
        <v>6.7698081736320503</v>
      </c>
      <c r="X38" s="193">
        <f t="shared" si="8"/>
        <v>8.2698081736320503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14.314681395110963</v>
      </c>
      <c r="R39" s="284">
        <v>0</v>
      </c>
      <c r="S39" s="284">
        <v>59.2</v>
      </c>
      <c r="T39" s="281">
        <f t="shared" si="9"/>
        <v>103.53178305932694</v>
      </c>
      <c r="U39" s="282">
        <f t="shared" si="11"/>
        <v>284.95413656832949</v>
      </c>
      <c r="V39" s="281">
        <f t="shared" si="6"/>
        <v>3.98004706603921</v>
      </c>
      <c r="W39" s="281">
        <f t="shared" si="12"/>
        <v>6.4140643865319076</v>
      </c>
      <c r="X39" s="281">
        <f t="shared" si="8"/>
        <v>7.9140643865319076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6.0932146875319786</v>
      </c>
      <c r="R40" s="252">
        <v>0</v>
      </c>
      <c r="S40" s="252">
        <v>59.2</v>
      </c>
      <c r="T40" s="249">
        <f t="shared" si="9"/>
        <v>102.71829080172799</v>
      </c>
      <c r="U40" s="250">
        <f t="shared" si="11"/>
        <v>286.01167650320815</v>
      </c>
      <c r="V40" s="249">
        <f t="shared" si="6"/>
        <v>3.98004706603921</v>
      </c>
      <c r="W40" s="249">
        <f t="shared" si="12"/>
        <v>6.0765226853796497</v>
      </c>
      <c r="X40" s="249">
        <f t="shared" si="8"/>
        <v>7.5765226853796497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26.501110770174925</v>
      </c>
      <c r="R41" s="196">
        <v>0</v>
      </c>
      <c r="S41" s="196">
        <v>58.700000000000102</v>
      </c>
      <c r="T41" s="193">
        <f t="shared" si="9"/>
        <v>105.06844850883218</v>
      </c>
      <c r="U41" s="194">
        <f t="shared" si="11"/>
        <v>282.95647148397268</v>
      </c>
      <c r="V41" s="193">
        <f t="shared" si="6"/>
        <v>3.98004706603921</v>
      </c>
      <c r="W41" s="193">
        <f t="shared" si="12"/>
        <v>5.76324188772388</v>
      </c>
      <c r="X41" s="193">
        <f t="shared" si="8"/>
        <v>7.26324188772388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2"/>
        <v>0</v>
      </c>
      <c r="H42" s="193">
        <f t="shared" si="3"/>
        <v>49.874039999999987</v>
      </c>
      <c r="I42" s="194">
        <v>0</v>
      </c>
      <c r="J42" s="194">
        <f t="shared" si="4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46.909006852817861</v>
      </c>
      <c r="R42" s="196">
        <v>0</v>
      </c>
      <c r="S42" s="196">
        <v>57.4</v>
      </c>
      <c r="T42" s="193">
        <f t="shared" si="9"/>
        <v>109.93059139255875</v>
      </c>
      <c r="U42" s="194">
        <f t="shared" si="11"/>
        <v>276.63568573512811</v>
      </c>
      <c r="V42" s="193">
        <f t="shared" si="6"/>
        <v>3.98004706603921</v>
      </c>
      <c r="W42" s="193">
        <f t="shared" si="12"/>
        <v>5.4563872366435078</v>
      </c>
      <c r="X42" s="193">
        <f t="shared" si="8"/>
        <v>6.9563872366435078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2"/>
        <v>0</v>
      </c>
      <c r="H43" s="241">
        <f t="shared" si="3"/>
        <v>42.835364999999996</v>
      </c>
      <c r="I43" s="242">
        <v>0</v>
      </c>
      <c r="J43" s="242">
        <f t="shared" si="4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67.316902935460774</v>
      </c>
      <c r="R43" s="244">
        <v>0</v>
      </c>
      <c r="S43" s="244">
        <v>55.6</v>
      </c>
      <c r="T43" s="241">
        <f t="shared" si="9"/>
        <v>117.49742729448269</v>
      </c>
      <c r="U43" s="242">
        <f t="shared" si="11"/>
        <v>266.79879906262698</v>
      </c>
      <c r="V43" s="241">
        <f t="shared" si="6"/>
        <v>3.98004706603921</v>
      </c>
      <c r="W43" s="241">
        <f t="shared" si="12"/>
        <v>5.1490998302761408</v>
      </c>
      <c r="X43" s="241">
        <f t="shared" si="8"/>
        <v>6.6490998302761408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9.1</v>
      </c>
      <c r="E44" s="250">
        <v>0</v>
      </c>
      <c r="F44" s="250">
        <v>0</v>
      </c>
      <c r="G44" s="250">
        <f t="shared" si="2"/>
        <v>0</v>
      </c>
      <c r="H44" s="249">
        <f t="shared" si="3"/>
        <v>35.796690000000005</v>
      </c>
      <c r="I44" s="250">
        <v>0</v>
      </c>
      <c r="J44" s="250">
        <f t="shared" si="4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87.724799018103695</v>
      </c>
      <c r="R44" s="252">
        <v>0</v>
      </c>
      <c r="S44" s="252">
        <v>52.999999999999901</v>
      </c>
      <c r="T44" s="249">
        <f t="shared" si="9"/>
        <v>126.97495958954528</v>
      </c>
      <c r="U44" s="250">
        <f t="shared" si="11"/>
        <v>254.47800707904565</v>
      </c>
      <c r="V44" s="249">
        <f t="shared" si="6"/>
        <v>3.98004706603921</v>
      </c>
      <c r="W44" s="249">
        <f t="shared" si="12"/>
        <v>4.8196812723281459</v>
      </c>
      <c r="X44" s="249">
        <f t="shared" si="8"/>
        <v>6.3196812723281459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9.7999999999999989</v>
      </c>
      <c r="E45" s="194">
        <v>0</v>
      </c>
      <c r="F45" s="194">
        <v>0</v>
      </c>
      <c r="G45" s="194">
        <f t="shared" si="2"/>
        <v>0</v>
      </c>
      <c r="H45" s="193">
        <f t="shared" si="3"/>
        <v>28.758015000000011</v>
      </c>
      <c r="I45" s="194">
        <v>0</v>
      </c>
      <c r="J45" s="194">
        <f t="shared" si="4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108.13269510074662</v>
      </c>
      <c r="R45" s="196">
        <v>0</v>
      </c>
      <c r="S45" s="196">
        <v>49.9</v>
      </c>
      <c r="T45" s="193">
        <f t="shared" si="9"/>
        <v>138.42943960643282</v>
      </c>
      <c r="U45" s="194">
        <f t="shared" si="11"/>
        <v>239.58718305709183</v>
      </c>
      <c r="V45" s="193">
        <f t="shared" si="6"/>
        <v>3.98004706603921</v>
      </c>
      <c r="W45" s="193">
        <f t="shared" si="12"/>
        <v>4.4521488263586289</v>
      </c>
      <c r="X45" s="193">
        <f t="shared" si="8"/>
        <v>5.9521488263586289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10.499999999999998</v>
      </c>
      <c r="E46" s="194">
        <v>0</v>
      </c>
      <c r="F46" s="194">
        <v>0</v>
      </c>
      <c r="G46" s="194">
        <f t="shared" si="2"/>
        <v>0</v>
      </c>
      <c r="H46" s="193">
        <f t="shared" si="3"/>
        <v>21.719340000000017</v>
      </c>
      <c r="I46" s="194">
        <v>0</v>
      </c>
      <c r="J46" s="194">
        <f t="shared" si="4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0"/>
        <v>128.54059118338952</v>
      </c>
      <c r="R46" s="196">
        <v>0</v>
      </c>
      <c r="S46" s="196">
        <v>46.1</v>
      </c>
      <c r="T46" s="193">
        <f t="shared" si="9"/>
        <v>151.32188731897074</v>
      </c>
      <c r="U46" s="194">
        <f t="shared" si="11"/>
        <v>222.82700103079256</v>
      </c>
      <c r="V46" s="193">
        <f t="shared" si="6"/>
        <v>3.98004706603921</v>
      </c>
      <c r="W46" s="193">
        <f t="shared" si="12"/>
        <v>4.0120045376689246</v>
      </c>
      <c r="X46" s="193">
        <f t="shared" si="8"/>
        <v>5.5120045376689246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191">
        <v>25</v>
      </c>
      <c r="B47" s="192" t="s">
        <v>131</v>
      </c>
      <c r="C47" s="192">
        <v>6</v>
      </c>
      <c r="D47" s="193">
        <f t="shared" si="13"/>
        <v>11.199999999999998</v>
      </c>
      <c r="E47" s="194">
        <v>0</v>
      </c>
      <c r="F47" s="194">
        <v>0</v>
      </c>
      <c r="G47" s="194">
        <f t="shared" si="2"/>
        <v>0</v>
      </c>
      <c r="H47" s="193">
        <f t="shared" si="3"/>
        <v>14.680665000000026</v>
      </c>
      <c r="I47" s="194">
        <v>0</v>
      </c>
      <c r="J47" s="194">
        <f t="shared" si="4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0"/>
        <v>148.94848726603243</v>
      </c>
      <c r="R47" s="196">
        <v>0</v>
      </c>
      <c r="S47" s="196">
        <v>32.299999999999997</v>
      </c>
      <c r="T47" s="193">
        <f t="shared" si="9"/>
        <v>159.10852226967424</v>
      </c>
      <c r="U47" s="194">
        <f t="shared" si="11"/>
        <v>212.704375594878</v>
      </c>
      <c r="V47" s="193">
        <f t="shared" si="6"/>
        <v>3.98004706603921</v>
      </c>
      <c r="W47" s="193">
        <f t="shared" si="12"/>
        <v>3.3760328476125516</v>
      </c>
      <c r="X47" s="193">
        <f t="shared" si="8"/>
        <v>5.4800470660392104</v>
      </c>
      <c r="Y47" s="197" ph="1">
        <v>16</v>
      </c>
      <c r="Z47" s="198" t="str">
        <f t="shared" si="5"/>
        <v>OK</v>
      </c>
    </row>
    <row r="48" spans="1:26" ht="15" customHeight="1" x14ac:dyDescent="0.3">
      <c r="A48" s="239">
        <v>26</v>
      </c>
      <c r="B48" s="240" t="s">
        <v>131</v>
      </c>
      <c r="C48" s="240">
        <v>6</v>
      </c>
      <c r="D48" s="241">
        <f t="shared" si="13"/>
        <v>11.899999999999997</v>
      </c>
      <c r="E48" s="242">
        <v>0</v>
      </c>
      <c r="F48" s="242">
        <v>0</v>
      </c>
      <c r="G48" s="242">
        <f t="shared" si="2"/>
        <v>0</v>
      </c>
      <c r="H48" s="241">
        <f t="shared" si="3"/>
        <v>7.6419900000000327</v>
      </c>
      <c r="I48" s="242">
        <v>0</v>
      </c>
      <c r="J48" s="242">
        <f t="shared" si="4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0"/>
        <v>169.35638334867537</v>
      </c>
      <c r="R48" s="244">
        <v>0</v>
      </c>
      <c r="S48" s="244">
        <v>28.6</v>
      </c>
      <c r="T48" s="241">
        <f t="shared" si="9"/>
        <v>176.45244283076244</v>
      </c>
      <c r="U48" s="242">
        <f t="shared" si="11"/>
        <v>190.15727886546333</v>
      </c>
      <c r="V48" s="241">
        <f t="shared" si="6"/>
        <v>3.98004706603921</v>
      </c>
      <c r="W48" s="241">
        <f t="shared" si="12"/>
        <v>2.5761358816347681</v>
      </c>
      <c r="X48" s="241">
        <f t="shared" si="8"/>
        <v>5.4800470660392104</v>
      </c>
      <c r="Y48" s="245" ph="1">
        <v>16</v>
      </c>
      <c r="Z48" s="246" t="str">
        <f t="shared" si="5"/>
        <v>OK</v>
      </c>
    </row>
    <row r="49" spans="1:26" ht="15" customHeight="1" x14ac:dyDescent="0.3">
      <c r="A49" s="75">
        <v>1</v>
      </c>
      <c r="B49" s="75" t="s">
        <v>132</v>
      </c>
      <c r="C49" s="92">
        <v>0.75</v>
      </c>
      <c r="D49" s="75">
        <v>11.9</v>
      </c>
      <c r="E49" s="76">
        <v>0</v>
      </c>
      <c r="F49" s="76">
        <v>0</v>
      </c>
      <c r="G49" s="76">
        <f t="shared" si="2"/>
        <v>0</v>
      </c>
      <c r="H49" s="76">
        <f t="shared" si="3"/>
        <v>7.6419899999999972</v>
      </c>
      <c r="I49" s="76">
        <v>0</v>
      </c>
      <c r="J49" s="76">
        <f t="shared" si="4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169.35638334867548</v>
      </c>
      <c r="R49" s="78">
        <v>0</v>
      </c>
      <c r="S49" s="78">
        <v>-12.6</v>
      </c>
      <c r="T49" s="79">
        <f t="shared" si="9"/>
        <v>170.75674095315688</v>
      </c>
      <c r="U49" s="76">
        <f t="shared" si="11"/>
        <v>197.56169130635055</v>
      </c>
      <c r="V49" s="79">
        <f t="shared" si="6"/>
        <v>3.98004706603921</v>
      </c>
      <c r="W49" s="79">
        <f t="shared" si="12"/>
        <v>2.70792791585035</v>
      </c>
      <c r="X49" s="79">
        <f t="shared" si="8"/>
        <v>5.4800470660392104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2</v>
      </c>
      <c r="B50" s="75" t="s">
        <v>132</v>
      </c>
      <c r="C50" s="92">
        <v>1.5</v>
      </c>
      <c r="D50" s="75">
        <v>11.9</v>
      </c>
      <c r="E50" s="76">
        <v>0</v>
      </c>
      <c r="F50" s="76">
        <v>0</v>
      </c>
      <c r="G50" s="76">
        <f t="shared" si="2"/>
        <v>0</v>
      </c>
      <c r="H50" s="76">
        <f t="shared" si="3"/>
        <v>7.6419899999999972</v>
      </c>
      <c r="I50" s="76">
        <v>0</v>
      </c>
      <c r="J50" s="76">
        <f t="shared" si="4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4">$M$11/ABS(($M$12/(D50-$M$13)))/1000</f>
        <v>169.35638334867548</v>
      </c>
      <c r="R50" s="78">
        <v>0</v>
      </c>
      <c r="S50" s="78">
        <v>-6.7</v>
      </c>
      <c r="T50" s="79">
        <f t="shared" si="9"/>
        <v>169.7535112477604</v>
      </c>
      <c r="U50" s="76">
        <f t="shared" si="11"/>
        <v>198.86588992336598</v>
      </c>
      <c r="V50" s="79">
        <f t="shared" si="6"/>
        <v>3.98004706603921</v>
      </c>
      <c r="W50" s="79">
        <f t="shared" si="12"/>
        <v>2.699033768009548</v>
      </c>
      <c r="X50" s="79">
        <f t="shared" si="8"/>
        <v>5.4800470660392104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3</v>
      </c>
      <c r="B51" s="75" t="s">
        <v>132</v>
      </c>
      <c r="C51" s="92">
        <v>2.25</v>
      </c>
      <c r="D51" s="75">
        <v>11.9</v>
      </c>
      <c r="E51" s="76">
        <v>0</v>
      </c>
      <c r="F51" s="76">
        <v>0</v>
      </c>
      <c r="G51" s="76">
        <f t="shared" si="2"/>
        <v>0</v>
      </c>
      <c r="H51" s="76">
        <f t="shared" si="3"/>
        <v>7.6419899999999972</v>
      </c>
      <c r="I51" s="76">
        <v>0</v>
      </c>
      <c r="J51" s="76">
        <f t="shared" si="4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169.35638334867548</v>
      </c>
      <c r="R51" s="78">
        <v>0</v>
      </c>
      <c r="S51" s="78">
        <v>-0.8</v>
      </c>
      <c r="T51" s="79">
        <f t="shared" si="9"/>
        <v>169.36205177354083</v>
      </c>
      <c r="U51" s="76">
        <f t="shared" si="11"/>
        <v>199.37478723985143</v>
      </c>
      <c r="V51" s="79">
        <f t="shared" si="6"/>
        <v>3.98004706603921</v>
      </c>
      <c r="W51" s="79">
        <f t="shared" si="12"/>
        <v>2.6955869715169265</v>
      </c>
      <c r="X51" s="79">
        <f t="shared" si="8"/>
        <v>5.4800470660392104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4</v>
      </c>
      <c r="B52" s="75" t="s">
        <v>132</v>
      </c>
      <c r="C52" s="92">
        <v>3</v>
      </c>
      <c r="D52" s="75">
        <v>11.9</v>
      </c>
      <c r="E52" s="76">
        <v>0</v>
      </c>
      <c r="F52" s="76">
        <v>0</v>
      </c>
      <c r="G52" s="76">
        <f t="shared" si="2"/>
        <v>0</v>
      </c>
      <c r="H52" s="76">
        <f t="shared" si="3"/>
        <v>7.6419899999999972</v>
      </c>
      <c r="I52" s="76">
        <v>0</v>
      </c>
      <c r="J52" s="76">
        <f t="shared" si="4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169.35638334867548</v>
      </c>
      <c r="R52" s="78">
        <v>0</v>
      </c>
      <c r="S52" s="78">
        <v>5.0999999999999996</v>
      </c>
      <c r="T52" s="79">
        <f t="shared" si="9"/>
        <v>169.58659906060834</v>
      </c>
      <c r="U52" s="76">
        <f t="shared" si="11"/>
        <v>199.08287576666368</v>
      </c>
      <c r="V52" s="79">
        <f t="shared" si="6"/>
        <v>3.98004706603921</v>
      </c>
      <c r="W52" s="79">
        <f t="shared" si="12"/>
        <v>2.6975624918323433</v>
      </c>
      <c r="X52" s="79">
        <f t="shared" si="8"/>
        <v>5.4800470660392104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5</v>
      </c>
      <c r="B53" s="75" t="s">
        <v>132</v>
      </c>
      <c r="C53" s="92">
        <v>3.75</v>
      </c>
      <c r="D53" s="75">
        <v>11.9</v>
      </c>
      <c r="E53" s="76">
        <v>0</v>
      </c>
      <c r="F53" s="76">
        <v>0</v>
      </c>
      <c r="G53" s="76">
        <f t="shared" si="2"/>
        <v>0</v>
      </c>
      <c r="H53" s="76">
        <f t="shared" si="3"/>
        <v>7.6419899999999972</v>
      </c>
      <c r="I53" s="76">
        <v>0</v>
      </c>
      <c r="J53" s="76">
        <f t="shared" si="4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169.35638334867548</v>
      </c>
      <c r="R53" s="78">
        <v>0</v>
      </c>
      <c r="S53" s="78">
        <v>10.9</v>
      </c>
      <c r="T53" s="79">
        <f t="shared" si="9"/>
        <v>170.40544175859972</v>
      </c>
      <c r="U53" s="76">
        <f t="shared" si="11"/>
        <v>198.01838025927486</v>
      </c>
      <c r="V53" s="79">
        <f t="shared" si="6"/>
        <v>3.98004706603921</v>
      </c>
      <c r="W53" s="79">
        <f t="shared" si="12"/>
        <v>2.7048034719876299</v>
      </c>
      <c r="X53" s="79">
        <f t="shared" si="8"/>
        <v>5.4800470660392104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6</v>
      </c>
      <c r="B54" s="75" t="s">
        <v>132</v>
      </c>
      <c r="C54" s="92">
        <v>4.5</v>
      </c>
      <c r="D54" s="75">
        <v>11.9</v>
      </c>
      <c r="E54" s="76">
        <v>0</v>
      </c>
      <c r="F54" s="76">
        <v>0</v>
      </c>
      <c r="G54" s="76">
        <f t="shared" si="2"/>
        <v>0</v>
      </c>
      <c r="H54" s="76">
        <f t="shared" si="3"/>
        <v>7.6419899999999972</v>
      </c>
      <c r="I54" s="76">
        <v>0</v>
      </c>
      <c r="J54" s="76">
        <f t="shared" si="4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169.35638334867548</v>
      </c>
      <c r="R54" s="78">
        <v>0</v>
      </c>
      <c r="S54" s="78">
        <v>16.8</v>
      </c>
      <c r="T54" s="79">
        <f t="shared" si="9"/>
        <v>171.83801843871316</v>
      </c>
      <c r="U54" s="76">
        <f t="shared" si="11"/>
        <v>196.1560305751274</v>
      </c>
      <c r="V54" s="79">
        <f t="shared" si="6"/>
        <v>3.98004706603921</v>
      </c>
      <c r="W54" s="79">
        <f t="shared" si="12"/>
        <v>2.717613147041066</v>
      </c>
      <c r="X54" s="79">
        <f t="shared" si="8"/>
        <v>5.4800470660392104</v>
      </c>
      <c r="Y54" s="181" ph="1">
        <v>20</v>
      </c>
      <c r="Z54" s="79" t="str">
        <f t="shared" si="5"/>
        <v>OK</v>
      </c>
    </row>
    <row r="55" spans="1:26" ht="15" customHeight="1" x14ac:dyDescent="0.3">
      <c r="A55" s="75">
        <v>7</v>
      </c>
      <c r="B55" s="75" t="s">
        <v>132</v>
      </c>
      <c r="C55" s="92">
        <v>5.25</v>
      </c>
      <c r="D55" s="75">
        <v>11.9</v>
      </c>
      <c r="E55" s="76">
        <v>0</v>
      </c>
      <c r="F55" s="76">
        <v>0</v>
      </c>
      <c r="G55" s="76">
        <f t="shared" si="2"/>
        <v>0</v>
      </c>
      <c r="H55" s="76">
        <f t="shared" si="3"/>
        <v>7.6419899999999972</v>
      </c>
      <c r="I55" s="76">
        <v>0</v>
      </c>
      <c r="J55" s="76">
        <f t="shared" si="4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4"/>
        <v>169.35638334867548</v>
      </c>
      <c r="R55" s="78">
        <v>0</v>
      </c>
      <c r="S55" s="78">
        <v>22.7</v>
      </c>
      <c r="T55" s="79">
        <f t="shared" si="9"/>
        <v>173.8604457055817</v>
      </c>
      <c r="U55" s="76">
        <f t="shared" si="11"/>
        <v>193.5268751281983</v>
      </c>
      <c r="V55" s="79">
        <f t="shared" si="6"/>
        <v>3.98004706603921</v>
      </c>
      <c r="W55" s="79">
        <f t="shared" si="12"/>
        <v>2.7360109114372362</v>
      </c>
      <c r="X55" s="79">
        <f t="shared" si="8"/>
        <v>5.4800470660392104</v>
      </c>
      <c r="Y55" s="181" ph="1">
        <v>20</v>
      </c>
      <c r="Z55" s="79" t="str">
        <f t="shared" si="5"/>
        <v>OK</v>
      </c>
    </row>
    <row r="56" spans="1:26" ht="15" customHeight="1" x14ac:dyDescent="0.3">
      <c r="A56" s="75">
        <v>8</v>
      </c>
      <c r="B56" s="75" t="s">
        <v>132</v>
      </c>
      <c r="C56" s="92">
        <v>6</v>
      </c>
      <c r="D56" s="75">
        <v>11.9</v>
      </c>
      <c r="E56" s="76">
        <v>0</v>
      </c>
      <c r="F56" s="76">
        <v>0</v>
      </c>
      <c r="G56" s="76">
        <f t="shared" si="2"/>
        <v>0</v>
      </c>
      <c r="H56" s="76">
        <f t="shared" si="3"/>
        <v>7.6419899999999972</v>
      </c>
      <c r="I56" s="76">
        <v>0</v>
      </c>
      <c r="J56" s="76">
        <f t="shared" si="4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4"/>
        <v>169.35638334867548</v>
      </c>
      <c r="R56" s="78">
        <v>0</v>
      </c>
      <c r="S56" s="78">
        <v>28.6</v>
      </c>
      <c r="T56" s="79">
        <f t="shared" si="9"/>
        <v>176.45244283076255</v>
      </c>
      <c r="U56" s="76">
        <f t="shared" si="11"/>
        <v>190.15727886546318</v>
      </c>
      <c r="V56" s="79">
        <f t="shared" si="6"/>
        <v>3.98004706603921</v>
      </c>
      <c r="W56" s="79">
        <f t="shared" si="12"/>
        <v>2.7601455874658174</v>
      </c>
      <c r="X56" s="79">
        <f t="shared" si="8"/>
        <v>5.4800470660392104</v>
      </c>
      <c r="Y56" s="181" ph="1">
        <v>20</v>
      </c>
      <c r="Z56" s="79" t="str">
        <f t="shared" si="5"/>
        <v>OK</v>
      </c>
    </row>
    <row r="57" spans="1:26" ht="15" customHeight="1" x14ac:dyDescent="0.3">
      <c r="A57" s="80">
        <v>1</v>
      </c>
      <c r="B57" s="80" t="s">
        <v>133</v>
      </c>
      <c r="C57" s="80">
        <v>0</v>
      </c>
      <c r="D57" s="80">
        <v>0</v>
      </c>
      <c r="E57" s="81">
        <v>0</v>
      </c>
      <c r="F57" s="81">
        <v>0</v>
      </c>
      <c r="G57" s="81">
        <f t="shared" si="2"/>
        <v>0</v>
      </c>
      <c r="H57" s="81">
        <f t="shared" si="3"/>
        <v>127.29946499999998</v>
      </c>
      <c r="I57" s="81">
        <v>0</v>
      </c>
      <c r="J57" s="81">
        <f t="shared" si="4"/>
        <v>171.85427774999999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-40.99537308</v>
      </c>
      <c r="T57" s="84">
        <f t="shared" si="9"/>
        <v>71.006069049801411</v>
      </c>
      <c r="U57" s="81">
        <f t="shared" si="11"/>
        <v>322.72727272727269</v>
      </c>
      <c r="V57" s="84">
        <f t="shared" si="6"/>
        <v>3.98004706603921</v>
      </c>
      <c r="W57" s="84">
        <f>15.8*N57*L57*SQRT(J57)/SQRT(U57*P57)</f>
        <v>8.0708163754055988</v>
      </c>
      <c r="X57" s="84">
        <f t="shared" si="8"/>
        <v>9.5708163754055988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2</v>
      </c>
      <c r="B58" s="80" t="s">
        <v>133</v>
      </c>
      <c r="C58" s="80">
        <v>0</v>
      </c>
      <c r="D58" s="80">
        <v>0.7</v>
      </c>
      <c r="E58" s="81">
        <v>0</v>
      </c>
      <c r="F58" s="81">
        <v>0</v>
      </c>
      <c r="G58" s="81">
        <f t="shared" si="2"/>
        <v>0</v>
      </c>
      <c r="H58" s="81">
        <f t="shared" si="3"/>
        <v>120.26079</v>
      </c>
      <c r="I58" s="81">
        <v>0</v>
      </c>
      <c r="J58" s="81">
        <f t="shared" si="4"/>
        <v>162.35206650000001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-44.9709996922522</v>
      </c>
      <c r="T58" s="84">
        <f t="shared" si="9"/>
        <v>77.892056334145153</v>
      </c>
      <c r="U58" s="81">
        <f t="shared" si="11"/>
        <v>318.28578131106582</v>
      </c>
      <c r="V58" s="84">
        <f t="shared" si="6"/>
        <v>3.98004706603921</v>
      </c>
      <c r="W58" s="84">
        <f>15.8*N58*L58*SQRT(J58)/SQRT(U58*P58)</f>
        <v>7.8990601052603688</v>
      </c>
      <c r="X58" s="84">
        <f t="shared" si="8"/>
        <v>9.3990601052603679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3</v>
      </c>
      <c r="B59" s="80" t="s">
        <v>133</v>
      </c>
      <c r="C59" s="80">
        <v>0</v>
      </c>
      <c r="D59" s="80">
        <v>1.4</v>
      </c>
      <c r="E59" s="81">
        <v>0</v>
      </c>
      <c r="F59" s="81">
        <v>0</v>
      </c>
      <c r="G59" s="81">
        <f t="shared" si="2"/>
        <v>0</v>
      </c>
      <c r="H59" s="81">
        <f t="shared" si="3"/>
        <v>113.22211499999999</v>
      </c>
      <c r="I59" s="81">
        <v>0</v>
      </c>
      <c r="J59" s="81">
        <f t="shared" si="4"/>
        <v>152.84985524999999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-50.325999431170104</v>
      </c>
      <c r="T59" s="84">
        <f t="shared" si="9"/>
        <v>87.167187956469036</v>
      </c>
      <c r="U59" s="81">
        <f t="shared" si="11"/>
        <v>306.22811020204477</v>
      </c>
      <c r="V59" s="84">
        <f t="shared" si="6"/>
        <v>3.98004706603921</v>
      </c>
      <c r="W59" s="84">
        <f t="shared" ref="W59:W74" si="15">15.8*N59*L59*SQRT(J59)/SQRT(U59*P59)</f>
        <v>7.8138508237212809</v>
      </c>
      <c r="X59" s="84">
        <f t="shared" si="8"/>
        <v>9.3138508237212818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4</v>
      </c>
      <c r="B60" s="80" t="s">
        <v>133</v>
      </c>
      <c r="C60" s="80">
        <v>0</v>
      </c>
      <c r="D60" s="80">
        <v>2.0999999999999996</v>
      </c>
      <c r="E60" s="81">
        <v>0</v>
      </c>
      <c r="F60" s="81">
        <v>0</v>
      </c>
      <c r="G60" s="81">
        <f t="shared" si="2"/>
        <v>0</v>
      </c>
      <c r="H60" s="81">
        <f t="shared" si="3"/>
        <v>106.18343999999999</v>
      </c>
      <c r="I60" s="81">
        <v>0</v>
      </c>
      <c r="J60" s="81">
        <f t="shared" si="4"/>
        <v>143.347644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-54.572244909442198</v>
      </c>
      <c r="T60" s="84">
        <f t="shared" si="9"/>
        <v>94.521900866245915</v>
      </c>
      <c r="U60" s="81">
        <f t="shared" si="11"/>
        <v>296.66698341933483</v>
      </c>
      <c r="V60" s="84">
        <f t="shared" si="6"/>
        <v>3.98004706603921</v>
      </c>
      <c r="W60" s="84">
        <f t="shared" si="15"/>
        <v>7.6880429144795084</v>
      </c>
      <c r="X60" s="84">
        <f t="shared" si="8"/>
        <v>9.1880429144795084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5</v>
      </c>
      <c r="B61" s="80" t="s">
        <v>133</v>
      </c>
      <c r="C61" s="80">
        <v>0</v>
      </c>
      <c r="D61" s="80">
        <v>2.8</v>
      </c>
      <c r="E61" s="81">
        <v>0</v>
      </c>
      <c r="F61" s="81">
        <v>0</v>
      </c>
      <c r="G61" s="81">
        <f t="shared" si="2"/>
        <v>0</v>
      </c>
      <c r="H61" s="81">
        <f t="shared" si="3"/>
        <v>99.144764999999992</v>
      </c>
      <c r="I61" s="81">
        <v>0</v>
      </c>
      <c r="J61" s="81">
        <f t="shared" si="4"/>
        <v>133.84543274999999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-56.247812153950598</v>
      </c>
      <c r="T61" s="84">
        <f t="shared" si="9"/>
        <v>97.424068465232637</v>
      </c>
      <c r="U61" s="81">
        <f t="shared" si="11"/>
        <v>292.89416554065207</v>
      </c>
      <c r="V61" s="84">
        <f t="shared" si="6"/>
        <v>3.98004706603921</v>
      </c>
      <c r="W61" s="84">
        <f t="shared" si="15"/>
        <v>7.4765552116559864</v>
      </c>
      <c r="X61" s="84">
        <f t="shared" si="8"/>
        <v>8.9765552116559864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6</v>
      </c>
      <c r="B62" s="80" t="s">
        <v>133</v>
      </c>
      <c r="C62" s="80">
        <v>0</v>
      </c>
      <c r="D62" s="80">
        <v>3.5</v>
      </c>
      <c r="E62" s="81">
        <v>0</v>
      </c>
      <c r="F62" s="81">
        <v>0</v>
      </c>
      <c r="G62" s="81">
        <f t="shared" si="2"/>
        <v>0</v>
      </c>
      <c r="H62" s="81">
        <f t="shared" si="3"/>
        <v>92.106089999999995</v>
      </c>
      <c r="I62" s="81">
        <v>0</v>
      </c>
      <c r="J62" s="81">
        <f t="shared" si="4"/>
        <v>124.3432215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-58.062572283693299</v>
      </c>
      <c r="T62" s="84">
        <f t="shared" si="9"/>
        <v>100.56732521349728</v>
      </c>
      <c r="U62" s="81">
        <f t="shared" si="11"/>
        <v>288.80793176790803</v>
      </c>
      <c r="V62" s="84">
        <f t="shared" si="6"/>
        <v>3.98004706603921</v>
      </c>
      <c r="W62" s="84">
        <f t="shared" si="15"/>
        <v>7.2570752470930247</v>
      </c>
      <c r="X62" s="84">
        <f t="shared" si="8"/>
        <v>8.7570752470930238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7</v>
      </c>
      <c r="B63" s="80" t="s">
        <v>133</v>
      </c>
      <c r="C63" s="80">
        <v>0</v>
      </c>
      <c r="D63" s="80">
        <v>4.2</v>
      </c>
      <c r="E63" s="81">
        <v>0</v>
      </c>
      <c r="F63" s="81">
        <v>0</v>
      </c>
      <c r="G63" s="81">
        <f t="shared" si="2"/>
        <v>0</v>
      </c>
      <c r="H63" s="81">
        <f t="shared" si="3"/>
        <v>85.067414999999997</v>
      </c>
      <c r="I63" s="81">
        <v>0</v>
      </c>
      <c r="J63" s="81">
        <f t="shared" si="4"/>
        <v>114.84101025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-59.831287085059103</v>
      </c>
      <c r="T63" s="84">
        <f t="shared" si="9"/>
        <v>103.63082911356196</v>
      </c>
      <c r="U63" s="81">
        <f t="shared" si="11"/>
        <v>284.82537669782397</v>
      </c>
      <c r="V63" s="84">
        <f t="shared" si="6"/>
        <v>3.98004706603921</v>
      </c>
      <c r="W63" s="84">
        <f t="shared" si="15"/>
        <v>7.0228644957829252</v>
      </c>
      <c r="X63" s="84">
        <f t="shared" si="8"/>
        <v>8.522864495782926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8</v>
      </c>
      <c r="B64" s="80" t="s">
        <v>133</v>
      </c>
      <c r="C64" s="80">
        <v>0</v>
      </c>
      <c r="D64" s="80">
        <v>4.9000000000000004</v>
      </c>
      <c r="E64" s="81">
        <v>0</v>
      </c>
      <c r="F64" s="81">
        <v>0</v>
      </c>
      <c r="G64" s="81">
        <f t="shared" si="2"/>
        <v>0</v>
      </c>
      <c r="H64" s="81">
        <f t="shared" si="3"/>
        <v>78.028739999999985</v>
      </c>
      <c r="I64" s="81">
        <v>0</v>
      </c>
      <c r="J64" s="81">
        <f t="shared" si="4"/>
        <v>105.33879899999998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-61.368718344436601</v>
      </c>
      <c r="T64" s="84">
        <f t="shared" si="9"/>
        <v>106.29373816794839</v>
      </c>
      <c r="U64" s="81">
        <f t="shared" si="11"/>
        <v>281.3635949271216</v>
      </c>
      <c r="V64" s="84">
        <f t="shared" si="6"/>
        <v>3.98004706603921</v>
      </c>
      <c r="W64" s="84">
        <f t="shared" si="15"/>
        <v>6.7672988557636398</v>
      </c>
      <c r="X64" s="84">
        <f t="shared" si="8"/>
        <v>8.2672988557636398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9</v>
      </c>
      <c r="B65" s="80" t="s">
        <v>133</v>
      </c>
      <c r="C65" s="80">
        <v>0</v>
      </c>
      <c r="D65" s="80">
        <v>5.6000000000000005</v>
      </c>
      <c r="E65" s="81">
        <v>0</v>
      </c>
      <c r="F65" s="81">
        <v>0</v>
      </c>
      <c r="G65" s="81">
        <f t="shared" si="2"/>
        <v>0</v>
      </c>
      <c r="H65" s="81">
        <f t="shared" si="3"/>
        <v>70.990064999999987</v>
      </c>
      <c r="I65" s="81">
        <v>0</v>
      </c>
      <c r="J65" s="81">
        <f t="shared" si="4"/>
        <v>95.836587749999993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-62.489627848214496</v>
      </c>
      <c r="T65" s="84">
        <f t="shared" si="9"/>
        <v>108.23521037917853</v>
      </c>
      <c r="U65" s="81">
        <f t="shared" si="11"/>
        <v>278.83968105252245</v>
      </c>
      <c r="V65" s="84">
        <f t="shared" si="6"/>
        <v>3.98004706603921</v>
      </c>
      <c r="W65" s="84">
        <f t="shared" si="15"/>
        <v>6.4840075142600613</v>
      </c>
      <c r="X65" s="84">
        <f t="shared" si="8"/>
        <v>7.9840075142600613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10</v>
      </c>
      <c r="B66" s="80" t="s">
        <v>133</v>
      </c>
      <c r="C66" s="80">
        <v>0</v>
      </c>
      <c r="D66" s="80">
        <v>6.3000000000000007</v>
      </c>
      <c r="E66" s="81">
        <v>0</v>
      </c>
      <c r="F66" s="81">
        <v>0</v>
      </c>
      <c r="G66" s="81">
        <f t="shared" si="2"/>
        <v>0</v>
      </c>
      <c r="H66" s="81">
        <f t="shared" si="3"/>
        <v>63.951389999999989</v>
      </c>
      <c r="I66" s="81">
        <v>0</v>
      </c>
      <c r="J66" s="81">
        <f t="shared" si="4"/>
        <v>86.334376499999991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-63.013316577077603</v>
      </c>
      <c r="T66" s="84">
        <f t="shared" si="9"/>
        <v>109.14226586492059</v>
      </c>
      <c r="U66" s="81">
        <f t="shared" si="11"/>
        <v>277.66050892105773</v>
      </c>
      <c r="V66" s="84">
        <f t="shared" si="6"/>
        <v>3.98004706603921</v>
      </c>
      <c r="W66" s="84">
        <f t="shared" si="15"/>
        <v>6.16722719536022</v>
      </c>
      <c r="X66" s="84">
        <f t="shared" si="8"/>
        <v>7.66722719536022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11</v>
      </c>
      <c r="B67" s="80" t="s">
        <v>133</v>
      </c>
      <c r="C67" s="80">
        <v>0</v>
      </c>
      <c r="D67" s="80">
        <v>7.0000000000000009</v>
      </c>
      <c r="E67" s="81">
        <v>0</v>
      </c>
      <c r="F67" s="81">
        <v>0</v>
      </c>
      <c r="G67" s="81">
        <f t="shared" si="2"/>
        <v>0</v>
      </c>
      <c r="H67" s="81">
        <f t="shared" si="3"/>
        <v>56.912714999999984</v>
      </c>
      <c r="I67" s="81">
        <v>0</v>
      </c>
      <c r="J67" s="81">
        <f t="shared" si="4"/>
        <v>76.832165249999989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-62.863486980527497</v>
      </c>
      <c r="T67" s="84">
        <f t="shared" si="9"/>
        <v>108.88275339121826</v>
      </c>
      <c r="U67" s="81">
        <f t="shared" si="11"/>
        <v>277.99787513687073</v>
      </c>
      <c r="V67" s="84">
        <f t="shared" si="6"/>
        <v>3.98004706603921</v>
      </c>
      <c r="W67" s="84">
        <f t="shared" si="15"/>
        <v>5.8144136473231933</v>
      </c>
      <c r="X67" s="84">
        <f t="shared" si="8"/>
        <v>7.3144136473231933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12</v>
      </c>
      <c r="B68" s="80" t="s">
        <v>133</v>
      </c>
      <c r="C68" s="80">
        <v>0</v>
      </c>
      <c r="D68" s="80">
        <v>7.7000000000000011</v>
      </c>
      <c r="E68" s="81">
        <v>0</v>
      </c>
      <c r="F68" s="81">
        <v>0</v>
      </c>
      <c r="G68" s="81">
        <f t="shared" si="2"/>
        <v>0</v>
      </c>
      <c r="H68" s="81">
        <f t="shared" si="3"/>
        <v>49.874039999999987</v>
      </c>
      <c r="I68" s="81">
        <v>0</v>
      </c>
      <c r="J68" s="81">
        <f t="shared" si="4"/>
        <v>67.329953999999987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-62.068242976881997</v>
      </c>
      <c r="T68" s="84">
        <f t="shared" si="9"/>
        <v>107.50535037248976</v>
      </c>
      <c r="U68" s="81">
        <f t="shared" si="11"/>
        <v>279.78849906121781</v>
      </c>
      <c r="V68" s="84">
        <f t="shared" si="6"/>
        <v>3.98004706603921</v>
      </c>
      <c r="W68" s="84">
        <f t="shared" si="15"/>
        <v>5.4255573265206003</v>
      </c>
      <c r="X68" s="84">
        <f t="shared" si="8"/>
        <v>6.9255573265206003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13</v>
      </c>
      <c r="B69" s="80" t="s">
        <v>133</v>
      </c>
      <c r="C69" s="80">
        <v>0</v>
      </c>
      <c r="D69" s="80">
        <v>8.4</v>
      </c>
      <c r="E69" s="81">
        <v>0</v>
      </c>
      <c r="F69" s="81">
        <v>0</v>
      </c>
      <c r="G69" s="81">
        <f t="shared" si="2"/>
        <v>0</v>
      </c>
      <c r="H69" s="81">
        <f t="shared" si="3"/>
        <v>42.835364999999996</v>
      </c>
      <c r="I69" s="81">
        <v>0</v>
      </c>
      <c r="J69" s="81">
        <f t="shared" si="4"/>
        <v>57.827742749999999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-60.660227678755199</v>
      </c>
      <c r="T69" s="84">
        <f t="shared" si="9"/>
        <v>105.0665963382999</v>
      </c>
      <c r="U69" s="81">
        <f t="shared" si="11"/>
        <v>282.9588793056646</v>
      </c>
      <c r="V69" s="84">
        <f t="shared" si="6"/>
        <v>3.98004706603921</v>
      </c>
      <c r="W69" s="84">
        <f t="shared" si="15"/>
        <v>4.9999030557911146</v>
      </c>
      <c r="X69" s="84">
        <f t="shared" si="8"/>
        <v>6.4999030557911146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14</v>
      </c>
      <c r="B70" s="80" t="s">
        <v>133</v>
      </c>
      <c r="C70" s="80">
        <v>0</v>
      </c>
      <c r="D70" s="80">
        <v>9.1</v>
      </c>
      <c r="E70" s="81">
        <v>0</v>
      </c>
      <c r="F70" s="81">
        <v>0</v>
      </c>
      <c r="G70" s="81">
        <f t="shared" si="2"/>
        <v>0</v>
      </c>
      <c r="H70" s="81">
        <f t="shared" si="3"/>
        <v>35.796690000000005</v>
      </c>
      <c r="I70" s="81">
        <v>0</v>
      </c>
      <c r="J70" s="81">
        <f t="shared" si="4"/>
        <v>48.325531500000011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-58.672084198761397</v>
      </c>
      <c r="T70" s="84">
        <f t="shared" si="9"/>
        <v>101.62303081821383</v>
      </c>
      <c r="U70" s="81">
        <f t="shared" si="11"/>
        <v>287.43551448177652</v>
      </c>
      <c r="V70" s="84">
        <f t="shared" si="6"/>
        <v>3.98004706603921</v>
      </c>
      <c r="W70" s="84">
        <f t="shared" si="15"/>
        <v>4.5349576226905501</v>
      </c>
      <c r="X70" s="84">
        <f t="shared" si="8"/>
        <v>6.0349576226905501</v>
      </c>
      <c r="Y70" s="140" ph="1">
        <v>16</v>
      </c>
      <c r="Z70" s="84" t="str">
        <f t="shared" si="5"/>
        <v>OK</v>
      </c>
    </row>
    <row r="71" spans="1:26" ht="15" customHeight="1" x14ac:dyDescent="0.3">
      <c r="A71" s="80">
        <v>15</v>
      </c>
      <c r="B71" s="80" t="s">
        <v>133</v>
      </c>
      <c r="C71" s="80">
        <v>0</v>
      </c>
      <c r="D71" s="80">
        <v>9.7999999999999989</v>
      </c>
      <c r="E71" s="81">
        <v>0</v>
      </c>
      <c r="F71" s="81">
        <v>0</v>
      </c>
      <c r="G71" s="81">
        <f t="shared" si="2"/>
        <v>0</v>
      </c>
      <c r="H71" s="81">
        <f t="shared" si="3"/>
        <v>28.758015000000011</v>
      </c>
      <c r="I71" s="81">
        <v>0</v>
      </c>
      <c r="J71" s="81">
        <f t="shared" si="4"/>
        <v>38.823320250000016</v>
      </c>
      <c r="K71" s="81">
        <v>355</v>
      </c>
      <c r="L71" s="82">
        <v>0.7</v>
      </c>
      <c r="M71" s="82">
        <v>4</v>
      </c>
      <c r="N71" s="83">
        <v>1</v>
      </c>
      <c r="O71" s="83">
        <v>1.5</v>
      </c>
      <c r="P71" s="83">
        <v>1</v>
      </c>
      <c r="Q71" s="83">
        <v>0</v>
      </c>
      <c r="R71" s="83">
        <v>0</v>
      </c>
      <c r="S71" s="83">
        <v>-56.136455649514801</v>
      </c>
      <c r="T71" s="84">
        <f t="shared" si="9"/>
        <v>97.231193341796569</v>
      </c>
      <c r="U71" s="81">
        <f t="shared" si="11"/>
        <v>293.14490320111895</v>
      </c>
      <c r="V71" s="84">
        <f t="shared" si="6"/>
        <v>3.98004706603921</v>
      </c>
      <c r="W71" s="84">
        <f t="shared" si="15"/>
        <v>4.0249481522062105</v>
      </c>
      <c r="X71" s="84">
        <f t="shared" si="8"/>
        <v>5.5249481522062105</v>
      </c>
      <c r="Y71" s="140" ph="1">
        <v>16</v>
      </c>
      <c r="Z71" s="84" t="str">
        <f t="shared" si="5"/>
        <v>OK</v>
      </c>
    </row>
    <row r="72" spans="1:26" ht="15" customHeight="1" x14ac:dyDescent="0.3">
      <c r="A72" s="80">
        <v>16</v>
      </c>
      <c r="B72" s="80" t="s">
        <v>133</v>
      </c>
      <c r="C72" s="80">
        <v>0</v>
      </c>
      <c r="D72" s="80">
        <v>10.499999999999998</v>
      </c>
      <c r="E72" s="81">
        <v>0</v>
      </c>
      <c r="F72" s="81">
        <v>0</v>
      </c>
      <c r="G72" s="81">
        <f t="shared" si="2"/>
        <v>0</v>
      </c>
      <c r="H72" s="81">
        <f t="shared" si="3"/>
        <v>21.719340000000017</v>
      </c>
      <c r="I72" s="81">
        <v>0</v>
      </c>
      <c r="J72" s="81">
        <f t="shared" si="4"/>
        <v>29.321109000000025</v>
      </c>
      <c r="K72" s="81">
        <v>355</v>
      </c>
      <c r="L72" s="82">
        <v>0.7</v>
      </c>
      <c r="M72" s="82">
        <v>4</v>
      </c>
      <c r="N72" s="83">
        <v>1</v>
      </c>
      <c r="O72" s="83">
        <v>1.5</v>
      </c>
      <c r="P72" s="83">
        <v>1</v>
      </c>
      <c r="Q72" s="83">
        <v>0</v>
      </c>
      <c r="R72" s="83">
        <v>0</v>
      </c>
      <c r="S72" s="83">
        <v>-53.263999522432997</v>
      </c>
      <c r="T72" s="84">
        <f t="shared" si="9"/>
        <v>92.255953387178366</v>
      </c>
      <c r="U72" s="81">
        <f t="shared" si="11"/>
        <v>299.61271514212262</v>
      </c>
      <c r="V72" s="84">
        <f t="shared" si="6"/>
        <v>3.98004706603921</v>
      </c>
      <c r="W72" s="84">
        <f t="shared" si="15"/>
        <v>3.4599131952705777</v>
      </c>
      <c r="X72" s="84">
        <f t="shared" si="8"/>
        <v>5.4800470660392104</v>
      </c>
      <c r="Y72" s="140" ph="1">
        <v>16</v>
      </c>
      <c r="Z72" s="84" t="str">
        <f t="shared" si="5"/>
        <v>OK</v>
      </c>
    </row>
    <row r="73" spans="1:26" ht="15" customHeight="1" x14ac:dyDescent="0.3">
      <c r="A73" s="80">
        <v>17</v>
      </c>
      <c r="B73" s="80" t="s">
        <v>133</v>
      </c>
      <c r="C73" s="80">
        <v>0</v>
      </c>
      <c r="D73" s="80">
        <v>11.199999999999998</v>
      </c>
      <c r="E73" s="81">
        <v>0</v>
      </c>
      <c r="F73" s="81">
        <v>0</v>
      </c>
      <c r="G73" s="81">
        <f t="shared" si="2"/>
        <v>0</v>
      </c>
      <c r="H73" s="81">
        <f t="shared" si="3"/>
        <v>14.680665000000026</v>
      </c>
      <c r="I73" s="81">
        <v>0</v>
      </c>
      <c r="J73" s="81">
        <f t="shared" si="4"/>
        <v>19.818897750000037</v>
      </c>
      <c r="K73" s="81">
        <v>355</v>
      </c>
      <c r="L73" s="82">
        <v>0.7</v>
      </c>
      <c r="M73" s="82">
        <v>4</v>
      </c>
      <c r="N73" s="83">
        <v>1</v>
      </c>
      <c r="O73" s="83">
        <v>1.5</v>
      </c>
      <c r="P73" s="83">
        <v>1</v>
      </c>
      <c r="Q73" s="83">
        <v>0</v>
      </c>
      <c r="R73" s="83">
        <v>0</v>
      </c>
      <c r="S73" s="83">
        <v>-48.4539997917351</v>
      </c>
      <c r="T73" s="84">
        <f t="shared" si="9"/>
        <v>83.924789469216989</v>
      </c>
      <c r="U73" s="81">
        <f t="shared" si="11"/>
        <v>310.44322823547242</v>
      </c>
      <c r="V73" s="84">
        <f t="shared" si="6"/>
        <v>3.98004706603921</v>
      </c>
      <c r="W73" s="84">
        <f t="shared" si="15"/>
        <v>2.7944978513606689</v>
      </c>
      <c r="X73" s="84">
        <f t="shared" si="8"/>
        <v>5.4800470660392104</v>
      </c>
      <c r="Y73" s="140" ph="1">
        <v>16</v>
      </c>
      <c r="Z73" s="84" t="str">
        <f t="shared" si="5"/>
        <v>OK</v>
      </c>
    </row>
    <row r="74" spans="1:26" ht="15" customHeight="1" x14ac:dyDescent="0.3">
      <c r="A74" s="80">
        <v>18</v>
      </c>
      <c r="B74" s="80" t="s">
        <v>133</v>
      </c>
      <c r="C74" s="80">
        <v>0</v>
      </c>
      <c r="D74" s="80">
        <v>11.899999999999997</v>
      </c>
      <c r="E74" s="81">
        <v>0</v>
      </c>
      <c r="F74" s="81">
        <v>0</v>
      </c>
      <c r="G74" s="81">
        <f t="shared" si="2"/>
        <v>0</v>
      </c>
      <c r="H74" s="81">
        <f t="shared" si="3"/>
        <v>7.6419900000000327</v>
      </c>
      <c r="I74" s="81">
        <v>0</v>
      </c>
      <c r="J74" s="81">
        <f t="shared" si="4"/>
        <v>10.316686500000046</v>
      </c>
      <c r="K74" s="81">
        <v>355</v>
      </c>
      <c r="L74" s="82">
        <v>0.7</v>
      </c>
      <c r="M74" s="82">
        <v>4</v>
      </c>
      <c r="N74" s="83">
        <v>1</v>
      </c>
      <c r="O74" s="83">
        <v>1.5</v>
      </c>
      <c r="P74" s="83">
        <v>1</v>
      </c>
      <c r="Q74" s="83">
        <v>0</v>
      </c>
      <c r="R74" s="83">
        <v>0</v>
      </c>
      <c r="S74" s="83">
        <v>-42.918999999999997</v>
      </c>
      <c r="T74" s="84">
        <f t="shared" si="9"/>
        <v>74.337888610048637</v>
      </c>
      <c r="U74" s="81">
        <f t="shared" si="11"/>
        <v>322.72727272727269</v>
      </c>
      <c r="V74" s="84">
        <f t="shared" si="6"/>
        <v>3.98004706603921</v>
      </c>
      <c r="W74" s="84">
        <f t="shared" si="15"/>
        <v>1.977458645087812</v>
      </c>
      <c r="X74" s="84">
        <f t="shared" si="8"/>
        <v>5.4800470660392104</v>
      </c>
      <c r="Y74" s="140" ph="1">
        <v>16</v>
      </c>
      <c r="Z74" s="84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134</v>
      </c>
    </row>
    <row r="77" spans="1:26" ht="15" customHeight="1" x14ac:dyDescent="0.45">
      <c r="A77" s="4" t="s">
        <v>135</v>
      </c>
    </row>
    <row r="78" spans="1:26" ht="15" customHeight="1" x14ac:dyDescent="0.45">
      <c r="A78" s="4" t="s">
        <v>263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9">
    <mergeCell ref="F4:N5"/>
    <mergeCell ref="N21:N22"/>
    <mergeCell ref="A21:B22"/>
    <mergeCell ref="F1:N3"/>
    <mergeCell ref="M11:N11"/>
    <mergeCell ref="M12:N12"/>
    <mergeCell ref="M13:N13"/>
    <mergeCell ref="M14:N14"/>
    <mergeCell ref="M15:N15"/>
  </mergeCells>
  <phoneticPr fontId="5" type="noConversion"/>
  <conditionalFormatting sqref="Z49:Z74">
    <cfRule type="cellIs" dxfId="51" priority="4" operator="equal">
      <formula>"N.G"</formula>
    </cfRule>
  </conditionalFormatting>
  <conditionalFormatting sqref="Z23:Z30">
    <cfRule type="cellIs" dxfId="40" priority="3" operator="equal">
      <formula>"N.G"</formula>
    </cfRule>
  </conditionalFormatting>
  <conditionalFormatting sqref="Z31:Z43">
    <cfRule type="cellIs" dxfId="39" priority="2" operator="equal">
      <formula>"N.G"</formula>
    </cfRule>
  </conditionalFormatting>
  <conditionalFormatting sqref="Z44:Z48">
    <cfRule type="cellIs" dxfId="3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4"/>
  <sheetViews>
    <sheetView showGridLines="0" topLeftCell="A36" zoomScale="130" zoomScaleNormal="130" workbookViewId="0">
      <selection activeCell="S56" sqref="S56:S6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5" t="s">
        <v>77</v>
      </c>
      <c r="I11" s="4" t="s">
        <v>78</v>
      </c>
      <c r="M11" s="324">
        <f>'Global Strength'!E10</f>
        <v>731745</v>
      </c>
      <c r="N11" s="324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I12" s="4" t="s">
        <v>82</v>
      </c>
      <c r="M12" s="325">
        <f>'Global Strength'!E6</f>
        <v>24.526599999999998</v>
      </c>
      <c r="N12" s="325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5" t="s">
        <v>37</v>
      </c>
      <c r="I13" s="4" t="s">
        <v>86</v>
      </c>
      <c r="M13" s="325">
        <f>'Global Strength'!E5</f>
        <v>5.5289999999999999</v>
      </c>
      <c r="N13" s="325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5"/>
      <c r="M14" s="324"/>
      <c r="N14" s="324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5" t="s">
        <v>37</v>
      </c>
      <c r="I15" s="4" t="s">
        <v>91</v>
      </c>
      <c r="M15" s="324">
        <f>'Global Strength'!E27</f>
        <v>35311.5</v>
      </c>
      <c r="N15" s="324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164.95633740510303</v>
      </c>
      <c r="R23" s="292">
        <v>0</v>
      </c>
      <c r="S23" s="292">
        <v>-17.121608151257099</v>
      </c>
      <c r="T23" s="290">
        <f t="shared" ref="T23:T24" si="0">SQRT(Q23^2+R23^2-Q23*R23+3*S23^2)</f>
        <v>167.60084023405662</v>
      </c>
      <c r="U23" s="289">
        <f>MIN(K23/$F$7,1.3*(K23/$F$7-T23))</f>
        <v>201.6643622411809</v>
      </c>
      <c r="V23" s="290">
        <f>14.3*$F$8/SQRT(K23/$F$7)</f>
        <v>3.98004706603921</v>
      </c>
      <c r="W23" s="290">
        <f>15.8*N23*L23*SQRT(J23)/SQRT(U23*P23)</f>
        <v>10.939159261112881</v>
      </c>
      <c r="X23" s="290">
        <f>MAX(V23,W23)+O23</f>
        <v>12.439159261112881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0" si="1">E24*$F$18+F24*$F$17</f>
        <v>0</v>
      </c>
      <c r="H24" s="186">
        <f t="shared" ref="H24:H70" si="2">1.025*9.81*(($F$10+0.76)-D24)</f>
        <v>127.29946499999998</v>
      </c>
      <c r="I24" s="185">
        <v>0</v>
      </c>
      <c r="J24" s="185">
        <f t="shared" ref="J24:J70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6" si="4">$M$11/ABS(($M$12/(D24-$M$13)))/1000</f>
        <v>164.95633740510303</v>
      </c>
      <c r="R24" s="188">
        <v>0</v>
      </c>
      <c r="S24" s="188">
        <v>-7.9474113407633702</v>
      </c>
      <c r="T24" s="186">
        <f t="shared" si="0"/>
        <v>165.52968703880302</v>
      </c>
      <c r="U24" s="185">
        <f>MIN(K24/$F$7,1.3*(K24/$F$7-T24))</f>
        <v>204.35686139501058</v>
      </c>
      <c r="V24" s="186">
        <f>14.3*$F$8/SQRT(K24/$F$7)</f>
        <v>3.98004706603921</v>
      </c>
      <c r="W24" s="186">
        <f>15.8*N24*L24*SQRT(J24)/SQRT(U24*P24)</f>
        <v>10.866855992589738</v>
      </c>
      <c r="X24" s="186">
        <f>MAX(V24,W24)+O24</f>
        <v>12.366855992589738</v>
      </c>
      <c r="Y24" s="189">
        <v>16</v>
      </c>
      <c r="Z24" s="190" t="str">
        <f t="shared" ref="Z24:Z70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164.95633740510303</v>
      </c>
      <c r="R25" s="188">
        <v>0</v>
      </c>
      <c r="S25" s="188">
        <v>1.2267851051009699</v>
      </c>
      <c r="T25" s="186">
        <f>SQRT(Q25^2+R25^2-Q25*R25+3*S25^2)</f>
        <v>164.97002229250162</v>
      </c>
      <c r="U25" s="185">
        <f>MIN(K25/$F$7,1.3*(K25/$F$7-T25))</f>
        <v>205.08442556520239</v>
      </c>
      <c r="V25" s="186">
        <f t="shared" ref="V25:V70" si="6">14.3*$F$8/SQRT(K25/$F$7)</f>
        <v>3.98004706603921</v>
      </c>
      <c r="W25" s="186">
        <f t="shared" ref="W25:W30" si="7">15.8*N25*L25*SQRT(J25)/SQRT(U25*P25)</f>
        <v>10.847563060667195</v>
      </c>
      <c r="X25" s="186">
        <f t="shared" ref="X25:X70" si="8">MAX(V25,W25)+O25</f>
        <v>12.347563060667195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164.95633740510303</v>
      </c>
      <c r="R26" s="228">
        <v>0</v>
      </c>
      <c r="S26" s="228">
        <v>10.4009788974736</v>
      </c>
      <c r="T26" s="226">
        <f t="shared" ref="T26:T70" si="9">SQRT(Q26^2+R26^2-Q26*R26+3*S26^2)</f>
        <v>165.93713971315543</v>
      </c>
      <c r="U26" s="225">
        <f>MIN(K26/$F$7,1.3*(K26/$F$7-T26))</f>
        <v>203.82717291835243</v>
      </c>
      <c r="V26" s="226">
        <f t="shared" si="6"/>
        <v>3.98004706603921</v>
      </c>
      <c r="W26" s="226">
        <f t="shared" si="7"/>
        <v>10.880966755117283</v>
      </c>
      <c r="X26" s="226">
        <f>MAX(V26,W26)+O26</f>
        <v>12.380966755117283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164.95633740510303</v>
      </c>
      <c r="R27" s="220">
        <v>0</v>
      </c>
      <c r="S27" s="220">
        <v>19.575178859712601</v>
      </c>
      <c r="T27" s="218">
        <f t="shared" si="9"/>
        <v>168.40473904339927</v>
      </c>
      <c r="U27" s="217">
        <f>MIN(K27/$F$7,1.3*(K27/$F$7-T27))</f>
        <v>200.61929378903545</v>
      </c>
      <c r="V27" s="218">
        <f t="shared" si="6"/>
        <v>3.98004706603921</v>
      </c>
      <c r="W27" s="218">
        <f t="shared" si="7"/>
        <v>10.967614452344112</v>
      </c>
      <c r="X27" s="218">
        <f t="shared" si="8"/>
        <v>12.467614452344112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164.95633740510303</v>
      </c>
      <c r="R28" s="188">
        <v>0</v>
      </c>
      <c r="S28" s="188">
        <v>28.749375926681399</v>
      </c>
      <c r="T28" s="186">
        <f t="shared" si="9"/>
        <v>172.30836630479419</v>
      </c>
      <c r="U28" s="185">
        <f t="shared" ref="U28:U30" si="10">MIN(K28/$F$7,1.3*(K28/$F$7-T28))</f>
        <v>195.54457834922206</v>
      </c>
      <c r="V28" s="186">
        <f t="shared" si="6"/>
        <v>3.98004706603921</v>
      </c>
      <c r="W28" s="186">
        <f t="shared" si="7"/>
        <v>11.109017072425198</v>
      </c>
      <c r="X28" s="186">
        <f t="shared" si="8"/>
        <v>12.609017072425198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164.95633740510303</v>
      </c>
      <c r="R29" s="188">
        <v>0</v>
      </c>
      <c r="S29" s="188">
        <v>37.923572057102497</v>
      </c>
      <c r="T29" s="186">
        <f t="shared" si="9"/>
        <v>177.55333058778967</v>
      </c>
      <c r="U29" s="185">
        <f t="shared" si="10"/>
        <v>188.72612478132794</v>
      </c>
      <c r="V29" s="186">
        <f t="shared" si="6"/>
        <v>3.98004706603921</v>
      </c>
      <c r="W29" s="186">
        <f t="shared" si="7"/>
        <v>11.307914409675643</v>
      </c>
      <c r="X29" s="186">
        <f t="shared" si="8"/>
        <v>12.807914409675643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164.95633740510303</v>
      </c>
      <c r="R30" s="212">
        <v>0</v>
      </c>
      <c r="S30" s="212">
        <v>43.790053960000002</v>
      </c>
      <c r="T30" s="210">
        <f t="shared" si="9"/>
        <v>181.55797896970907</v>
      </c>
      <c r="U30" s="209">
        <f t="shared" si="10"/>
        <v>183.52008188483271</v>
      </c>
      <c r="V30" s="210">
        <f t="shared" si="6"/>
        <v>3.98004706603921</v>
      </c>
      <c r="W30" s="210">
        <f t="shared" si="7"/>
        <v>11.467182560753159</v>
      </c>
      <c r="X30" s="210">
        <f t="shared" si="8"/>
        <v>12.967182560753159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164.95633740510303</v>
      </c>
      <c r="R31" s="236">
        <v>0</v>
      </c>
      <c r="S31" s="236">
        <v>43.790053960000002</v>
      </c>
      <c r="T31" s="233">
        <f>SQRT(Q31^2+R31^2-Q31*R31+3*S31^2)</f>
        <v>181.55797896970907</v>
      </c>
      <c r="U31" s="234">
        <f>MIN(K31/$F$7,1.3*(K31/$F$7-T31))</f>
        <v>183.52008188483271</v>
      </c>
      <c r="V31" s="233">
        <f>14.3*$F$8/SQRT(K31/$F$7)</f>
        <v>3.98004706603921</v>
      </c>
      <c r="W31" s="233">
        <f>15.8*N31*L31*SQRT(J31)/SQRT(U31*P31)</f>
        <v>10.702703723369613</v>
      </c>
      <c r="X31" s="233">
        <f t="shared" si="8"/>
        <v>12.202703723369613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144.07201181574291</v>
      </c>
      <c r="R32" s="196">
        <v>0</v>
      </c>
      <c r="S32" s="196">
        <v>51.353614075395399</v>
      </c>
      <c r="T32" s="193">
        <f t="shared" si="9"/>
        <v>169.31723369004558</v>
      </c>
      <c r="U32" s="194">
        <f t="shared" ref="U32:U70" si="11">MIN(K32/$F$7,1.3*(K32/$F$7-T32))</f>
        <v>199.43305074839526</v>
      </c>
      <c r="V32" s="193">
        <f t="shared" si="6"/>
        <v>3.98004706603921</v>
      </c>
      <c r="W32" s="193">
        <f t="shared" ref="W32:W54" si="12">15.8*N32*L32*SQRT(J32)/SQRT(U32*P32)</f>
        <v>9.9789643487738129</v>
      </c>
      <c r="X32" s="193">
        <f t="shared" si="8"/>
        <v>11.478964348773813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123.18768622638278</v>
      </c>
      <c r="R33" s="196">
        <v>0</v>
      </c>
      <c r="S33" s="196">
        <v>57.875467858741402</v>
      </c>
      <c r="T33" s="193">
        <f t="shared" si="9"/>
        <v>158.82038715925094</v>
      </c>
      <c r="U33" s="194">
        <f t="shared" si="11"/>
        <v>213.07895123842829</v>
      </c>
      <c r="V33" s="193">
        <f t="shared" si="6"/>
        <v>3.98004706603921</v>
      </c>
      <c r="W33" s="193">
        <f t="shared" si="12"/>
        <v>9.3673633761233379</v>
      </c>
      <c r="X33" s="193">
        <f t="shared" si="8"/>
        <v>10.867363376123338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102.30336063702268</v>
      </c>
      <c r="R34" s="196">
        <v>0</v>
      </c>
      <c r="S34" s="196">
        <v>63.355615458824097</v>
      </c>
      <c r="T34" s="193">
        <f t="shared" si="9"/>
        <v>150.02592985256879</v>
      </c>
      <c r="U34" s="194">
        <f t="shared" si="11"/>
        <v>224.51174573711506</v>
      </c>
      <c r="V34" s="193">
        <f t="shared" si="6"/>
        <v>3.98004706603921</v>
      </c>
      <c r="W34" s="193">
        <f t="shared" si="12"/>
        <v>8.8375294345963109</v>
      </c>
      <c r="X34" s="193">
        <f t="shared" si="8"/>
        <v>10.337529434596311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6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81.419035047662547</v>
      </c>
      <c r="R35" s="284">
        <v>0</v>
      </c>
      <c r="S35" s="284">
        <v>67.443267762770702</v>
      </c>
      <c r="T35" s="281">
        <f t="shared" si="9"/>
        <v>142.38975513587647</v>
      </c>
      <c r="U35" s="282">
        <f t="shared" si="11"/>
        <v>234.43877286881511</v>
      </c>
      <c r="V35" s="281">
        <f t="shared" si="6"/>
        <v>3.98004706603921</v>
      </c>
      <c r="W35" s="281">
        <f t="shared" si="12"/>
        <v>8.3568418874562518</v>
      </c>
      <c r="X35" s="281">
        <f t="shared" si="8"/>
        <v>9.8568418874562518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60.534709458302423</v>
      </c>
      <c r="R36" s="252">
        <v>0</v>
      </c>
      <c r="S36" s="252">
        <v>70.578490561200297</v>
      </c>
      <c r="T36" s="249">
        <f t="shared" si="9"/>
        <v>136.4126865027348</v>
      </c>
      <c r="U36" s="250">
        <f t="shared" si="11"/>
        <v>242.20896209189925</v>
      </c>
      <c r="V36" s="249">
        <f t="shared" si="6"/>
        <v>3.98004706603921</v>
      </c>
      <c r="W36" s="249">
        <f t="shared" si="12"/>
        <v>7.9244855917687484</v>
      </c>
      <c r="X36" s="249">
        <f t="shared" si="8"/>
        <v>9.4244855917687484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39.650383868942285</v>
      </c>
      <c r="R37" s="196">
        <v>0</v>
      </c>
      <c r="S37" s="196">
        <v>72.761281433754903</v>
      </c>
      <c r="T37" s="193">
        <f t="shared" si="9"/>
        <v>132.11648333421815</v>
      </c>
      <c r="U37" s="194">
        <f t="shared" si="11"/>
        <v>247.79402621097091</v>
      </c>
      <c r="V37" s="193">
        <f t="shared" si="6"/>
        <v>3.98004706603921</v>
      </c>
      <c r="W37" s="193">
        <f t="shared" si="12"/>
        <v>7.5293626094539761</v>
      </c>
      <c r="X37" s="193">
        <f t="shared" si="8"/>
        <v>9.0293626094539761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18.766058279582154</v>
      </c>
      <c r="R38" s="196">
        <v>0</v>
      </c>
      <c r="S38" s="196">
        <v>73.991641105059202</v>
      </c>
      <c r="T38" s="193">
        <f t="shared" si="9"/>
        <v>129.52395069489015</v>
      </c>
      <c r="U38" s="194">
        <f t="shared" si="11"/>
        <v>251.16431864209733</v>
      </c>
      <c r="V38" s="193">
        <f t="shared" si="6"/>
        <v>3.98004706603921</v>
      </c>
      <c r="W38" s="193">
        <f t="shared" si="12"/>
        <v>7.1625940443752691</v>
      </c>
      <c r="X38" s="193">
        <f t="shared" si="8"/>
        <v>8.6625940443752683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2.1182673097779738</v>
      </c>
      <c r="R39" s="284">
        <v>0</v>
      </c>
      <c r="S39" s="284">
        <v>74.20439777</v>
      </c>
      <c r="T39" s="281">
        <f t="shared" si="9"/>
        <v>128.54324175786456</v>
      </c>
      <c r="U39" s="282">
        <f t="shared" si="11"/>
        <v>252.43924026023058</v>
      </c>
      <c r="V39" s="281">
        <f t="shared" si="6"/>
        <v>3.98004706603921</v>
      </c>
      <c r="W39" s="281">
        <f t="shared" si="12"/>
        <v>6.8146313351296932</v>
      </c>
      <c r="X39" s="281">
        <f t="shared" si="8"/>
        <v>8.3146313351296932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23.002592899138104</v>
      </c>
      <c r="R40" s="252">
        <v>0</v>
      </c>
      <c r="S40" s="252">
        <v>73.566070147728794</v>
      </c>
      <c r="T40" s="249">
        <f t="shared" si="9"/>
        <v>129.47980271465175</v>
      </c>
      <c r="U40" s="250">
        <f t="shared" si="11"/>
        <v>251.22171101640723</v>
      </c>
      <c r="V40" s="249">
        <f t="shared" si="6"/>
        <v>3.98004706603921</v>
      </c>
      <c r="W40" s="249">
        <f t="shared" si="12"/>
        <v>6.4836329522737834</v>
      </c>
      <c r="X40" s="249">
        <f t="shared" si="8"/>
        <v>7.9836329522737834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v>7.4</v>
      </c>
      <c r="E41" s="194">
        <v>0</v>
      </c>
      <c r="F41" s="194">
        <v>0</v>
      </c>
      <c r="G41" s="194">
        <f t="shared" si="1"/>
        <v>0</v>
      </c>
      <c r="H41" s="193">
        <f t="shared" si="2"/>
        <v>52.890614999999997</v>
      </c>
      <c r="I41" s="194">
        <v>0</v>
      </c>
      <c r="J41" s="194">
        <f t="shared" si="3"/>
        <v>71.402330250000006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55.820818825275424</v>
      </c>
      <c r="R41" s="196">
        <v>0</v>
      </c>
      <c r="S41" s="196">
        <v>70.948937552243095</v>
      </c>
      <c r="T41" s="193">
        <f t="shared" si="9"/>
        <v>134.9711785297161</v>
      </c>
      <c r="U41" s="194">
        <f t="shared" si="11"/>
        <v>244.08292245682358</v>
      </c>
      <c r="V41" s="193">
        <f t="shared" si="6"/>
        <v>3.98004706603921</v>
      </c>
      <c r="W41" s="193">
        <f t="shared" si="12"/>
        <v>5.9819478474983869</v>
      </c>
      <c r="X41" s="193">
        <f t="shared" si="8"/>
        <v>7.4819478474983869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8.1</v>
      </c>
      <c r="E42" s="194">
        <v>0</v>
      </c>
      <c r="F42" s="194">
        <v>0</v>
      </c>
      <c r="G42" s="194">
        <f t="shared" si="1"/>
        <v>0</v>
      </c>
      <c r="H42" s="193">
        <f t="shared" si="2"/>
        <v>45.851939999999999</v>
      </c>
      <c r="I42" s="194">
        <v>0</v>
      </c>
      <c r="J42" s="194">
        <f t="shared" si="3"/>
        <v>61.900119000000004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76.705144414635541</v>
      </c>
      <c r="R42" s="196">
        <v>0</v>
      </c>
      <c r="S42" s="196">
        <v>67.948380485348295</v>
      </c>
      <c r="T42" s="193">
        <f t="shared" si="9"/>
        <v>140.47998580372607</v>
      </c>
      <c r="U42" s="194">
        <f t="shared" si="11"/>
        <v>236.92147300061063</v>
      </c>
      <c r="V42" s="193">
        <f t="shared" si="6"/>
        <v>3.98004706603921</v>
      </c>
      <c r="W42" s="193">
        <f t="shared" si="12"/>
        <v>5.6532560591853436</v>
      </c>
      <c r="X42" s="193">
        <f t="shared" si="8"/>
        <v>7.1532560591853436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8.7999999999999989</v>
      </c>
      <c r="E43" s="242">
        <v>0</v>
      </c>
      <c r="F43" s="242">
        <v>0</v>
      </c>
      <c r="G43" s="242">
        <f t="shared" si="1"/>
        <v>0</v>
      </c>
      <c r="H43" s="241">
        <f t="shared" si="2"/>
        <v>38.813265000000008</v>
      </c>
      <c r="I43" s="242">
        <v>0</v>
      </c>
      <c r="J43" s="242">
        <f t="shared" si="3"/>
        <v>52.397907750000016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97.589470003995643</v>
      </c>
      <c r="R43" s="244">
        <v>0</v>
      </c>
      <c r="S43" s="244">
        <v>64.029178808473901</v>
      </c>
      <c r="T43" s="241">
        <f t="shared" si="9"/>
        <v>147.72579961646284</v>
      </c>
      <c r="U43" s="242">
        <f t="shared" si="11"/>
        <v>227.50191504405282</v>
      </c>
      <c r="V43" s="241">
        <f t="shared" si="6"/>
        <v>3.98004706603921</v>
      </c>
      <c r="W43" s="241">
        <f t="shared" si="12"/>
        <v>5.3078613706817643</v>
      </c>
      <c r="X43" s="241">
        <f t="shared" si="8"/>
        <v>6.8078613706817643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9.4999999999999982</v>
      </c>
      <c r="E44" s="250">
        <v>0</v>
      </c>
      <c r="F44" s="250">
        <v>0</v>
      </c>
      <c r="G44" s="250">
        <f t="shared" si="1"/>
        <v>0</v>
      </c>
      <c r="H44" s="249">
        <f t="shared" si="2"/>
        <v>31.774590000000018</v>
      </c>
      <c r="I44" s="250">
        <v>0</v>
      </c>
      <c r="J44" s="250">
        <f t="shared" si="3"/>
        <v>42.895696500000028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4"/>
        <v>118.47379559335573</v>
      </c>
      <c r="R44" s="252">
        <v>0</v>
      </c>
      <c r="S44" s="252">
        <v>58.497004363758798</v>
      </c>
      <c r="T44" s="249">
        <f t="shared" si="9"/>
        <v>155.89014978791022</v>
      </c>
      <c r="U44" s="250">
        <f t="shared" si="11"/>
        <v>216.88825982117123</v>
      </c>
      <c r="V44" s="249">
        <f t="shared" si="6"/>
        <v>3.98004706603921</v>
      </c>
      <c r="W44" s="249">
        <f t="shared" si="12"/>
        <v>4.9186278758892676</v>
      </c>
      <c r="X44" s="249">
        <f t="shared" si="8"/>
        <v>6.4186278758892676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10.199999999999998</v>
      </c>
      <c r="E45" s="194">
        <v>0</v>
      </c>
      <c r="F45" s="194">
        <v>0</v>
      </c>
      <c r="G45" s="194">
        <f t="shared" si="1"/>
        <v>0</v>
      </c>
      <c r="H45" s="193">
        <f t="shared" si="2"/>
        <v>24.735915000000023</v>
      </c>
      <c r="I45" s="194">
        <v>0</v>
      </c>
      <c r="J45" s="194">
        <f t="shared" si="3"/>
        <v>33.393485250000033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4"/>
        <v>139.35812118271585</v>
      </c>
      <c r="R45" s="196">
        <v>0</v>
      </c>
      <c r="S45" s="196">
        <v>51.923123655205998</v>
      </c>
      <c r="T45" s="193">
        <f t="shared" si="9"/>
        <v>165.85752394726612</v>
      </c>
      <c r="U45" s="194">
        <f t="shared" si="11"/>
        <v>203.93067341400857</v>
      </c>
      <c r="V45" s="193">
        <f t="shared" si="6"/>
        <v>3.98004706603921</v>
      </c>
      <c r="W45" s="193">
        <f t="shared" si="12"/>
        <v>4.4755325956594927</v>
      </c>
      <c r="X45" s="193">
        <f t="shared" si="8"/>
        <v>5.9755325956594927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10.899999999999997</v>
      </c>
      <c r="E46" s="194">
        <v>0</v>
      </c>
      <c r="F46" s="194">
        <v>0</v>
      </c>
      <c r="G46" s="194">
        <f t="shared" si="1"/>
        <v>0</v>
      </c>
      <c r="H46" s="193">
        <f t="shared" si="2"/>
        <v>17.697240000000033</v>
      </c>
      <c r="I46" s="194">
        <v>0</v>
      </c>
      <c r="J46" s="194">
        <f t="shared" si="3"/>
        <v>23.891274000000045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4"/>
        <v>160.24244677207597</v>
      </c>
      <c r="R46" s="196">
        <v>0</v>
      </c>
      <c r="S46" s="196">
        <v>37.443682379999998</v>
      </c>
      <c r="T46" s="193">
        <f t="shared" si="9"/>
        <v>172.86911175228664</v>
      </c>
      <c r="U46" s="194">
        <f t="shared" si="11"/>
        <v>194.81560926748188</v>
      </c>
      <c r="V46" s="193">
        <f t="shared" si="6"/>
        <v>3.98004706603921</v>
      </c>
      <c r="W46" s="193">
        <f t="shared" si="12"/>
        <v>3.8731374185752592</v>
      </c>
      <c r="X46" s="193">
        <f t="shared" si="8"/>
        <v>5.4800470660392104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75">
        <v>1</v>
      </c>
      <c r="B47" s="75" t="s">
        <v>132</v>
      </c>
      <c r="C47" s="92">
        <v>0.75</v>
      </c>
      <c r="D47" s="75">
        <v>10.9</v>
      </c>
      <c r="E47" s="76">
        <v>0</v>
      </c>
      <c r="F47" s="76">
        <v>0</v>
      </c>
      <c r="G47" s="76">
        <f t="shared" si="1"/>
        <v>0</v>
      </c>
      <c r="H47" s="79">
        <f t="shared" si="2"/>
        <v>17.697239999999997</v>
      </c>
      <c r="I47" s="76">
        <v>0</v>
      </c>
      <c r="J47" s="76">
        <f t="shared" si="3"/>
        <v>23.891273999999999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>$M$11/ABS(($M$12/(D47-$M$13)))/1000</f>
        <v>160.24244677207605</v>
      </c>
      <c r="R47" s="78">
        <v>0</v>
      </c>
      <c r="S47" s="78">
        <v>-17.163520051127001</v>
      </c>
      <c r="T47" s="79">
        <f t="shared" si="9"/>
        <v>162.976688545135</v>
      </c>
      <c r="U47" s="76">
        <f t="shared" si="11"/>
        <v>207.675759436779</v>
      </c>
      <c r="V47" s="79">
        <f t="shared" si="6"/>
        <v>3.98004706603921</v>
      </c>
      <c r="W47" s="79">
        <f t="shared" si="12"/>
        <v>4.0192507478575292</v>
      </c>
      <c r="X47" s="79">
        <f t="shared" si="8"/>
        <v>5.5192507478575292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2</v>
      </c>
      <c r="B48" s="75" t="s">
        <v>132</v>
      </c>
      <c r="C48" s="92">
        <v>1.5</v>
      </c>
      <c r="D48" s="75">
        <v>10.9</v>
      </c>
      <c r="E48" s="76">
        <v>0</v>
      </c>
      <c r="F48" s="76">
        <v>0</v>
      </c>
      <c r="G48" s="76">
        <f t="shared" si="1"/>
        <v>0</v>
      </c>
      <c r="H48" s="79">
        <f t="shared" si="2"/>
        <v>17.697239999999997</v>
      </c>
      <c r="I48" s="76">
        <v>0</v>
      </c>
      <c r="J48" s="76">
        <f t="shared" si="3"/>
        <v>23.891273999999999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ref="Q48:Q54" si="14">$M$11/ABS(($M$12/(D48-$M$13)))/1000</f>
        <v>160.24244677207605</v>
      </c>
      <c r="R48" s="78">
        <v>0</v>
      </c>
      <c r="S48" s="78">
        <v>-9.3624913332029998</v>
      </c>
      <c r="T48" s="79">
        <f t="shared" si="9"/>
        <v>161.06089059543453</v>
      </c>
      <c r="U48" s="76">
        <f t="shared" si="11"/>
        <v>210.16629677138963</v>
      </c>
      <c r="V48" s="79">
        <f t="shared" si="6"/>
        <v>3.98004706603921</v>
      </c>
      <c r="W48" s="79">
        <f t="shared" si="12"/>
        <v>3.995365075121204</v>
      </c>
      <c r="X48" s="79">
        <f t="shared" si="8"/>
        <v>5.495365075121204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3</v>
      </c>
      <c r="B49" s="75" t="s">
        <v>132</v>
      </c>
      <c r="C49" s="92">
        <v>2.25</v>
      </c>
      <c r="D49" s="75">
        <v>10.9</v>
      </c>
      <c r="E49" s="76">
        <v>0</v>
      </c>
      <c r="F49" s="76">
        <v>0</v>
      </c>
      <c r="G49" s="76">
        <f t="shared" si="1"/>
        <v>0</v>
      </c>
      <c r="H49" s="79">
        <f t="shared" si="2"/>
        <v>17.697239999999997</v>
      </c>
      <c r="I49" s="76">
        <v>0</v>
      </c>
      <c r="J49" s="76">
        <f t="shared" si="3"/>
        <v>23.891273999999999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160.24244677207605</v>
      </c>
      <c r="R49" s="78">
        <v>0</v>
      </c>
      <c r="S49" s="78">
        <v>-1.5614624198307101</v>
      </c>
      <c r="T49" s="79">
        <f t="shared" si="9"/>
        <v>160.26526835895311</v>
      </c>
      <c r="U49" s="76">
        <f t="shared" si="11"/>
        <v>211.20060567881546</v>
      </c>
      <c r="V49" s="79">
        <f t="shared" si="6"/>
        <v>3.98004706603921</v>
      </c>
      <c r="W49" s="79">
        <f t="shared" si="12"/>
        <v>3.9855698533412065</v>
      </c>
      <c r="X49" s="79">
        <f t="shared" si="8"/>
        <v>5.4855698533412065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4</v>
      </c>
      <c r="B50" s="75" t="s">
        <v>132</v>
      </c>
      <c r="C50" s="92">
        <v>3</v>
      </c>
      <c r="D50" s="75">
        <v>10.9</v>
      </c>
      <c r="E50" s="76">
        <v>0</v>
      </c>
      <c r="F50" s="76">
        <v>0</v>
      </c>
      <c r="G50" s="76">
        <f t="shared" si="1"/>
        <v>0</v>
      </c>
      <c r="H50" s="79">
        <f t="shared" si="2"/>
        <v>17.697239999999997</v>
      </c>
      <c r="I50" s="76">
        <v>0</v>
      </c>
      <c r="J50" s="76">
        <f t="shared" si="3"/>
        <v>23.891273999999999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160.24244677207605</v>
      </c>
      <c r="R50" s="78">
        <v>0</v>
      </c>
      <c r="S50" s="78">
        <v>6.2395664239448498</v>
      </c>
      <c r="T50" s="79">
        <f t="shared" si="9"/>
        <v>160.60647033970358</v>
      </c>
      <c r="U50" s="76">
        <f t="shared" si="11"/>
        <v>210.75704310383986</v>
      </c>
      <c r="V50" s="79">
        <f t="shared" si="6"/>
        <v>3.98004706603921</v>
      </c>
      <c r="W50" s="79">
        <f t="shared" si="12"/>
        <v>3.9897616953252184</v>
      </c>
      <c r="X50" s="79">
        <f t="shared" si="8"/>
        <v>5.4897616953252184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5</v>
      </c>
      <c r="B51" s="75" t="s">
        <v>132</v>
      </c>
      <c r="C51" s="92">
        <v>3.75</v>
      </c>
      <c r="D51" s="75">
        <v>10.9</v>
      </c>
      <c r="E51" s="76">
        <v>0</v>
      </c>
      <c r="F51" s="76">
        <v>0</v>
      </c>
      <c r="G51" s="76">
        <f t="shared" si="1"/>
        <v>0</v>
      </c>
      <c r="H51" s="79">
        <f t="shared" si="2"/>
        <v>17.697239999999997</v>
      </c>
      <c r="I51" s="76">
        <v>0</v>
      </c>
      <c r="J51" s="76">
        <f t="shared" si="3"/>
        <v>23.891273999999999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160.24244677207605</v>
      </c>
      <c r="R51" s="78">
        <v>0</v>
      </c>
      <c r="S51" s="78">
        <v>14.0405955046804</v>
      </c>
      <c r="T51" s="79">
        <f t="shared" si="9"/>
        <v>162.07731708625911</v>
      </c>
      <c r="U51" s="76">
        <f t="shared" si="11"/>
        <v>208.84494233331765</v>
      </c>
      <c r="V51" s="79">
        <f t="shared" si="6"/>
        <v>3.98004706603921</v>
      </c>
      <c r="W51" s="79">
        <f t="shared" si="12"/>
        <v>4.0079844116313339</v>
      </c>
      <c r="X51" s="79">
        <f t="shared" si="8"/>
        <v>5.5079844116313339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6</v>
      </c>
      <c r="B52" s="75" t="s">
        <v>132</v>
      </c>
      <c r="C52" s="92">
        <v>4.5</v>
      </c>
      <c r="D52" s="75">
        <v>10.9</v>
      </c>
      <c r="E52" s="76">
        <v>0</v>
      </c>
      <c r="F52" s="76">
        <v>0</v>
      </c>
      <c r="G52" s="76">
        <f t="shared" si="1"/>
        <v>0</v>
      </c>
      <c r="H52" s="79">
        <f t="shared" si="2"/>
        <v>17.697239999999997</v>
      </c>
      <c r="I52" s="76">
        <v>0</v>
      </c>
      <c r="J52" s="76">
        <f t="shared" si="3"/>
        <v>23.891273999999999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160.24244677207605</v>
      </c>
      <c r="R52" s="78">
        <v>0</v>
      </c>
      <c r="S52" s="78">
        <v>21.8416244573007</v>
      </c>
      <c r="T52" s="79">
        <f t="shared" si="9"/>
        <v>164.64753695182597</v>
      </c>
      <c r="U52" s="76">
        <f t="shared" si="11"/>
        <v>205.50365650808075</v>
      </c>
      <c r="V52" s="79">
        <f t="shared" si="6"/>
        <v>3.98004706603921</v>
      </c>
      <c r="W52" s="79">
        <f t="shared" si="12"/>
        <v>4.0404359635177807</v>
      </c>
      <c r="X52" s="79">
        <f t="shared" si="8"/>
        <v>5.5404359635177807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7</v>
      </c>
      <c r="B53" s="75" t="s">
        <v>132</v>
      </c>
      <c r="C53" s="92">
        <v>5.25</v>
      </c>
      <c r="D53" s="75">
        <v>10.9</v>
      </c>
      <c r="E53" s="76">
        <v>0</v>
      </c>
      <c r="F53" s="76">
        <v>0</v>
      </c>
      <c r="G53" s="76">
        <f t="shared" si="1"/>
        <v>0</v>
      </c>
      <c r="H53" s="79">
        <f t="shared" si="2"/>
        <v>17.697239999999997</v>
      </c>
      <c r="I53" s="76">
        <v>0</v>
      </c>
      <c r="J53" s="76">
        <f t="shared" si="3"/>
        <v>23.891273999999999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160.24244677207605</v>
      </c>
      <c r="R53" s="78">
        <v>0</v>
      </c>
      <c r="S53" s="78">
        <v>29.642653358557101</v>
      </c>
      <c r="T53" s="79">
        <f t="shared" si="9"/>
        <v>168.26675976528566</v>
      </c>
      <c r="U53" s="76">
        <f t="shared" si="11"/>
        <v>200.79866685058315</v>
      </c>
      <c r="V53" s="79">
        <f t="shared" si="6"/>
        <v>3.98004706603921</v>
      </c>
      <c r="W53" s="79">
        <f t="shared" si="12"/>
        <v>4.0874983686348632</v>
      </c>
      <c r="X53" s="79">
        <f t="shared" si="8"/>
        <v>5.5874983686348632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8</v>
      </c>
      <c r="B54" s="75" t="s">
        <v>132</v>
      </c>
      <c r="C54" s="92">
        <v>6</v>
      </c>
      <c r="D54" s="75">
        <v>10.9</v>
      </c>
      <c r="E54" s="76">
        <v>0</v>
      </c>
      <c r="F54" s="76">
        <v>0</v>
      </c>
      <c r="G54" s="76">
        <f t="shared" si="1"/>
        <v>0</v>
      </c>
      <c r="H54" s="79">
        <f t="shared" si="2"/>
        <v>17.697239999999997</v>
      </c>
      <c r="I54" s="76">
        <v>0</v>
      </c>
      <c r="J54" s="76">
        <f t="shared" si="3"/>
        <v>23.891273999999999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160.24244677207605</v>
      </c>
      <c r="R54" s="78">
        <v>0</v>
      </c>
      <c r="S54" s="78">
        <v>37.443682379999998</v>
      </c>
      <c r="T54" s="79">
        <f t="shared" si="9"/>
        <v>172.86911175228673</v>
      </c>
      <c r="U54" s="76">
        <f t="shared" si="11"/>
        <v>194.81560926748176</v>
      </c>
      <c r="V54" s="79">
        <f t="shared" si="6"/>
        <v>3.98004706603921</v>
      </c>
      <c r="W54" s="79">
        <f t="shared" si="12"/>
        <v>4.1497900913306323</v>
      </c>
      <c r="X54" s="79">
        <f t="shared" si="8"/>
        <v>5.6497900913306323</v>
      </c>
      <c r="Y54" s="181" ph="1">
        <v>20</v>
      </c>
      <c r="Z54" s="79" t="str">
        <f t="shared" si="5"/>
        <v>OK</v>
      </c>
    </row>
    <row r="55" spans="1:26" ht="15" customHeight="1" x14ac:dyDescent="0.3">
      <c r="A55" s="80">
        <v>1</v>
      </c>
      <c r="B55" s="80" t="s">
        <v>133</v>
      </c>
      <c r="C55" s="80">
        <v>0</v>
      </c>
      <c r="D55" s="80">
        <v>0</v>
      </c>
      <c r="E55" s="81">
        <v>0</v>
      </c>
      <c r="F55" s="81">
        <v>0</v>
      </c>
      <c r="G55" s="81">
        <f t="shared" si="1"/>
        <v>0</v>
      </c>
      <c r="H55" s="84">
        <f t="shared" si="2"/>
        <v>127.29946499999998</v>
      </c>
      <c r="I55" s="81">
        <v>0</v>
      </c>
      <c r="J55" s="81">
        <f t="shared" si="3"/>
        <v>171.85427774999999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-52.591609990000002</v>
      </c>
      <c r="T55" s="84">
        <f t="shared" si="9"/>
        <v>91.091340554526937</v>
      </c>
      <c r="U55" s="81">
        <f t="shared" si="11"/>
        <v>301.1267118245695</v>
      </c>
      <c r="V55" s="84">
        <f t="shared" si="6"/>
        <v>3.98004706603921</v>
      </c>
      <c r="W55" s="84">
        <f>15.8*N55*L55*SQRT(J55)/SQRT(U55*P55)</f>
        <v>8.3552732870981856</v>
      </c>
      <c r="X55" s="84">
        <f t="shared" si="8"/>
        <v>9.8552732870981856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2</v>
      </c>
      <c r="B56" s="80" t="s">
        <v>133</v>
      </c>
      <c r="C56" s="80">
        <v>0</v>
      </c>
      <c r="D56" s="80">
        <v>0.7</v>
      </c>
      <c r="E56" s="81">
        <v>0</v>
      </c>
      <c r="F56" s="81">
        <v>0</v>
      </c>
      <c r="G56" s="81">
        <f t="shared" si="1"/>
        <v>0</v>
      </c>
      <c r="H56" s="84">
        <f t="shared" si="2"/>
        <v>120.26079</v>
      </c>
      <c r="I56" s="81">
        <v>0</v>
      </c>
      <c r="J56" s="81">
        <f t="shared" si="3"/>
        <v>162.35206650000001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-57.721728718353603</v>
      </c>
      <c r="T56" s="84">
        <f t="shared" si="9"/>
        <v>99.976966840896011</v>
      </c>
      <c r="U56" s="81">
        <f t="shared" si="11"/>
        <v>289.57539765228967</v>
      </c>
      <c r="V56" s="84">
        <f t="shared" si="6"/>
        <v>3.98004706603921</v>
      </c>
      <c r="W56" s="84">
        <f>15.8*N56*L56*SQRT(J56)/SQRT(U56*P56)</f>
        <v>8.2813894115085063</v>
      </c>
      <c r="X56" s="84">
        <f t="shared" si="8"/>
        <v>9.7813894115085063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3</v>
      </c>
      <c r="B57" s="80" t="s">
        <v>133</v>
      </c>
      <c r="C57" s="80">
        <v>0</v>
      </c>
      <c r="D57" s="80">
        <v>1.4</v>
      </c>
      <c r="E57" s="81">
        <v>0</v>
      </c>
      <c r="F57" s="81">
        <v>0</v>
      </c>
      <c r="G57" s="81">
        <f t="shared" si="1"/>
        <v>0</v>
      </c>
      <c r="H57" s="84">
        <f t="shared" si="2"/>
        <v>113.22211499999999</v>
      </c>
      <c r="I57" s="81">
        <v>0</v>
      </c>
      <c r="J57" s="81">
        <f t="shared" si="3"/>
        <v>152.84985524999999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-64.594763925921896</v>
      </c>
      <c r="T57" s="84">
        <f t="shared" si="9"/>
        <v>111.88141302261401</v>
      </c>
      <c r="U57" s="81">
        <f t="shared" si="11"/>
        <v>274.09961761605626</v>
      </c>
      <c r="V57" s="84">
        <f t="shared" si="6"/>
        <v>3.98004706603921</v>
      </c>
      <c r="W57" s="84">
        <f t="shared" ref="W57:W70" si="15">15.8*N57*L57*SQRT(J57)/SQRT(U57*P57)</f>
        <v>8.2591133787018389</v>
      </c>
      <c r="X57" s="84">
        <f t="shared" si="8"/>
        <v>9.7591133787018389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4</v>
      </c>
      <c r="B58" s="80" t="s">
        <v>133</v>
      </c>
      <c r="C58" s="80">
        <v>0</v>
      </c>
      <c r="D58" s="80">
        <v>2.0999999999999996</v>
      </c>
      <c r="E58" s="81">
        <v>0</v>
      </c>
      <c r="F58" s="81">
        <v>0</v>
      </c>
      <c r="G58" s="81">
        <f t="shared" si="1"/>
        <v>0</v>
      </c>
      <c r="H58" s="84">
        <f t="shared" si="2"/>
        <v>106.18343999999999</v>
      </c>
      <c r="I58" s="81">
        <v>0</v>
      </c>
      <c r="J58" s="81">
        <f t="shared" si="3"/>
        <v>143.347644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-70.426092946821498</v>
      </c>
      <c r="T58" s="84">
        <f t="shared" si="9"/>
        <v>121.981571162463</v>
      </c>
      <c r="U58" s="81">
        <f t="shared" si="11"/>
        <v>260.96941203425257</v>
      </c>
      <c r="V58" s="84">
        <f t="shared" si="6"/>
        <v>3.98004706603921</v>
      </c>
      <c r="W58" s="84">
        <f t="shared" si="15"/>
        <v>8.1970126092865918</v>
      </c>
      <c r="X58" s="84">
        <f t="shared" si="8"/>
        <v>9.6970126092865918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5</v>
      </c>
      <c r="B59" s="80" t="s">
        <v>133</v>
      </c>
      <c r="C59" s="80">
        <v>0</v>
      </c>
      <c r="D59" s="80">
        <v>2.8</v>
      </c>
      <c r="E59" s="81">
        <v>0</v>
      </c>
      <c r="F59" s="81">
        <v>0</v>
      </c>
      <c r="G59" s="81">
        <f t="shared" si="1"/>
        <v>0</v>
      </c>
      <c r="H59" s="84">
        <f t="shared" si="2"/>
        <v>99.144764999999992</v>
      </c>
      <c r="I59" s="81">
        <v>0</v>
      </c>
      <c r="J59" s="81">
        <f t="shared" si="3"/>
        <v>133.84543274999999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-75.215715930860199</v>
      </c>
      <c r="T59" s="84">
        <f t="shared" si="9"/>
        <v>130.27744151991769</v>
      </c>
      <c r="U59" s="81">
        <f t="shared" si="11"/>
        <v>250.18478056956152</v>
      </c>
      <c r="V59" s="84">
        <f t="shared" si="6"/>
        <v>3.98004706603921</v>
      </c>
      <c r="W59" s="84">
        <f t="shared" si="15"/>
        <v>8.0895890795172871</v>
      </c>
      <c r="X59" s="84">
        <f t="shared" si="8"/>
        <v>9.5895890795172871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6</v>
      </c>
      <c r="B60" s="80" t="s">
        <v>133</v>
      </c>
      <c r="C60" s="80">
        <v>0</v>
      </c>
      <c r="D60" s="80">
        <v>3.5</v>
      </c>
      <c r="E60" s="81">
        <v>0</v>
      </c>
      <c r="F60" s="81">
        <v>0</v>
      </c>
      <c r="G60" s="81">
        <f t="shared" si="1"/>
        <v>0</v>
      </c>
      <c r="H60" s="84">
        <f t="shared" si="2"/>
        <v>92.106089999999995</v>
      </c>
      <c r="I60" s="81">
        <v>0</v>
      </c>
      <c r="J60" s="81">
        <f t="shared" si="3"/>
        <v>124.3432215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-78.480086958171597</v>
      </c>
      <c r="T60" s="84">
        <f t="shared" si="9"/>
        <v>135.93149799397682</v>
      </c>
      <c r="U60" s="81">
        <f t="shared" si="11"/>
        <v>242.83450715328465</v>
      </c>
      <c r="V60" s="84">
        <f t="shared" si="6"/>
        <v>3.98004706603921</v>
      </c>
      <c r="W60" s="84">
        <f t="shared" si="15"/>
        <v>7.9142722176340881</v>
      </c>
      <c r="X60" s="84">
        <f t="shared" si="8"/>
        <v>9.4142722176340889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7</v>
      </c>
      <c r="B61" s="80" t="s">
        <v>133</v>
      </c>
      <c r="C61" s="80">
        <v>0</v>
      </c>
      <c r="D61" s="80">
        <v>4.2</v>
      </c>
      <c r="E61" s="81">
        <v>0</v>
      </c>
      <c r="F61" s="81">
        <v>0</v>
      </c>
      <c r="G61" s="81">
        <f t="shared" si="1"/>
        <v>0</v>
      </c>
      <c r="H61" s="84">
        <f t="shared" si="2"/>
        <v>85.067414999999997</v>
      </c>
      <c r="I61" s="81">
        <v>0</v>
      </c>
      <c r="J61" s="81">
        <f t="shared" si="3"/>
        <v>114.84101025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-80.825813694463804</v>
      </c>
      <c r="T61" s="84">
        <f t="shared" si="9"/>
        <v>139.99441588190766</v>
      </c>
      <c r="U61" s="81">
        <f t="shared" si="11"/>
        <v>237.55271389897456</v>
      </c>
      <c r="V61" s="84">
        <f t="shared" si="6"/>
        <v>3.98004706603921</v>
      </c>
      <c r="W61" s="84">
        <f t="shared" si="15"/>
        <v>7.6899520348659136</v>
      </c>
      <c r="X61" s="84">
        <f t="shared" si="8"/>
        <v>9.1899520348659145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8</v>
      </c>
      <c r="B62" s="80" t="s">
        <v>133</v>
      </c>
      <c r="C62" s="80">
        <v>0</v>
      </c>
      <c r="D62" s="80">
        <v>4.9000000000000004</v>
      </c>
      <c r="E62" s="81">
        <v>0</v>
      </c>
      <c r="F62" s="81">
        <v>0</v>
      </c>
      <c r="G62" s="81">
        <f t="shared" si="1"/>
        <v>0</v>
      </c>
      <c r="H62" s="84">
        <f t="shared" si="2"/>
        <v>78.028739999999985</v>
      </c>
      <c r="I62" s="81">
        <v>0</v>
      </c>
      <c r="J62" s="81">
        <f t="shared" si="3"/>
        <v>105.33879899999998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-82.252895428864093</v>
      </c>
      <c r="T62" s="84">
        <f t="shared" si="9"/>
        <v>142.46619395244247</v>
      </c>
      <c r="U62" s="81">
        <f t="shared" si="11"/>
        <v>234.33940240727929</v>
      </c>
      <c r="V62" s="84">
        <f t="shared" si="6"/>
        <v>3.98004706603921</v>
      </c>
      <c r="W62" s="84">
        <f t="shared" si="15"/>
        <v>7.4152645411269189</v>
      </c>
      <c r="X62" s="84">
        <f t="shared" si="8"/>
        <v>8.9152645411269198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9</v>
      </c>
      <c r="B63" s="80" t="s">
        <v>133</v>
      </c>
      <c r="C63" s="80">
        <v>0</v>
      </c>
      <c r="D63" s="80">
        <v>5.6000000000000005</v>
      </c>
      <c r="E63" s="81">
        <v>0</v>
      </c>
      <c r="F63" s="81">
        <v>0</v>
      </c>
      <c r="G63" s="81">
        <f t="shared" si="1"/>
        <v>0</v>
      </c>
      <c r="H63" s="84">
        <f t="shared" si="2"/>
        <v>70.990064999999987</v>
      </c>
      <c r="I63" s="81">
        <v>0</v>
      </c>
      <c r="J63" s="81">
        <f t="shared" si="3"/>
        <v>95.836587749999993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-82.761332403397006</v>
      </c>
      <c r="T63" s="84">
        <f t="shared" si="9"/>
        <v>143.34683262478006</v>
      </c>
      <c r="U63" s="81">
        <f t="shared" si="11"/>
        <v>233.19457213324043</v>
      </c>
      <c r="V63" s="84">
        <f t="shared" si="6"/>
        <v>3.98004706603921</v>
      </c>
      <c r="W63" s="84">
        <f t="shared" si="15"/>
        <v>7.0902505033579777</v>
      </c>
      <c r="X63" s="84">
        <f t="shared" si="8"/>
        <v>8.5902505033579786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10</v>
      </c>
      <c r="B64" s="80" t="s">
        <v>133</v>
      </c>
      <c r="C64" s="80">
        <v>0</v>
      </c>
      <c r="D64" s="80">
        <v>6.3000000000000007</v>
      </c>
      <c r="E64" s="81">
        <v>0</v>
      </c>
      <c r="F64" s="81">
        <v>0</v>
      </c>
      <c r="G64" s="81">
        <f t="shared" si="1"/>
        <v>0</v>
      </c>
      <c r="H64" s="84">
        <f t="shared" si="2"/>
        <v>63.951389999999989</v>
      </c>
      <c r="I64" s="81">
        <v>0</v>
      </c>
      <c r="J64" s="81">
        <f t="shared" si="3"/>
        <v>86.334376499999991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-82.351124643860004</v>
      </c>
      <c r="T64" s="84">
        <f t="shared" si="9"/>
        <v>142.63633194360298</v>
      </c>
      <c r="U64" s="81">
        <f t="shared" si="11"/>
        <v>234.11822301877064</v>
      </c>
      <c r="V64" s="84">
        <f t="shared" si="6"/>
        <v>3.98004706603921</v>
      </c>
      <c r="W64" s="84">
        <f t="shared" si="15"/>
        <v>6.716289315991256</v>
      </c>
      <c r="X64" s="84">
        <f t="shared" si="8"/>
        <v>8.216289315991256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11</v>
      </c>
      <c r="B65" s="80" t="s">
        <v>133</v>
      </c>
      <c r="C65" s="80">
        <v>0</v>
      </c>
      <c r="D65" s="80">
        <v>7.4</v>
      </c>
      <c r="E65" s="81">
        <v>0</v>
      </c>
      <c r="F65" s="81">
        <v>0</v>
      </c>
      <c r="G65" s="81">
        <f t="shared" si="1"/>
        <v>0</v>
      </c>
      <c r="H65" s="84">
        <f t="shared" si="2"/>
        <v>52.890614999999997</v>
      </c>
      <c r="I65" s="81">
        <v>0</v>
      </c>
      <c r="J65" s="81">
        <f t="shared" si="3"/>
        <v>71.402330250000006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-80.092466037689306</v>
      </c>
      <c r="T65" s="84">
        <f t="shared" si="9"/>
        <v>138.72422048076263</v>
      </c>
      <c r="U65" s="81">
        <f t="shared" si="11"/>
        <v>239.2039679204631</v>
      </c>
      <c r="V65" s="84">
        <f t="shared" si="6"/>
        <v>3.98004706603921</v>
      </c>
      <c r="W65" s="84">
        <f t="shared" si="15"/>
        <v>6.0426456868235094</v>
      </c>
      <c r="X65" s="84">
        <f t="shared" si="8"/>
        <v>7.5426456868235094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12</v>
      </c>
      <c r="B66" s="80" t="s">
        <v>133</v>
      </c>
      <c r="C66" s="80">
        <v>0</v>
      </c>
      <c r="D66" s="80">
        <v>8.1</v>
      </c>
      <c r="E66" s="81">
        <v>0</v>
      </c>
      <c r="F66" s="81">
        <v>0</v>
      </c>
      <c r="G66" s="81">
        <f t="shared" si="1"/>
        <v>0</v>
      </c>
      <c r="H66" s="84">
        <f t="shared" si="2"/>
        <v>45.851939999999999</v>
      </c>
      <c r="I66" s="81">
        <v>0</v>
      </c>
      <c r="J66" s="81">
        <f t="shared" si="3"/>
        <v>61.900119000000004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-77.320028857115105</v>
      </c>
      <c r="T66" s="84">
        <f t="shared" si="9"/>
        <v>133.92221842321513</v>
      </c>
      <c r="U66" s="81">
        <f t="shared" si="11"/>
        <v>245.44657059527484</v>
      </c>
      <c r="V66" s="84">
        <f t="shared" si="6"/>
        <v>3.98004706603921</v>
      </c>
      <c r="W66" s="84">
        <f t="shared" si="15"/>
        <v>5.5542111339484057</v>
      </c>
      <c r="X66" s="84">
        <f t="shared" si="8"/>
        <v>7.0542111339484057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13</v>
      </c>
      <c r="B67" s="80" t="s">
        <v>133</v>
      </c>
      <c r="C67" s="80">
        <v>0</v>
      </c>
      <c r="D67" s="80">
        <v>8.7999999999999989</v>
      </c>
      <c r="E67" s="81">
        <v>0</v>
      </c>
      <c r="F67" s="81">
        <v>0</v>
      </c>
      <c r="G67" s="81">
        <f t="shared" si="1"/>
        <v>0</v>
      </c>
      <c r="H67" s="84">
        <f t="shared" si="2"/>
        <v>38.813265000000008</v>
      </c>
      <c r="I67" s="81">
        <v>0</v>
      </c>
      <c r="J67" s="81">
        <f t="shared" si="3"/>
        <v>52.397907750000016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-73.628946939413893</v>
      </c>
      <c r="T67" s="84">
        <f t="shared" si="9"/>
        <v>127.52907700685785</v>
      </c>
      <c r="U67" s="81">
        <f t="shared" si="11"/>
        <v>253.7576544365393</v>
      </c>
      <c r="V67" s="84">
        <f t="shared" si="6"/>
        <v>3.98004706603921</v>
      </c>
      <c r="W67" s="84">
        <f t="shared" si="15"/>
        <v>5.025769012539703</v>
      </c>
      <c r="X67" s="84">
        <f t="shared" si="8"/>
        <v>6.525769012539703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14</v>
      </c>
      <c r="B68" s="80" t="s">
        <v>133</v>
      </c>
      <c r="C68" s="80">
        <v>0</v>
      </c>
      <c r="D68" s="80">
        <v>9.4999999999999982</v>
      </c>
      <c r="E68" s="81">
        <v>0</v>
      </c>
      <c r="F68" s="81">
        <v>0</v>
      </c>
      <c r="G68" s="81">
        <f t="shared" si="1"/>
        <v>0</v>
      </c>
      <c r="H68" s="84">
        <f t="shared" si="2"/>
        <v>31.774590000000018</v>
      </c>
      <c r="I68" s="81">
        <v>0</v>
      </c>
      <c r="J68" s="81">
        <f t="shared" si="3"/>
        <v>42.895696500000028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-69.019220364061695</v>
      </c>
      <c r="T68" s="84">
        <f t="shared" si="9"/>
        <v>119.54479636934737</v>
      </c>
      <c r="U68" s="81">
        <f t="shared" si="11"/>
        <v>264.13721926530297</v>
      </c>
      <c r="V68" s="84">
        <f t="shared" si="6"/>
        <v>3.98004706603921</v>
      </c>
      <c r="W68" s="84">
        <f t="shared" si="15"/>
        <v>4.4570467372814706</v>
      </c>
      <c r="X68" s="84">
        <f t="shared" si="8"/>
        <v>5.9570467372814706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15</v>
      </c>
      <c r="B69" s="80" t="s">
        <v>133</v>
      </c>
      <c r="C69" s="80">
        <v>0</v>
      </c>
      <c r="D69" s="80">
        <v>10.199999999999998</v>
      </c>
      <c r="E69" s="81">
        <v>0</v>
      </c>
      <c r="F69" s="81">
        <v>0</v>
      </c>
      <c r="G69" s="81">
        <f t="shared" si="1"/>
        <v>0</v>
      </c>
      <c r="H69" s="84">
        <f t="shared" si="2"/>
        <v>24.735915000000023</v>
      </c>
      <c r="I69" s="81">
        <v>0</v>
      </c>
      <c r="J69" s="81">
        <f t="shared" si="3"/>
        <v>33.393485250000033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-63.490849084463299</v>
      </c>
      <c r="T69" s="84">
        <f t="shared" si="9"/>
        <v>109.96937642997837</v>
      </c>
      <c r="U69" s="81">
        <f t="shared" si="11"/>
        <v>276.58526518648267</v>
      </c>
      <c r="V69" s="84">
        <f t="shared" si="6"/>
        <v>3.98004706603921</v>
      </c>
      <c r="W69" s="84">
        <f t="shared" si="15"/>
        <v>3.8430097054550774</v>
      </c>
      <c r="X69" s="84">
        <f t="shared" si="8"/>
        <v>5.4800470660392104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16</v>
      </c>
      <c r="B70" s="80" t="s">
        <v>133</v>
      </c>
      <c r="C70" s="80">
        <v>0</v>
      </c>
      <c r="D70" s="80">
        <v>10.899999999999997</v>
      </c>
      <c r="E70" s="81">
        <v>0</v>
      </c>
      <c r="F70" s="81">
        <v>0</v>
      </c>
      <c r="G70" s="81">
        <f t="shared" si="1"/>
        <v>0</v>
      </c>
      <c r="H70" s="84">
        <f t="shared" si="2"/>
        <v>17.697240000000033</v>
      </c>
      <c r="I70" s="81">
        <v>0</v>
      </c>
      <c r="J70" s="81">
        <f t="shared" si="3"/>
        <v>23.891274000000045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-57.043832969999997</v>
      </c>
      <c r="T70" s="84">
        <f t="shared" si="9"/>
        <v>98.802816962512637</v>
      </c>
      <c r="U70" s="81">
        <f t="shared" si="11"/>
        <v>291.10179249418809</v>
      </c>
      <c r="V70" s="84">
        <f t="shared" si="6"/>
        <v>3.98004706603921</v>
      </c>
      <c r="W70" s="84">
        <f t="shared" si="15"/>
        <v>3.1684900064132844</v>
      </c>
      <c r="X70" s="84">
        <f t="shared" si="8"/>
        <v>5.4800470660392104</v>
      </c>
      <c r="Y70" s="140" ph="1">
        <v>16</v>
      </c>
      <c r="Z70" s="84" t="str">
        <f t="shared" si="5"/>
        <v>OK</v>
      </c>
    </row>
    <row r="71" spans="1:26" ht="15" customHeight="1" x14ac:dyDescent="0.45"/>
    <row r="72" spans="1:26" ht="15" customHeight="1" x14ac:dyDescent="0.45">
      <c r="A72" s="4" t="s">
        <v>134</v>
      </c>
    </row>
    <row r="73" spans="1:26" ht="15" customHeight="1" x14ac:dyDescent="0.45">
      <c r="A73" s="4" t="s">
        <v>135</v>
      </c>
    </row>
    <row r="74" spans="1:26" ht="15" customHeight="1" x14ac:dyDescent="0.45">
      <c r="A74" s="4" t="s">
        <v>263</v>
      </c>
    </row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7:Z70">
    <cfRule type="cellIs" dxfId="37" priority="4" operator="equal">
      <formula>"N.G"</formula>
    </cfRule>
  </conditionalFormatting>
  <conditionalFormatting sqref="Z23:Z30">
    <cfRule type="cellIs" dxfId="32" priority="3" operator="equal">
      <formula>"N.G"</formula>
    </cfRule>
  </conditionalFormatting>
  <conditionalFormatting sqref="Z31:Z43">
    <cfRule type="cellIs" dxfId="31" priority="2" operator="equal">
      <formula>"N.G"</formula>
    </cfRule>
  </conditionalFormatting>
  <conditionalFormatting sqref="Z44:Z46">
    <cfRule type="cellIs" dxfId="3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84"/>
  <sheetViews>
    <sheetView showGridLines="0" topLeftCell="A22" zoomScale="130" zoomScaleNormal="130" workbookViewId="0">
      <selection activeCell="A44" sqref="A44:Z4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4">
        <f>'Global Strength'!F10</f>
        <v>731745</v>
      </c>
      <c r="N11" s="324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5">
        <f>'Global Strength'!F6</f>
        <v>20.13</v>
      </c>
      <c r="N12" s="325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5">
        <f>'Global Strength'!F5</f>
        <v>5.141</v>
      </c>
      <c r="N13" s="325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4"/>
      <c r="N14" s="324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4">
        <f>'Global Strength'!F27</f>
        <v>42798</v>
      </c>
      <c r="N15" s="324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5" si="0">$M$11/ABS(($M$12/(D23-$M$13)))/1000</f>
        <v>186.8803301043219</v>
      </c>
      <c r="R23" s="292">
        <v>0</v>
      </c>
      <c r="S23" s="292">
        <v>-23</v>
      </c>
      <c r="T23" s="290">
        <f t="shared" ref="T23:T24" si="1">SQRT(Q23^2+R23^2-Q23*R23+3*S23^2)</f>
        <v>191.07919243052163</v>
      </c>
      <c r="U23" s="289">
        <f>MIN(K23/$F$7,1.3*(K23/$F$7-T23))</f>
        <v>171.14250438577639</v>
      </c>
      <c r="V23" s="290">
        <f>14.3*$F$8/SQRT(K23/$F$7)</f>
        <v>3.98004706603921</v>
      </c>
      <c r="W23" s="290">
        <f>15.8*N23*L23*SQRT(J23)/SQRT(U23*P23)</f>
        <v>11.874616219394074</v>
      </c>
      <c r="X23" s="290">
        <f>MAX(V23,W23)+O23</f>
        <v>13.374616219394074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8" si="2">E24*$F$18+F24*$F$17</f>
        <v>0</v>
      </c>
      <c r="H24" s="186">
        <f t="shared" ref="H24:H68" si="3">1.025*9.81*(($F$10+0.76)-D24)</f>
        <v>127.29946499999998</v>
      </c>
      <c r="I24" s="185">
        <v>0</v>
      </c>
      <c r="J24" s="185">
        <f t="shared" ref="J24:J68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186.8803301043219</v>
      </c>
      <c r="R24" s="188">
        <v>0</v>
      </c>
      <c r="S24" s="188">
        <v>-10.4</v>
      </c>
      <c r="T24" s="186">
        <f t="shared" si="1"/>
        <v>187.74647208376598</v>
      </c>
      <c r="U24" s="185">
        <f>MIN(K24/$F$7,1.3*(K24/$F$7-T24))</f>
        <v>175.47504083655872</v>
      </c>
      <c r="V24" s="186">
        <f>14.3*$F$8/SQRT(K24/$F$7)</f>
        <v>3.98004706603921</v>
      </c>
      <c r="W24" s="186">
        <f>15.8*N24*L24*SQRT(J24)/SQRT(U24*P24)</f>
        <v>11.727105919926084</v>
      </c>
      <c r="X24" s="186">
        <f>MAX(V24,W24)+O24</f>
        <v>13.227105919926084</v>
      </c>
      <c r="Y24" s="189">
        <v>16</v>
      </c>
      <c r="Z24" s="190" t="str">
        <f t="shared" ref="Z24:Z68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186.8803301043219</v>
      </c>
      <c r="R25" s="188">
        <v>0</v>
      </c>
      <c r="S25" s="188">
        <v>2.2000000000000002</v>
      </c>
      <c r="T25" s="186">
        <f>SQRT(Q25^2+R25^2-Q25*R25+3*S25^2)</f>
        <v>186.91917445757221</v>
      </c>
      <c r="U25" s="185">
        <f>MIN(K25/$F$7,1.3*(K25/$F$7-T25))</f>
        <v>176.55052775061063</v>
      </c>
      <c r="V25" s="186">
        <f t="shared" ref="V25:V68" si="6">14.3*$F$8/SQRT(K25/$F$7)</f>
        <v>3.98004706603921</v>
      </c>
      <c r="W25" s="186">
        <f t="shared" ref="W25:W30" si="7">15.8*N25*L25*SQRT(J25)/SQRT(U25*P25)</f>
        <v>11.691332548416682</v>
      </c>
      <c r="X25" s="186">
        <f t="shared" ref="X25:X68" si="8">MAX(V25,W25)+O25</f>
        <v>13.191332548416682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186.8803301043219</v>
      </c>
      <c r="R26" s="228">
        <v>0</v>
      </c>
      <c r="S26" s="228">
        <v>14.7</v>
      </c>
      <c r="T26" s="226">
        <f t="shared" ref="T26:T68" si="9">SQRT(Q26^2+R26^2-Q26*R26+3*S26^2)</f>
        <v>188.60680735302296</v>
      </c>
      <c r="U26" s="225">
        <f>MIN(K26/$F$7,1.3*(K26/$F$7-T26))</f>
        <v>174.35660498652467</v>
      </c>
      <c r="V26" s="226">
        <f t="shared" si="6"/>
        <v>3.98004706603921</v>
      </c>
      <c r="W26" s="226">
        <f t="shared" si="7"/>
        <v>11.764658409615217</v>
      </c>
      <c r="X26" s="226">
        <f>MAX(V26,W26)+O26</f>
        <v>13.264658409615217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186.8803301043219</v>
      </c>
      <c r="R27" s="220">
        <v>0</v>
      </c>
      <c r="S27" s="220">
        <v>27.3</v>
      </c>
      <c r="T27" s="218">
        <f t="shared" si="9"/>
        <v>192.76962359225666</v>
      </c>
      <c r="U27" s="217">
        <f>MIN(K27/$F$7,1.3*(K27/$F$7-T27))</f>
        <v>168.94494387552083</v>
      </c>
      <c r="V27" s="218">
        <f t="shared" si="6"/>
        <v>3.98004706603921</v>
      </c>
      <c r="W27" s="218">
        <f t="shared" si="7"/>
        <v>11.951596553623025</v>
      </c>
      <c r="X27" s="218">
        <f t="shared" si="8"/>
        <v>13.451596553623025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186.8803301043219</v>
      </c>
      <c r="R28" s="188">
        <v>0</v>
      </c>
      <c r="S28" s="188">
        <v>39.799999999999997</v>
      </c>
      <c r="T28" s="186">
        <f t="shared" si="9"/>
        <v>199.18930136907534</v>
      </c>
      <c r="U28" s="185">
        <f t="shared" ref="U28:U30" si="10">MIN(K28/$F$7,1.3*(K28/$F$7-T28))</f>
        <v>160.59936276565656</v>
      </c>
      <c r="V28" s="186">
        <f t="shared" si="6"/>
        <v>3.98004706603921</v>
      </c>
      <c r="W28" s="186">
        <f t="shared" si="7"/>
        <v>12.258197519033722</v>
      </c>
      <c r="X28" s="186">
        <f t="shared" si="8"/>
        <v>13.758197519033722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186.8803301043219</v>
      </c>
      <c r="R29" s="188">
        <v>0</v>
      </c>
      <c r="S29" s="188">
        <v>52.4</v>
      </c>
      <c r="T29" s="186">
        <f t="shared" si="9"/>
        <v>207.75355058313761</v>
      </c>
      <c r="U29" s="185">
        <f t="shared" si="10"/>
        <v>149.46583878737562</v>
      </c>
      <c r="V29" s="186">
        <f t="shared" si="6"/>
        <v>3.98004706603921</v>
      </c>
      <c r="W29" s="186">
        <f t="shared" si="7"/>
        <v>12.706547139650224</v>
      </c>
      <c r="X29" s="186">
        <f t="shared" si="8"/>
        <v>14.206547139650224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186.8803301043219</v>
      </c>
      <c r="R30" s="212">
        <v>0</v>
      </c>
      <c r="S30" s="212">
        <v>60.4</v>
      </c>
      <c r="T30" s="210">
        <f t="shared" si="9"/>
        <v>214.16988065528801</v>
      </c>
      <c r="U30" s="209">
        <f t="shared" si="10"/>
        <v>141.12460969358008</v>
      </c>
      <c r="V30" s="210">
        <f t="shared" si="6"/>
        <v>3.98004706603921</v>
      </c>
      <c r="W30" s="210">
        <f t="shared" si="7"/>
        <v>13.076669482088878</v>
      </c>
      <c r="X30" s="210">
        <f t="shared" si="8"/>
        <v>14.576669482088878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186.8803301043219</v>
      </c>
      <c r="R31" s="236">
        <v>0</v>
      </c>
      <c r="S31" s="236">
        <v>60.4</v>
      </c>
      <c r="T31" s="233">
        <f>SQRT(Q31^2+R31^2-Q31*R31+3*S31^2)</f>
        <v>214.16988065528801</v>
      </c>
      <c r="U31" s="234">
        <f>MIN(K31/$F$7,1.3*(K31/$F$7-T31))</f>
        <v>141.12460969358008</v>
      </c>
      <c r="V31" s="233">
        <f>14.3*$F$8/SQRT(K31/$F$7)</f>
        <v>3.98004706603921</v>
      </c>
      <c r="W31" s="233">
        <f>15.8*N31*L31*SQRT(J31)/SQRT(U31*P31)</f>
        <v>12.204891516616286</v>
      </c>
      <c r="X31" s="233">
        <f t="shared" si="8"/>
        <v>13.704891516616286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161.43465201192251</v>
      </c>
      <c r="R32" s="196">
        <v>0</v>
      </c>
      <c r="S32" s="196">
        <v>70.7</v>
      </c>
      <c r="T32" s="193">
        <f t="shared" si="9"/>
        <v>202.62432447811028</v>
      </c>
      <c r="U32" s="194">
        <f t="shared" ref="U32:U68" si="11">MIN(K32/$F$7,1.3*(K32/$F$7-T32))</f>
        <v>156.13383272391113</v>
      </c>
      <c r="V32" s="193">
        <f t="shared" si="6"/>
        <v>3.98004706603921</v>
      </c>
      <c r="W32" s="193">
        <f t="shared" ref="W32:W53" si="12">15.8*N32*L32*SQRT(J32)/SQRT(U32*P32)</f>
        <v>11.278089248922436</v>
      </c>
      <c r="X32" s="193">
        <f t="shared" si="8"/>
        <v>12.778089248922436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135.98897391952312</v>
      </c>
      <c r="R33" s="196">
        <v>0</v>
      </c>
      <c r="S33" s="196">
        <v>79.400000000000006</v>
      </c>
      <c r="T33" s="193">
        <f t="shared" si="9"/>
        <v>193.40651754189864</v>
      </c>
      <c r="U33" s="194">
        <f t="shared" si="11"/>
        <v>168.11698174098629</v>
      </c>
      <c r="V33" s="193">
        <f t="shared" si="6"/>
        <v>3.98004706603921</v>
      </c>
      <c r="W33" s="193">
        <f t="shared" si="12"/>
        <v>10.545856334557898</v>
      </c>
      <c r="X33" s="193">
        <f t="shared" si="8"/>
        <v>12.045856334557898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110.54329582712371</v>
      </c>
      <c r="R34" s="196">
        <v>0</v>
      </c>
      <c r="S34" s="196">
        <v>86.6</v>
      </c>
      <c r="T34" s="193">
        <f t="shared" si="9"/>
        <v>186.32901076408629</v>
      </c>
      <c r="U34" s="194">
        <f t="shared" si="11"/>
        <v>177.31774055214234</v>
      </c>
      <c r="V34" s="193">
        <f t="shared" si="6"/>
        <v>3.98004706603921</v>
      </c>
      <c r="W34" s="193">
        <f t="shared" si="12"/>
        <v>9.9443021683315465</v>
      </c>
      <c r="X34" s="193">
        <f t="shared" si="8"/>
        <v>11.444302168331546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1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85.097617734724295</v>
      </c>
      <c r="R35" s="284">
        <v>0</v>
      </c>
      <c r="S35" s="284">
        <v>91.6</v>
      </c>
      <c r="T35" s="281">
        <f t="shared" si="9"/>
        <v>180.03689772967448</v>
      </c>
      <c r="U35" s="282">
        <f t="shared" si="11"/>
        <v>185.49748749687768</v>
      </c>
      <c r="V35" s="281">
        <f t="shared" si="6"/>
        <v>3.98004706603921</v>
      </c>
      <c r="W35" s="281">
        <f t="shared" si="12"/>
        <v>9.3948075746399518</v>
      </c>
      <c r="X35" s="281">
        <f t="shared" si="8"/>
        <v>10.894807574639952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59.651939642324891</v>
      </c>
      <c r="R36" s="252">
        <v>0</v>
      </c>
      <c r="S36" s="252">
        <v>95.3</v>
      </c>
      <c r="T36" s="249">
        <f t="shared" si="9"/>
        <v>175.51246081999867</v>
      </c>
      <c r="U36" s="250">
        <f t="shared" si="11"/>
        <v>191.37925547945625</v>
      </c>
      <c r="V36" s="249">
        <f t="shared" si="6"/>
        <v>3.98004706603921</v>
      </c>
      <c r="W36" s="249">
        <f t="shared" si="12"/>
        <v>8.9149467633099526</v>
      </c>
      <c r="X36" s="249">
        <f t="shared" si="8"/>
        <v>10.414946763309953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34.206261549925472</v>
      </c>
      <c r="R37" s="196">
        <v>0</v>
      </c>
      <c r="S37" s="196">
        <v>97.700000000000202</v>
      </c>
      <c r="T37" s="193">
        <f t="shared" si="9"/>
        <v>172.64396406831614</v>
      </c>
      <c r="U37" s="194">
        <f t="shared" si="11"/>
        <v>195.10830125664353</v>
      </c>
      <c r="V37" s="193">
        <f t="shared" si="6"/>
        <v>3.98004706603921</v>
      </c>
      <c r="W37" s="193">
        <f t="shared" si="12"/>
        <v>8.4852717432694131</v>
      </c>
      <c r="X37" s="193">
        <f t="shared" si="8"/>
        <v>9.9852717432694131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8.760583457526069</v>
      </c>
      <c r="R38" s="196">
        <v>0</v>
      </c>
      <c r="S38" s="196">
        <v>98.7</v>
      </c>
      <c r="T38" s="193">
        <f t="shared" si="9"/>
        <v>171.17773752014682</v>
      </c>
      <c r="U38" s="194">
        <f t="shared" si="11"/>
        <v>197.01439576926364</v>
      </c>
      <c r="V38" s="193">
        <f t="shared" si="6"/>
        <v>3.98004706603921</v>
      </c>
      <c r="W38" s="193">
        <f t="shared" si="12"/>
        <v>8.0872399276038962</v>
      </c>
      <c r="X38" s="193">
        <f t="shared" si="8"/>
        <v>9.5872399276038962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16.685094634873341</v>
      </c>
      <c r="R39" s="284">
        <v>0</v>
      </c>
      <c r="S39" s="284">
        <v>97.6</v>
      </c>
      <c r="T39" s="281">
        <f t="shared" si="9"/>
        <v>169.86957462410587</v>
      </c>
      <c r="U39" s="282">
        <f t="shared" si="11"/>
        <v>198.71500753411689</v>
      </c>
      <c r="V39" s="281">
        <f t="shared" si="6"/>
        <v>3.98004706603921</v>
      </c>
      <c r="W39" s="281">
        <f t="shared" si="12"/>
        <v>7.6807824501478379</v>
      </c>
      <c r="X39" s="281">
        <f t="shared" si="8"/>
        <v>9.1807824501478379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42.130772727272756</v>
      </c>
      <c r="R40" s="252">
        <v>0</v>
      </c>
      <c r="S40" s="252">
        <v>95.9</v>
      </c>
      <c r="T40" s="249">
        <f t="shared" si="9"/>
        <v>171.36345004287557</v>
      </c>
      <c r="U40" s="250">
        <f t="shared" si="11"/>
        <v>196.77296948971627</v>
      </c>
      <c r="V40" s="249">
        <f t="shared" si="6"/>
        <v>3.98004706603921</v>
      </c>
      <c r="W40" s="249">
        <f t="shared" si="12"/>
        <v>7.3259556573736626</v>
      </c>
      <c r="X40" s="249">
        <f t="shared" si="8"/>
        <v>8.8259556573736617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67.576450819672175</v>
      </c>
      <c r="R41" s="196">
        <v>0</v>
      </c>
      <c r="S41" s="196">
        <v>93.065362534187003</v>
      </c>
      <c r="T41" s="193">
        <f t="shared" si="9"/>
        <v>174.78575976389652</v>
      </c>
      <c r="U41" s="194">
        <f t="shared" si="11"/>
        <v>192.32396685238902</v>
      </c>
      <c r="V41" s="193">
        <f t="shared" si="6"/>
        <v>3.98004706603921</v>
      </c>
      <c r="W41" s="193">
        <f t="shared" si="12"/>
        <v>6.9905276708427815</v>
      </c>
      <c r="X41" s="193">
        <f t="shared" si="8"/>
        <v>8.4905276708427806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>D43-0.7</f>
        <v>7.8</v>
      </c>
      <c r="E42" s="194">
        <v>0</v>
      </c>
      <c r="F42" s="194">
        <v>0</v>
      </c>
      <c r="G42" s="194">
        <f t="shared" si="2"/>
        <v>0</v>
      </c>
      <c r="H42" s="193">
        <f t="shared" si="3"/>
        <v>48.868515000000002</v>
      </c>
      <c r="I42" s="194">
        <v>0</v>
      </c>
      <c r="J42" s="194">
        <f t="shared" si="4"/>
        <v>65.972495250000009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96.657225782414301</v>
      </c>
      <c r="R42" s="196">
        <v>0</v>
      </c>
      <c r="S42" s="196">
        <v>87.7</v>
      </c>
      <c r="T42" s="193">
        <f t="shared" si="9"/>
        <v>180.04579777365709</v>
      </c>
      <c r="U42" s="194">
        <f t="shared" si="11"/>
        <v>185.4859174397003</v>
      </c>
      <c r="V42" s="193">
        <f t="shared" si="6"/>
        <v>3.98004706603921</v>
      </c>
      <c r="W42" s="193">
        <f t="shared" si="12"/>
        <v>6.5960070475840791</v>
      </c>
      <c r="X42" s="193">
        <f t="shared" si="8"/>
        <v>8.0960070475840791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>D44-0.7</f>
        <v>8.5</v>
      </c>
      <c r="E43" s="242">
        <v>0</v>
      </c>
      <c r="F43" s="242">
        <v>0</v>
      </c>
      <c r="G43" s="242">
        <f t="shared" si="2"/>
        <v>0</v>
      </c>
      <c r="H43" s="241">
        <f t="shared" si="3"/>
        <v>41.829839999999997</v>
      </c>
      <c r="I43" s="242">
        <v>0</v>
      </c>
      <c r="J43" s="242">
        <f t="shared" si="4"/>
        <v>56.470283999999999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122.10290387481372</v>
      </c>
      <c r="R43" s="244">
        <v>0</v>
      </c>
      <c r="S43" s="244">
        <v>64.8</v>
      </c>
      <c r="T43" s="241">
        <f t="shared" si="9"/>
        <v>165.85005014971205</v>
      </c>
      <c r="U43" s="242">
        <f t="shared" si="11"/>
        <v>203.94038935082884</v>
      </c>
      <c r="V43" s="241">
        <f t="shared" si="6"/>
        <v>3.98004706603921</v>
      </c>
      <c r="W43" s="241">
        <f t="shared" si="12"/>
        <v>5.819872774778001</v>
      </c>
      <c r="X43" s="241">
        <f t="shared" si="8"/>
        <v>7.319872774778001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v>9.1999999999999993</v>
      </c>
      <c r="E44" s="250">
        <v>0</v>
      </c>
      <c r="F44" s="250">
        <v>0</v>
      </c>
      <c r="G44" s="250">
        <f t="shared" si="2"/>
        <v>0</v>
      </c>
      <c r="H44" s="249">
        <f t="shared" si="3"/>
        <v>34.791165000000007</v>
      </c>
      <c r="I44" s="250">
        <v>0</v>
      </c>
      <c r="J44" s="250">
        <f t="shared" si="4"/>
        <v>46.968072750000012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147.5485819672131</v>
      </c>
      <c r="R44" s="252">
        <v>0</v>
      </c>
      <c r="S44" s="252">
        <v>57.899999999999899</v>
      </c>
      <c r="T44" s="249">
        <f t="shared" si="9"/>
        <v>178.40351465297809</v>
      </c>
      <c r="U44" s="250">
        <f t="shared" si="11"/>
        <v>187.62088549658299</v>
      </c>
      <c r="V44" s="249">
        <f t="shared" si="6"/>
        <v>3.98004706603921</v>
      </c>
      <c r="W44" s="249">
        <f t="shared" si="12"/>
        <v>5.5337037641431337</v>
      </c>
      <c r="X44" s="249">
        <f t="shared" si="8"/>
        <v>7.0337037641431337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v>9.9</v>
      </c>
      <c r="E45" s="194">
        <v>0</v>
      </c>
      <c r="F45" s="194">
        <v>0</v>
      </c>
      <c r="G45" s="194">
        <f t="shared" si="2"/>
        <v>0</v>
      </c>
      <c r="H45" s="193">
        <f t="shared" si="3"/>
        <v>27.752489999999995</v>
      </c>
      <c r="I45" s="194">
        <v>0</v>
      </c>
      <c r="J45" s="194">
        <f t="shared" si="4"/>
        <v>37.465861499999995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172.99426005961254</v>
      </c>
      <c r="R45" s="196">
        <v>0</v>
      </c>
      <c r="S45" s="196">
        <v>51.5</v>
      </c>
      <c r="T45" s="193">
        <f t="shared" si="9"/>
        <v>194.63751954228368</v>
      </c>
      <c r="U45" s="194">
        <f t="shared" si="11"/>
        <v>166.51667914048571</v>
      </c>
      <c r="V45" s="193">
        <f t="shared" si="6"/>
        <v>3.98004706603921</v>
      </c>
      <c r="W45" s="193">
        <f t="shared" si="12"/>
        <v>5.2461912417594156</v>
      </c>
      <c r="X45" s="193">
        <f t="shared" si="8"/>
        <v>6.7461912417594156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75">
        <v>1</v>
      </c>
      <c r="B46" s="75" t="s">
        <v>132</v>
      </c>
      <c r="C46" s="92">
        <v>0.75</v>
      </c>
      <c r="D46" s="75">
        <v>9.9</v>
      </c>
      <c r="E46" s="76">
        <v>0</v>
      </c>
      <c r="F46" s="76">
        <v>0</v>
      </c>
      <c r="G46" s="76">
        <f t="shared" si="2"/>
        <v>0</v>
      </c>
      <c r="H46" s="76">
        <f t="shared" si="3"/>
        <v>27.752489999999995</v>
      </c>
      <c r="I46" s="76">
        <v>0</v>
      </c>
      <c r="J46" s="76">
        <f t="shared" si="4"/>
        <v>37.465861499999995</v>
      </c>
      <c r="K46" s="76">
        <v>355</v>
      </c>
      <c r="L46" s="77">
        <v>0.75</v>
      </c>
      <c r="M46" s="77">
        <v>4</v>
      </c>
      <c r="N46" s="78">
        <v>1</v>
      </c>
      <c r="O46" s="78">
        <v>1.5</v>
      </c>
      <c r="P46" s="78">
        <v>1</v>
      </c>
      <c r="Q46" s="78">
        <f>$M$11/ABS(($M$12/(D46-$M$13)))/1000</f>
        <v>172.99426005961254</v>
      </c>
      <c r="R46" s="78">
        <v>0</v>
      </c>
      <c r="S46" s="78">
        <v>-24</v>
      </c>
      <c r="T46" s="79">
        <f t="shared" si="9"/>
        <v>177.91856005929469</v>
      </c>
      <c r="U46" s="76">
        <f t="shared" si="11"/>
        <v>188.25132646837142</v>
      </c>
      <c r="V46" s="79">
        <f t="shared" si="6"/>
        <v>3.98004706603921</v>
      </c>
      <c r="W46" s="79">
        <f>15.8*N46*L46*SQRT(J46)/SQRT(U46*P46)</f>
        <v>5.2864872546881703</v>
      </c>
      <c r="X46" s="79">
        <f t="shared" si="8"/>
        <v>6.7864872546881703</v>
      </c>
      <c r="Y46" s="181" ph="1">
        <v>20</v>
      </c>
      <c r="Z46" s="79" t="str">
        <f t="shared" si="5"/>
        <v>OK</v>
      </c>
    </row>
    <row r="47" spans="1:26" ht="15" customHeight="1" x14ac:dyDescent="0.3">
      <c r="A47" s="75">
        <v>2</v>
      </c>
      <c r="B47" s="75" t="s">
        <v>132</v>
      </c>
      <c r="C47" s="92">
        <v>1.5</v>
      </c>
      <c r="D47" s="75">
        <v>9.9</v>
      </c>
      <c r="E47" s="76">
        <v>0</v>
      </c>
      <c r="F47" s="76">
        <v>0</v>
      </c>
      <c r="G47" s="76">
        <f t="shared" si="2"/>
        <v>0</v>
      </c>
      <c r="H47" s="76">
        <f t="shared" si="3"/>
        <v>27.752489999999995</v>
      </c>
      <c r="I47" s="76">
        <v>0</v>
      </c>
      <c r="J47" s="76">
        <f t="shared" si="4"/>
        <v>37.465861499999995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 t="shared" ref="Q47:Q53" si="14">$M$11/ABS(($M$12/(D47-$M$13)))/1000</f>
        <v>172.99426005961254</v>
      </c>
      <c r="R47" s="78">
        <v>0</v>
      </c>
      <c r="S47" s="78">
        <v>-13.2</v>
      </c>
      <c r="T47" s="79">
        <f t="shared" si="9"/>
        <v>174.49852152259874</v>
      </c>
      <c r="U47" s="76">
        <f t="shared" si="11"/>
        <v>192.69737656607614</v>
      </c>
      <c r="V47" s="79">
        <f t="shared" si="6"/>
        <v>3.98004706603921</v>
      </c>
      <c r="W47" s="79">
        <f t="shared" si="12"/>
        <v>5.2251445687723708</v>
      </c>
      <c r="X47" s="79">
        <f t="shared" si="8"/>
        <v>6.7251445687723708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3</v>
      </c>
      <c r="B48" s="75" t="s">
        <v>132</v>
      </c>
      <c r="C48" s="92">
        <v>2.25</v>
      </c>
      <c r="D48" s="75">
        <v>9.9</v>
      </c>
      <c r="E48" s="76">
        <v>0</v>
      </c>
      <c r="F48" s="76">
        <v>0</v>
      </c>
      <c r="G48" s="76">
        <f t="shared" si="2"/>
        <v>0</v>
      </c>
      <c r="H48" s="76">
        <f t="shared" si="3"/>
        <v>27.752489999999995</v>
      </c>
      <c r="I48" s="76">
        <v>0</v>
      </c>
      <c r="J48" s="76">
        <f t="shared" si="4"/>
        <v>37.465861499999995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si="14"/>
        <v>172.99426005961254</v>
      </c>
      <c r="R48" s="78">
        <v>0</v>
      </c>
      <c r="S48" s="78">
        <v>-2.4</v>
      </c>
      <c r="T48" s="79">
        <f t="shared" si="9"/>
        <v>173.04419670584983</v>
      </c>
      <c r="U48" s="76">
        <f t="shared" si="11"/>
        <v>194.58799882784973</v>
      </c>
      <c r="V48" s="79">
        <f t="shared" si="6"/>
        <v>3.98004706603921</v>
      </c>
      <c r="W48" s="79">
        <f t="shared" si="12"/>
        <v>5.1996987869242597</v>
      </c>
      <c r="X48" s="79">
        <f t="shared" si="8"/>
        <v>6.6996987869242597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4</v>
      </c>
      <c r="B49" s="75" t="s">
        <v>132</v>
      </c>
      <c r="C49" s="92">
        <v>3</v>
      </c>
      <c r="D49" s="75">
        <v>9.9</v>
      </c>
      <c r="E49" s="76">
        <v>0</v>
      </c>
      <c r="F49" s="76">
        <v>0</v>
      </c>
      <c r="G49" s="76">
        <f t="shared" si="2"/>
        <v>0</v>
      </c>
      <c r="H49" s="76">
        <f t="shared" si="3"/>
        <v>27.752489999999995</v>
      </c>
      <c r="I49" s="76">
        <v>0</v>
      </c>
      <c r="J49" s="76">
        <f t="shared" si="4"/>
        <v>37.465861499999995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172.99426005961254</v>
      </c>
      <c r="R49" s="78">
        <v>0</v>
      </c>
      <c r="S49" s="78">
        <v>8.4</v>
      </c>
      <c r="T49" s="79">
        <f t="shared" si="9"/>
        <v>173.60499420688581</v>
      </c>
      <c r="U49" s="76">
        <f t="shared" si="11"/>
        <v>193.85896207650296</v>
      </c>
      <c r="V49" s="79">
        <f t="shared" si="6"/>
        <v>3.98004706603921</v>
      </c>
      <c r="W49" s="79">
        <f t="shared" si="12"/>
        <v>5.209466749700856</v>
      </c>
      <c r="X49" s="79">
        <f t="shared" si="8"/>
        <v>6.709466749700856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5</v>
      </c>
      <c r="B50" s="75" t="s">
        <v>132</v>
      </c>
      <c r="C50" s="92">
        <v>3.75</v>
      </c>
      <c r="D50" s="75">
        <v>9.9</v>
      </c>
      <c r="E50" s="76">
        <v>0</v>
      </c>
      <c r="F50" s="76">
        <v>0</v>
      </c>
      <c r="G50" s="76">
        <f t="shared" si="2"/>
        <v>0</v>
      </c>
      <c r="H50" s="76">
        <f t="shared" si="3"/>
        <v>27.752489999999995</v>
      </c>
      <c r="I50" s="76">
        <v>0</v>
      </c>
      <c r="J50" s="76">
        <f t="shared" si="4"/>
        <v>37.465861499999995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172.99426005961254</v>
      </c>
      <c r="R50" s="78">
        <v>0</v>
      </c>
      <c r="S50" s="78">
        <v>19.100000000000001</v>
      </c>
      <c r="T50" s="79">
        <f t="shared" si="9"/>
        <v>176.12905499540062</v>
      </c>
      <c r="U50" s="76">
        <f t="shared" si="11"/>
        <v>190.5776830514337</v>
      </c>
      <c r="V50" s="79">
        <f t="shared" si="6"/>
        <v>3.98004706603921</v>
      </c>
      <c r="W50" s="79">
        <f t="shared" si="12"/>
        <v>5.2541224576941348</v>
      </c>
      <c r="X50" s="79">
        <f t="shared" si="8"/>
        <v>6.7541224576941348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6</v>
      </c>
      <c r="B51" s="75" t="s">
        <v>132</v>
      </c>
      <c r="C51" s="92">
        <v>4.5</v>
      </c>
      <c r="D51" s="75">
        <v>9.9</v>
      </c>
      <c r="E51" s="76">
        <v>0</v>
      </c>
      <c r="F51" s="76">
        <v>0</v>
      </c>
      <c r="G51" s="76">
        <f t="shared" si="2"/>
        <v>0</v>
      </c>
      <c r="H51" s="76">
        <f t="shared" si="3"/>
        <v>27.752489999999995</v>
      </c>
      <c r="I51" s="76">
        <v>0</v>
      </c>
      <c r="J51" s="76">
        <f t="shared" si="4"/>
        <v>37.465861499999995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172.99426005961254</v>
      </c>
      <c r="R51" s="78">
        <v>0</v>
      </c>
      <c r="S51" s="78">
        <v>29.9</v>
      </c>
      <c r="T51" s="79">
        <f t="shared" si="9"/>
        <v>180.57974419511413</v>
      </c>
      <c r="U51" s="76">
        <f t="shared" si="11"/>
        <v>184.79178709180613</v>
      </c>
      <c r="V51" s="79">
        <f t="shared" si="6"/>
        <v>3.98004706603921</v>
      </c>
      <c r="W51" s="79">
        <f t="shared" si="12"/>
        <v>5.3357427048345762</v>
      </c>
      <c r="X51" s="79">
        <f t="shared" si="8"/>
        <v>6.8357427048345762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7</v>
      </c>
      <c r="B52" s="75" t="s">
        <v>132</v>
      </c>
      <c r="C52" s="92">
        <v>5.25</v>
      </c>
      <c r="D52" s="75">
        <v>9.9</v>
      </c>
      <c r="E52" s="76">
        <v>0</v>
      </c>
      <c r="F52" s="76">
        <v>0</v>
      </c>
      <c r="G52" s="76">
        <f t="shared" si="2"/>
        <v>0</v>
      </c>
      <c r="H52" s="76">
        <f t="shared" si="3"/>
        <v>27.752489999999995</v>
      </c>
      <c r="I52" s="76">
        <v>0</v>
      </c>
      <c r="J52" s="76">
        <f t="shared" si="4"/>
        <v>37.465861499999995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172.99426005961254</v>
      </c>
      <c r="R52" s="78">
        <v>0</v>
      </c>
      <c r="S52" s="78">
        <v>40.700000000000003</v>
      </c>
      <c r="T52" s="79">
        <f t="shared" si="9"/>
        <v>186.80600636374854</v>
      </c>
      <c r="U52" s="76">
        <f t="shared" si="11"/>
        <v>176.69764627258141</v>
      </c>
      <c r="V52" s="79">
        <f t="shared" si="6"/>
        <v>3.98004706603921</v>
      </c>
      <c r="W52" s="79">
        <f t="shared" si="12"/>
        <v>5.4565838059425023</v>
      </c>
      <c r="X52" s="79">
        <f t="shared" si="8"/>
        <v>6.9565838059425023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8</v>
      </c>
      <c r="B53" s="75" t="s">
        <v>132</v>
      </c>
      <c r="C53" s="92">
        <v>6</v>
      </c>
      <c r="D53" s="75">
        <v>9.9</v>
      </c>
      <c r="E53" s="76">
        <v>0</v>
      </c>
      <c r="F53" s="76">
        <v>0</v>
      </c>
      <c r="G53" s="76">
        <f t="shared" si="2"/>
        <v>0</v>
      </c>
      <c r="H53" s="76">
        <f t="shared" si="3"/>
        <v>27.752489999999995</v>
      </c>
      <c r="I53" s="76">
        <v>0</v>
      </c>
      <c r="J53" s="76">
        <f t="shared" si="4"/>
        <v>37.465861499999995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172.99426005961254</v>
      </c>
      <c r="R53" s="78">
        <v>0</v>
      </c>
      <c r="S53" s="78">
        <v>51.5</v>
      </c>
      <c r="T53" s="79">
        <f t="shared" si="9"/>
        <v>194.63751954228368</v>
      </c>
      <c r="U53" s="76">
        <f t="shared" si="11"/>
        <v>166.51667914048571</v>
      </c>
      <c r="V53" s="79">
        <f t="shared" si="6"/>
        <v>3.98004706603921</v>
      </c>
      <c r="W53" s="79">
        <f t="shared" si="12"/>
        <v>5.6209191875993749</v>
      </c>
      <c r="X53" s="79">
        <f t="shared" si="8"/>
        <v>7.1209191875993749</v>
      </c>
      <c r="Y53" s="181" ph="1">
        <v>20</v>
      </c>
      <c r="Z53" s="79" t="str">
        <f t="shared" si="5"/>
        <v>OK</v>
      </c>
    </row>
    <row r="54" spans="1:26" ht="15" customHeight="1" x14ac:dyDescent="0.3">
      <c r="A54" s="80">
        <v>1</v>
      </c>
      <c r="B54" s="80" t="s">
        <v>133</v>
      </c>
      <c r="C54" s="80">
        <v>0</v>
      </c>
      <c r="D54" s="80">
        <v>0</v>
      </c>
      <c r="E54" s="81">
        <v>0</v>
      </c>
      <c r="F54" s="81">
        <v>0</v>
      </c>
      <c r="G54" s="81">
        <f t="shared" si="2"/>
        <v>0</v>
      </c>
      <c r="H54" s="81">
        <f t="shared" si="3"/>
        <v>127.29946499999998</v>
      </c>
      <c r="I54" s="81">
        <v>0</v>
      </c>
      <c r="J54" s="81">
        <f t="shared" si="4"/>
        <v>171.85427774999999</v>
      </c>
      <c r="K54" s="81">
        <v>355</v>
      </c>
      <c r="L54" s="82">
        <v>0.7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71</v>
      </c>
      <c r="T54" s="84">
        <f t="shared" si="9"/>
        <v>122.97560733739029</v>
      </c>
      <c r="U54" s="81">
        <f t="shared" si="11"/>
        <v>259.67716500684713</v>
      </c>
      <c r="V54" s="84">
        <f t="shared" si="6"/>
        <v>3.98004706603921</v>
      </c>
      <c r="W54" s="84">
        <f>15.8*N54*L54*SQRT(J54)/SQRT(U54*P54)</f>
        <v>8.9974288261428033</v>
      </c>
      <c r="X54" s="84">
        <f t="shared" si="8"/>
        <v>10.497428826142803</v>
      </c>
      <c r="Y54" s="140" ph="1">
        <v>16</v>
      </c>
      <c r="Z54" s="84" t="str">
        <f t="shared" si="5"/>
        <v>OK</v>
      </c>
    </row>
    <row r="55" spans="1:26" ht="15" customHeight="1" x14ac:dyDescent="0.3">
      <c r="A55" s="80">
        <v>2</v>
      </c>
      <c r="B55" s="80" t="s">
        <v>133</v>
      </c>
      <c r="C55" s="80">
        <v>0</v>
      </c>
      <c r="D55" s="80">
        <v>0.7</v>
      </c>
      <c r="E55" s="81">
        <v>0</v>
      </c>
      <c r="F55" s="81">
        <v>0</v>
      </c>
      <c r="G55" s="81">
        <f t="shared" si="2"/>
        <v>0</v>
      </c>
      <c r="H55" s="81">
        <f t="shared" si="3"/>
        <v>120.26079</v>
      </c>
      <c r="I55" s="81">
        <v>0</v>
      </c>
      <c r="J55" s="81">
        <f t="shared" si="4"/>
        <v>162.35206650000001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81.3</v>
      </c>
      <c r="T55" s="84">
        <f t="shared" si="9"/>
        <v>140.81573065534971</v>
      </c>
      <c r="U55" s="81">
        <f t="shared" si="11"/>
        <v>236.48500469349989</v>
      </c>
      <c r="V55" s="84">
        <f t="shared" si="6"/>
        <v>3.98004706603921</v>
      </c>
      <c r="W55" s="84">
        <f>15.8*N55*L55*SQRT(J55)/SQRT(U55*P55)</f>
        <v>9.1639399270887587</v>
      </c>
      <c r="X55" s="84">
        <f t="shared" si="8"/>
        <v>10.663939927088759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3</v>
      </c>
      <c r="B56" s="80" t="s">
        <v>133</v>
      </c>
      <c r="C56" s="80">
        <v>0</v>
      </c>
      <c r="D56" s="80">
        <v>1.4</v>
      </c>
      <c r="E56" s="81">
        <v>0</v>
      </c>
      <c r="F56" s="81">
        <v>0</v>
      </c>
      <c r="G56" s="81">
        <f t="shared" si="2"/>
        <v>0</v>
      </c>
      <c r="H56" s="81">
        <f t="shared" si="3"/>
        <v>113.22211499999999</v>
      </c>
      <c r="I56" s="81">
        <v>0</v>
      </c>
      <c r="J56" s="81">
        <f t="shared" si="4"/>
        <v>152.84985524999999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90</v>
      </c>
      <c r="T56" s="84">
        <f t="shared" si="9"/>
        <v>155.88457268119896</v>
      </c>
      <c r="U56" s="81">
        <f t="shared" si="11"/>
        <v>216.89551005989586</v>
      </c>
      <c r="V56" s="84">
        <f t="shared" si="6"/>
        <v>3.98004706603921</v>
      </c>
      <c r="W56" s="84">
        <f t="shared" ref="W56:W68" si="15">15.8*N56*L56*SQRT(J56)/SQRT(U56*P56)</f>
        <v>9.284582123111635</v>
      </c>
      <c r="X56" s="84">
        <f t="shared" si="8"/>
        <v>10.784582123111635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4</v>
      </c>
      <c r="B57" s="80" t="s">
        <v>133</v>
      </c>
      <c r="C57" s="80">
        <v>0</v>
      </c>
      <c r="D57" s="80">
        <v>2.0999999999999996</v>
      </c>
      <c r="E57" s="81">
        <v>0</v>
      </c>
      <c r="F57" s="81">
        <v>0</v>
      </c>
      <c r="G57" s="81">
        <f t="shared" si="2"/>
        <v>0</v>
      </c>
      <c r="H57" s="81">
        <f t="shared" si="3"/>
        <v>106.18343999999999</v>
      </c>
      <c r="I57" s="81">
        <v>0</v>
      </c>
      <c r="J57" s="81">
        <f t="shared" si="4"/>
        <v>143.347644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97.2</v>
      </c>
      <c r="T57" s="84">
        <f t="shared" si="9"/>
        <v>168.35533849569487</v>
      </c>
      <c r="U57" s="81">
        <f t="shared" si="11"/>
        <v>200.68351450105118</v>
      </c>
      <c r="V57" s="84">
        <f t="shared" si="6"/>
        <v>3.98004706603921</v>
      </c>
      <c r="W57" s="84">
        <f t="shared" si="15"/>
        <v>9.3474802811064954</v>
      </c>
      <c r="X57" s="84">
        <f t="shared" si="8"/>
        <v>10.847480281106495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5</v>
      </c>
      <c r="B58" s="80" t="s">
        <v>133</v>
      </c>
      <c r="C58" s="80">
        <v>0</v>
      </c>
      <c r="D58" s="80">
        <v>2.8</v>
      </c>
      <c r="E58" s="81">
        <v>0</v>
      </c>
      <c r="F58" s="81">
        <v>0</v>
      </c>
      <c r="G58" s="81">
        <f t="shared" si="2"/>
        <v>0</v>
      </c>
      <c r="H58" s="81">
        <f t="shared" si="3"/>
        <v>99.144764999999992</v>
      </c>
      <c r="I58" s="81">
        <v>0</v>
      </c>
      <c r="J58" s="81">
        <f t="shared" si="4"/>
        <v>133.84543274999999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102.3</v>
      </c>
      <c r="T58" s="84">
        <f t="shared" si="9"/>
        <v>177.18879761429613</v>
      </c>
      <c r="U58" s="81">
        <f t="shared" si="11"/>
        <v>189.20001764686953</v>
      </c>
      <c r="V58" s="84">
        <f t="shared" si="6"/>
        <v>3.98004706603921</v>
      </c>
      <c r="W58" s="84">
        <f t="shared" si="15"/>
        <v>9.3024280317423447</v>
      </c>
      <c r="X58" s="84">
        <f t="shared" si="8"/>
        <v>10.802428031742345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6</v>
      </c>
      <c r="B59" s="80" t="s">
        <v>133</v>
      </c>
      <c r="C59" s="80">
        <v>0</v>
      </c>
      <c r="D59" s="80">
        <v>3.5</v>
      </c>
      <c r="E59" s="81">
        <v>0</v>
      </c>
      <c r="F59" s="81">
        <v>0</v>
      </c>
      <c r="G59" s="81">
        <f t="shared" si="2"/>
        <v>0</v>
      </c>
      <c r="H59" s="81">
        <f t="shared" si="3"/>
        <v>92.106089999999995</v>
      </c>
      <c r="I59" s="81">
        <v>0</v>
      </c>
      <c r="J59" s="81">
        <f t="shared" si="4"/>
        <v>124.3432215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106</v>
      </c>
      <c r="T59" s="84">
        <f t="shared" si="9"/>
        <v>183.59738560230099</v>
      </c>
      <c r="U59" s="81">
        <f t="shared" si="11"/>
        <v>180.86885326246323</v>
      </c>
      <c r="V59" s="84">
        <f t="shared" si="6"/>
        <v>3.98004706603921</v>
      </c>
      <c r="W59" s="84">
        <f t="shared" si="15"/>
        <v>9.1703158015607737</v>
      </c>
      <c r="X59" s="84">
        <f t="shared" si="8"/>
        <v>10.670315801560774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7</v>
      </c>
      <c r="B60" s="80" t="s">
        <v>133</v>
      </c>
      <c r="C60" s="80">
        <v>0</v>
      </c>
      <c r="D60" s="80">
        <v>4.2</v>
      </c>
      <c r="E60" s="81">
        <v>0</v>
      </c>
      <c r="F60" s="81">
        <v>0</v>
      </c>
      <c r="G60" s="81">
        <f t="shared" si="2"/>
        <v>0</v>
      </c>
      <c r="H60" s="81">
        <f t="shared" si="3"/>
        <v>85.067414999999997</v>
      </c>
      <c r="I60" s="81">
        <v>0</v>
      </c>
      <c r="J60" s="81">
        <f t="shared" si="4"/>
        <v>114.84101025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108.299999999999</v>
      </c>
      <c r="T60" s="84">
        <f t="shared" si="9"/>
        <v>187.58110245970769</v>
      </c>
      <c r="U60" s="81">
        <f t="shared" si="11"/>
        <v>175.69002134783452</v>
      </c>
      <c r="V60" s="84">
        <f t="shared" si="6"/>
        <v>3.98004706603921</v>
      </c>
      <c r="W60" s="84">
        <f t="shared" si="15"/>
        <v>8.9419056128390082</v>
      </c>
      <c r="X60" s="84">
        <f t="shared" si="8"/>
        <v>10.441905612839008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8</v>
      </c>
      <c r="B61" s="80" t="s">
        <v>133</v>
      </c>
      <c r="C61" s="80">
        <v>0</v>
      </c>
      <c r="D61" s="80">
        <v>4.9000000000000004</v>
      </c>
      <c r="E61" s="81">
        <v>0</v>
      </c>
      <c r="F61" s="81">
        <v>0</v>
      </c>
      <c r="G61" s="81">
        <f t="shared" si="2"/>
        <v>0</v>
      </c>
      <c r="H61" s="81">
        <f t="shared" si="3"/>
        <v>78.028739999999985</v>
      </c>
      <c r="I61" s="81">
        <v>0</v>
      </c>
      <c r="J61" s="81">
        <f t="shared" si="4"/>
        <v>105.33879899999998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109.3</v>
      </c>
      <c r="T61" s="84">
        <f t="shared" si="9"/>
        <v>189.3131532672783</v>
      </c>
      <c r="U61" s="81">
        <f t="shared" si="11"/>
        <v>173.43835529799273</v>
      </c>
      <c r="V61" s="84">
        <f t="shared" si="6"/>
        <v>3.98004706603921</v>
      </c>
      <c r="W61" s="84">
        <f t="shared" si="15"/>
        <v>8.619394036479914</v>
      </c>
      <c r="X61" s="84">
        <f t="shared" si="8"/>
        <v>10.119394036479914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9</v>
      </c>
      <c r="B62" s="80" t="s">
        <v>133</v>
      </c>
      <c r="C62" s="80">
        <v>0</v>
      </c>
      <c r="D62" s="80">
        <v>5.6000000000000005</v>
      </c>
      <c r="E62" s="81">
        <v>0</v>
      </c>
      <c r="F62" s="81">
        <v>0</v>
      </c>
      <c r="G62" s="81">
        <f t="shared" si="2"/>
        <v>0</v>
      </c>
      <c r="H62" s="81">
        <f t="shared" si="3"/>
        <v>70.990064999999987</v>
      </c>
      <c r="I62" s="81">
        <v>0</v>
      </c>
      <c r="J62" s="81">
        <f t="shared" si="4"/>
        <v>95.836587749999993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108.1</v>
      </c>
      <c r="T62" s="84">
        <f t="shared" si="9"/>
        <v>187.23469229819563</v>
      </c>
      <c r="U62" s="81">
        <f t="shared" si="11"/>
        <v>176.14035455780018</v>
      </c>
      <c r="V62" s="84">
        <f t="shared" si="6"/>
        <v>3.98004706603921</v>
      </c>
      <c r="W62" s="84">
        <f t="shared" si="15"/>
        <v>8.1581439663680921</v>
      </c>
      <c r="X62" s="84">
        <f t="shared" si="8"/>
        <v>9.6581439663680921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10</v>
      </c>
      <c r="B63" s="80" t="s">
        <v>133</v>
      </c>
      <c r="C63" s="80">
        <v>0</v>
      </c>
      <c r="D63" s="80">
        <v>6.3000000000000007</v>
      </c>
      <c r="E63" s="81">
        <v>0</v>
      </c>
      <c r="F63" s="81">
        <v>0</v>
      </c>
      <c r="G63" s="81">
        <f t="shared" si="2"/>
        <v>0</v>
      </c>
      <c r="H63" s="81">
        <f t="shared" si="3"/>
        <v>63.951389999999989</v>
      </c>
      <c r="I63" s="81">
        <v>0</v>
      </c>
      <c r="J63" s="81">
        <f t="shared" si="4"/>
        <v>86.334376499999991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106.4</v>
      </c>
      <c r="T63" s="84">
        <f t="shared" si="9"/>
        <v>184.29020592532856</v>
      </c>
      <c r="U63" s="81">
        <f t="shared" si="11"/>
        <v>179.96818684252736</v>
      </c>
      <c r="V63" s="84">
        <f t="shared" si="6"/>
        <v>3.98004706603921</v>
      </c>
      <c r="W63" s="84">
        <f t="shared" si="15"/>
        <v>7.6603592055358565</v>
      </c>
      <c r="X63" s="84">
        <f t="shared" si="8"/>
        <v>9.1603592055358565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11</v>
      </c>
      <c r="B64" s="80" t="s">
        <v>133</v>
      </c>
      <c r="C64" s="80">
        <v>0</v>
      </c>
      <c r="D64" s="80">
        <v>7.0000000000000009</v>
      </c>
      <c r="E64" s="81">
        <v>0</v>
      </c>
      <c r="F64" s="81">
        <v>0</v>
      </c>
      <c r="G64" s="81">
        <f t="shared" si="2"/>
        <v>0</v>
      </c>
      <c r="H64" s="81">
        <f t="shared" si="3"/>
        <v>56.912714999999984</v>
      </c>
      <c r="I64" s="81">
        <v>0</v>
      </c>
      <c r="J64" s="81">
        <f t="shared" si="4"/>
        <v>76.832165249999989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103.47134295908</v>
      </c>
      <c r="T64" s="84">
        <f t="shared" si="9"/>
        <v>179.21762313251079</v>
      </c>
      <c r="U64" s="81">
        <f t="shared" si="11"/>
        <v>186.56254447319048</v>
      </c>
      <c r="V64" s="84">
        <f t="shared" si="6"/>
        <v>3.98004706603921</v>
      </c>
      <c r="W64" s="84">
        <f t="shared" si="15"/>
        <v>7.0976476377768405</v>
      </c>
      <c r="X64" s="84">
        <f t="shared" si="8"/>
        <v>8.5976476377768414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12</v>
      </c>
      <c r="B65" s="80" t="s">
        <v>133</v>
      </c>
      <c r="C65" s="80">
        <v>0</v>
      </c>
      <c r="D65" s="80">
        <v>7.8</v>
      </c>
      <c r="E65" s="81">
        <v>0</v>
      </c>
      <c r="F65" s="81">
        <v>0</v>
      </c>
      <c r="G65" s="81">
        <f t="shared" si="2"/>
        <v>0</v>
      </c>
      <c r="H65" s="81">
        <f t="shared" si="3"/>
        <v>48.868515000000002</v>
      </c>
      <c r="I65" s="81">
        <v>0</v>
      </c>
      <c r="J65" s="81">
        <f t="shared" si="4"/>
        <v>65.972495250000009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98.199999999999903</v>
      </c>
      <c r="T65" s="84">
        <f t="shared" si="9"/>
        <v>170.08738930326359</v>
      </c>
      <c r="U65" s="81">
        <f t="shared" si="11"/>
        <v>198.43184845121183</v>
      </c>
      <c r="V65" s="84">
        <f t="shared" si="6"/>
        <v>3.98004706603921</v>
      </c>
      <c r="W65" s="84">
        <f t="shared" si="15"/>
        <v>6.3772125668622328</v>
      </c>
      <c r="X65" s="84">
        <f t="shared" si="8"/>
        <v>7.8772125668622328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13</v>
      </c>
      <c r="B66" s="80" t="s">
        <v>133</v>
      </c>
      <c r="C66" s="80">
        <v>0</v>
      </c>
      <c r="D66" s="80">
        <v>8.5</v>
      </c>
      <c r="E66" s="81">
        <v>0</v>
      </c>
      <c r="F66" s="81">
        <v>0</v>
      </c>
      <c r="G66" s="81">
        <f t="shared" si="2"/>
        <v>0</v>
      </c>
      <c r="H66" s="81">
        <f t="shared" si="3"/>
        <v>41.829839999999997</v>
      </c>
      <c r="I66" s="81">
        <v>0</v>
      </c>
      <c r="J66" s="81">
        <f t="shared" si="4"/>
        <v>56.470283999999999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92.199999999999903</v>
      </c>
      <c r="T66" s="84">
        <f t="shared" si="9"/>
        <v>159.69508445785033</v>
      </c>
      <c r="U66" s="81">
        <f t="shared" si="11"/>
        <v>211.94184475024909</v>
      </c>
      <c r="V66" s="84">
        <f t="shared" si="6"/>
        <v>3.98004706603921</v>
      </c>
      <c r="W66" s="84">
        <f t="shared" si="15"/>
        <v>5.7089568152632921</v>
      </c>
      <c r="X66" s="84">
        <f t="shared" si="8"/>
        <v>7.2089568152632921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14</v>
      </c>
      <c r="B67" s="80" t="s">
        <v>133</v>
      </c>
      <c r="C67" s="80">
        <v>0</v>
      </c>
      <c r="D67" s="80">
        <v>9.1999999999999993</v>
      </c>
      <c r="E67" s="81">
        <v>0</v>
      </c>
      <c r="F67" s="81">
        <v>0</v>
      </c>
      <c r="G67" s="81">
        <f t="shared" si="2"/>
        <v>0</v>
      </c>
      <c r="H67" s="81">
        <f t="shared" si="3"/>
        <v>34.791165000000007</v>
      </c>
      <c r="I67" s="81">
        <v>0</v>
      </c>
      <c r="J67" s="81">
        <f t="shared" si="4"/>
        <v>46.968072750000012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84.9</v>
      </c>
      <c r="T67" s="84">
        <f t="shared" si="9"/>
        <v>147.05111356259769</v>
      </c>
      <c r="U67" s="81">
        <f t="shared" si="11"/>
        <v>228.37900691407751</v>
      </c>
      <c r="V67" s="84">
        <f t="shared" si="6"/>
        <v>3.98004706603921</v>
      </c>
      <c r="W67" s="84">
        <f t="shared" si="15"/>
        <v>5.0156636717813239</v>
      </c>
      <c r="X67" s="84">
        <f t="shared" si="8"/>
        <v>6.5156636717813239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15</v>
      </c>
      <c r="B68" s="80" t="s">
        <v>133</v>
      </c>
      <c r="C68" s="80">
        <v>0</v>
      </c>
      <c r="D68" s="80">
        <v>9.9</v>
      </c>
      <c r="E68" s="81">
        <v>0</v>
      </c>
      <c r="F68" s="81">
        <v>0</v>
      </c>
      <c r="G68" s="81">
        <f t="shared" si="2"/>
        <v>0</v>
      </c>
      <c r="H68" s="81">
        <f t="shared" si="3"/>
        <v>27.752489999999995</v>
      </c>
      <c r="I68" s="81">
        <v>0</v>
      </c>
      <c r="J68" s="81">
        <f t="shared" si="4"/>
        <v>37.465861499999995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78.5</v>
      </c>
      <c r="T68" s="84">
        <f t="shared" si="9"/>
        <v>135.96598839415688</v>
      </c>
      <c r="U68" s="81">
        <f t="shared" si="11"/>
        <v>242.78966963305055</v>
      </c>
      <c r="V68" s="84">
        <f t="shared" si="6"/>
        <v>3.98004706603921</v>
      </c>
      <c r="W68" s="84">
        <f t="shared" si="15"/>
        <v>4.3446809184722133</v>
      </c>
      <c r="X68" s="84">
        <f t="shared" si="8"/>
        <v>5.8446809184722133</v>
      </c>
      <c r="Y68" s="140" ph="1">
        <v>16</v>
      </c>
      <c r="Z68" s="84" t="str">
        <f t="shared" si="5"/>
        <v>OK</v>
      </c>
    </row>
    <row r="69" spans="1:26" ht="15" customHeight="1" x14ac:dyDescent="0.45"/>
    <row r="70" spans="1:26" ht="15" customHeight="1" x14ac:dyDescent="0.45">
      <c r="A70" s="4" t="s">
        <v>134</v>
      </c>
    </row>
    <row r="71" spans="1:26" ht="15" customHeight="1" x14ac:dyDescent="0.45">
      <c r="A71" s="4" t="s">
        <v>135</v>
      </c>
    </row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6:Z68">
    <cfRule type="cellIs" dxfId="29" priority="4" operator="equal">
      <formula>"N.G"</formula>
    </cfRule>
  </conditionalFormatting>
  <conditionalFormatting sqref="Z23:Z30">
    <cfRule type="cellIs" dxfId="26" priority="3" operator="equal">
      <formula>"N.G"</formula>
    </cfRule>
  </conditionalFormatting>
  <conditionalFormatting sqref="Z31:Z43">
    <cfRule type="cellIs" dxfId="25" priority="2" operator="equal">
      <formula>"N.G"</formula>
    </cfRule>
  </conditionalFormatting>
  <conditionalFormatting sqref="Z44:Z45">
    <cfRule type="cellIs" dxfId="23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82"/>
  <sheetViews>
    <sheetView showGridLines="0" topLeftCell="A13" zoomScale="130" zoomScaleNormal="130" workbookViewId="0">
      <selection activeCell="A23" sqref="A23:Z4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26" width="5.33203125" style="4"/>
    <col min="27" max="27" width="6.4140625" style="4" bestFit="1" customWidth="1"/>
    <col min="28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4">
        <f>'Global Strength'!G10</f>
        <v>731745</v>
      </c>
      <c r="N11" s="324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5">
        <f>'Global Strength'!G6</f>
        <v>17.173200000000001</v>
      </c>
      <c r="N12" s="325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5">
        <f>'Global Strength'!G5</f>
        <v>4.7869999999999999</v>
      </c>
      <c r="N13" s="325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4"/>
      <c r="N14" s="324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4">
        <f>'Global Strength'!G27</f>
        <v>48421.40625</v>
      </c>
      <c r="N15" s="324"/>
      <c r="O15" s="5" t="s">
        <v>92</v>
      </c>
    </row>
    <row r="16" spans="1:15" ht="12" customHeight="1" x14ac:dyDescent="0.3">
      <c r="F16" s="5"/>
      <c r="G16" s="5"/>
      <c r="M16" s="86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203.97266176367827</v>
      </c>
      <c r="R23" s="292">
        <v>0</v>
      </c>
      <c r="S23" s="292">
        <v>-18.597126107208702</v>
      </c>
      <c r="T23" s="290">
        <f t="shared" ref="T23:T24" si="0">SQRT(Q23^2+R23^2-Q23*R23+3*S23^2)</f>
        <v>206.50037783331575</v>
      </c>
      <c r="U23" s="289">
        <f>MIN(K23/$F$7,1.3*(K23/$F$7-T23))</f>
        <v>151.09496336214403</v>
      </c>
      <c r="V23" s="290">
        <f>14.3*$F$8/SQRT(K23/$F$7)</f>
        <v>3.98004706603921</v>
      </c>
      <c r="W23" s="290">
        <f>15.8*N23*L23*SQRT(J23)/SQRT(U23*P23)</f>
        <v>12.637859707688484</v>
      </c>
      <c r="X23" s="290">
        <f>MAX(V23,W23)+O23</f>
        <v>14.137859707688484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4" si="1">E24*$F$18+F24*$F$17</f>
        <v>0</v>
      </c>
      <c r="H24" s="186">
        <f t="shared" ref="H24:H64" si="2">1.025*9.81*(($F$10+0.76)-D24)</f>
        <v>127.29946499999998</v>
      </c>
      <c r="I24" s="185">
        <v>0</v>
      </c>
      <c r="J24" s="185">
        <f t="shared" ref="J24:J6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3" si="4">$M$11/ABS(($M$12/(D24-$M$13)))/1000</f>
        <v>203.97266176367827</v>
      </c>
      <c r="R24" s="188">
        <v>0</v>
      </c>
      <c r="S24" s="188">
        <v>-3.12223096904895</v>
      </c>
      <c r="T24" s="186">
        <f t="shared" si="0"/>
        <v>204.04433764658151</v>
      </c>
      <c r="U24" s="185">
        <f>MIN(K24/$F$7,1.3*(K24/$F$7-T24))</f>
        <v>154.28781560489853</v>
      </c>
      <c r="V24" s="186">
        <f>14.3*$F$8/SQRT(K24/$F$7)</f>
        <v>3.98004706603921</v>
      </c>
      <c r="W24" s="186">
        <f>15.8*N24*L24*SQRT(J24)/SQRT(U24*P24)</f>
        <v>12.506411338949912</v>
      </c>
      <c r="X24" s="186">
        <f>MAX(V24,W24)+O24</f>
        <v>14.006411338949912</v>
      </c>
      <c r="Y24" s="189">
        <v>16</v>
      </c>
      <c r="Z24" s="190" t="str">
        <f t="shared" ref="Z24:Z64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203.97266176367827</v>
      </c>
      <c r="R25" s="188">
        <v>0</v>
      </c>
      <c r="S25" s="188">
        <v>12.352659698271999</v>
      </c>
      <c r="T25" s="186">
        <f>SQRT(Q25^2+R25^2-Q25*R25+3*S25^2)</f>
        <v>205.09171448847914</v>
      </c>
      <c r="U25" s="185">
        <f>MIN(K25/$F$7,1.3*(K25/$F$7-T25))</f>
        <v>152.92622571043162</v>
      </c>
      <c r="V25" s="186">
        <f t="shared" ref="V25:V64" si="6">14.3*$F$8/SQRT(K25/$F$7)</f>
        <v>3.98004706603921</v>
      </c>
      <c r="W25" s="186">
        <f t="shared" ref="W25:W30" si="7">15.8*N25*L25*SQRT(J25)/SQRT(U25*P25)</f>
        <v>12.561963835480723</v>
      </c>
      <c r="X25" s="186">
        <f t="shared" ref="X25:X64" si="8">MAX(V25,W25)+O25</f>
        <v>14.061963835480723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203.97266176367827</v>
      </c>
      <c r="R26" s="228">
        <v>0</v>
      </c>
      <c r="S26" s="228">
        <v>27.827560761717201</v>
      </c>
      <c r="T26" s="226">
        <f t="shared" ref="T26:T64" si="9">SQRT(Q26^2+R26^2-Q26*R26+3*S26^2)</f>
        <v>209.58999537382763</v>
      </c>
      <c r="U26" s="225">
        <f>MIN(K26/$F$7,1.3*(K26/$F$7-T26))</f>
        <v>147.07846055947857</v>
      </c>
      <c r="V26" s="226">
        <f t="shared" si="6"/>
        <v>3.98004706603921</v>
      </c>
      <c r="W26" s="226">
        <f t="shared" si="7"/>
        <v>12.809258380043326</v>
      </c>
      <c r="X26" s="226">
        <f>MAX(V26,W26)+O26</f>
        <v>14.309258380043326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203.97266176367827</v>
      </c>
      <c r="R27" s="220">
        <v>0</v>
      </c>
      <c r="S27" s="220">
        <v>43.302456975376003</v>
      </c>
      <c r="T27" s="218">
        <f t="shared" si="9"/>
        <v>217.32499876285004</v>
      </c>
      <c r="U27" s="217">
        <f>MIN(K27/$F$7,1.3*(K27/$F$7-T27))</f>
        <v>137.02295615374945</v>
      </c>
      <c r="V27" s="218">
        <f t="shared" si="6"/>
        <v>3.98004706603921</v>
      </c>
      <c r="W27" s="218">
        <f t="shared" si="7"/>
        <v>13.270945248140857</v>
      </c>
      <c r="X27" s="218">
        <f t="shared" si="8"/>
        <v>14.770945248140857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203.97266176367827</v>
      </c>
      <c r="R28" s="188">
        <v>0</v>
      </c>
      <c r="S28" s="188">
        <v>58.7773521586304</v>
      </c>
      <c r="T28" s="186">
        <f t="shared" si="9"/>
        <v>227.96749357594572</v>
      </c>
      <c r="U28" s="185">
        <f t="shared" ref="U28:U30" si="10">MIN(K28/$F$7,1.3*(K28/$F$7-T28))</f>
        <v>123.18771289672506</v>
      </c>
      <c r="V28" s="186">
        <f t="shared" si="6"/>
        <v>3.98004706603921</v>
      </c>
      <c r="W28" s="186">
        <f t="shared" si="7"/>
        <v>13.996351082452078</v>
      </c>
      <c r="X28" s="186">
        <f t="shared" si="8"/>
        <v>15.496351082452078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203.97266176367827</v>
      </c>
      <c r="R29" s="188">
        <v>0</v>
      </c>
      <c r="S29" s="188">
        <v>68.672844029999993</v>
      </c>
      <c r="T29" s="186">
        <f t="shared" si="9"/>
        <v>236.12015006870129</v>
      </c>
      <c r="U29" s="185">
        <f t="shared" si="10"/>
        <v>112.58925945614283</v>
      </c>
      <c r="V29" s="186">
        <f t="shared" si="6"/>
        <v>3.98004706603921</v>
      </c>
      <c r="W29" s="186">
        <f t="shared" si="7"/>
        <v>14.640302238502681</v>
      </c>
      <c r="X29" s="186">
        <f t="shared" si="8"/>
        <v>16.140302238502681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203.97266176367827</v>
      </c>
      <c r="R30" s="212">
        <v>0</v>
      </c>
      <c r="S30" s="212">
        <v>68.672844029999993</v>
      </c>
      <c r="T30" s="210">
        <f t="shared" si="9"/>
        <v>236.12015006870129</v>
      </c>
      <c r="U30" s="209">
        <f t="shared" si="10"/>
        <v>112.58925945614283</v>
      </c>
      <c r="V30" s="210">
        <f t="shared" si="6"/>
        <v>3.98004706603921</v>
      </c>
      <c r="W30" s="210">
        <f t="shared" si="7"/>
        <v>14.640302238502681</v>
      </c>
      <c r="X30" s="210">
        <f t="shared" si="8"/>
        <v>16.140302238502681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203.97266176367827</v>
      </c>
      <c r="R31" s="236">
        <v>0</v>
      </c>
      <c r="S31" s="236">
        <v>81.244256577021602</v>
      </c>
      <c r="T31" s="233">
        <f>SQRT(Q31^2+R31^2-Q31*R31+3*S31^2)</f>
        <v>247.80382246288829</v>
      </c>
      <c r="U31" s="234">
        <f>MIN(K31/$F$7,1.3*(K31/$F$7-T31))</f>
        <v>97.400485343699728</v>
      </c>
      <c r="V31" s="233">
        <f>14.3*$F$8/SQRT(K31/$F$7)</f>
        <v>3.98004706603921</v>
      </c>
      <c r="W31" s="233">
        <f>15.8*N31*L31*SQRT(J31)/SQRT(U31*P31)</f>
        <v>14.69111437806953</v>
      </c>
      <c r="X31" s="233">
        <f t="shared" si="8"/>
        <v>16.191114378069528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174.14586768919008</v>
      </c>
      <c r="R32" s="196">
        <v>0</v>
      </c>
      <c r="S32" s="196">
        <v>91.779299941643401</v>
      </c>
      <c r="T32" s="193">
        <f t="shared" si="9"/>
        <v>235.79037920694586</v>
      </c>
      <c r="U32" s="194">
        <f t="shared" ref="U32:U64" si="11">MIN(K32/$F$7,1.3*(K32/$F$7-T32))</f>
        <v>113.01796157642488</v>
      </c>
      <c r="V32" s="193">
        <f t="shared" si="6"/>
        <v>3.98004706603921</v>
      </c>
      <c r="W32" s="193">
        <f t="shared" ref="W32:W51" si="12">15.8*N32*L32*SQRT(J32)/SQRT(U32*P32)</f>
        <v>13.25593306396884</v>
      </c>
      <c r="X32" s="193">
        <f t="shared" si="8"/>
        <v>14.75593306396884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144.31907361470195</v>
      </c>
      <c r="R33" s="196">
        <v>0</v>
      </c>
      <c r="S33" s="196">
        <v>100.27797395768501</v>
      </c>
      <c r="T33" s="193">
        <f t="shared" si="9"/>
        <v>225.8207501364306</v>
      </c>
      <c r="U33" s="194">
        <f t="shared" si="11"/>
        <v>125.97847936809472</v>
      </c>
      <c r="V33" s="193">
        <f t="shared" si="6"/>
        <v>3.98004706603921</v>
      </c>
      <c r="W33" s="193">
        <f t="shared" si="12"/>
        <v>12.182585328654948</v>
      </c>
      <c r="X33" s="193">
        <f t="shared" si="8"/>
        <v>13.682585328654948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114.49227954021381</v>
      </c>
      <c r="R34" s="196">
        <v>0</v>
      </c>
      <c r="S34" s="196">
        <v>106.056590213585</v>
      </c>
      <c r="T34" s="193">
        <f t="shared" si="9"/>
        <v>216.45434404860382</v>
      </c>
      <c r="U34" s="194">
        <f t="shared" si="11"/>
        <v>138.15480728226953</v>
      </c>
      <c r="V34" s="193">
        <f t="shared" si="6"/>
        <v>3.98004706603921</v>
      </c>
      <c r="W34" s="193">
        <f t="shared" si="12"/>
        <v>11.265939275410224</v>
      </c>
      <c r="X34" s="193">
        <f t="shared" si="8"/>
        <v>12.765939275410224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0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84.665485465725666</v>
      </c>
      <c r="R35" s="284">
        <v>0</v>
      </c>
      <c r="S35" s="284">
        <v>110.03940446246899</v>
      </c>
      <c r="T35" s="281">
        <f t="shared" si="9"/>
        <v>208.55276558346458</v>
      </c>
      <c r="U35" s="282">
        <f t="shared" si="11"/>
        <v>148.42685928695056</v>
      </c>
      <c r="V35" s="281">
        <f t="shared" si="6"/>
        <v>3.98004706603921</v>
      </c>
      <c r="W35" s="281">
        <f t="shared" si="12"/>
        <v>10.502692640944471</v>
      </c>
      <c r="X35" s="281">
        <f t="shared" si="8"/>
        <v>12.002692640944471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54.838691391237504</v>
      </c>
      <c r="R36" s="252">
        <v>0</v>
      </c>
      <c r="S36" s="252">
        <v>112.282025988139</v>
      </c>
      <c r="T36" s="249">
        <f t="shared" si="9"/>
        <v>202.06197602098905</v>
      </c>
      <c r="U36" s="250">
        <f t="shared" si="11"/>
        <v>156.86488571816875</v>
      </c>
      <c r="V36" s="249">
        <f t="shared" si="6"/>
        <v>3.98004706603921</v>
      </c>
      <c r="W36" s="249">
        <f t="shared" si="12"/>
        <v>9.8469858925244047</v>
      </c>
      <c r="X36" s="249">
        <f t="shared" si="8"/>
        <v>11.346985892524405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25.011897316749341</v>
      </c>
      <c r="R37" s="196">
        <v>0</v>
      </c>
      <c r="S37" s="196">
        <v>112.66279684586</v>
      </c>
      <c r="T37" s="193">
        <f t="shared" si="9"/>
        <v>196.73411597071359</v>
      </c>
      <c r="U37" s="194">
        <f t="shared" si="11"/>
        <v>163.79110378352684</v>
      </c>
      <c r="V37" s="193">
        <f t="shared" si="6"/>
        <v>3.98004706603921</v>
      </c>
      <c r="W37" s="193">
        <f t="shared" si="12"/>
        <v>9.2610125836704</v>
      </c>
      <c r="X37" s="193">
        <f t="shared" si="8"/>
        <v>10.7610125836704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4.8148967577388202</v>
      </c>
      <c r="R38" s="196">
        <v>0</v>
      </c>
      <c r="S38" s="196">
        <v>109.0949282</v>
      </c>
      <c r="T38" s="193">
        <f t="shared" si="9"/>
        <v>189.01929347999678</v>
      </c>
      <c r="U38" s="194">
        <f t="shared" si="11"/>
        <v>173.82037302145869</v>
      </c>
      <c r="V38" s="193">
        <f t="shared" si="6"/>
        <v>3.98004706603921</v>
      </c>
      <c r="W38" s="193">
        <f t="shared" si="12"/>
        <v>8.6099170908075067</v>
      </c>
      <c r="X38" s="193">
        <f t="shared" si="8"/>
        <v>10.109917090807507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34.641690832226978</v>
      </c>
      <c r="R39" s="284">
        <v>0</v>
      </c>
      <c r="S39" s="284">
        <v>105.894526505326</v>
      </c>
      <c r="T39" s="281">
        <f t="shared" si="9"/>
        <v>186.65743750270752</v>
      </c>
      <c r="U39" s="282">
        <f t="shared" si="11"/>
        <v>176.89078579193472</v>
      </c>
      <c r="V39" s="281">
        <f t="shared" si="6"/>
        <v>3.98004706603921</v>
      </c>
      <c r="W39" s="281">
        <f t="shared" si="12"/>
        <v>8.1408207551412186</v>
      </c>
      <c r="X39" s="281">
        <f t="shared" si="8"/>
        <v>9.6408207551412186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64.468484906715148</v>
      </c>
      <c r="R40" s="252">
        <v>0</v>
      </c>
      <c r="S40" s="252">
        <v>101.05456077592299</v>
      </c>
      <c r="T40" s="249">
        <f t="shared" si="9"/>
        <v>186.52682999239414</v>
      </c>
      <c r="U40" s="250">
        <f t="shared" si="11"/>
        <v>177.06057555534213</v>
      </c>
      <c r="V40" s="249">
        <f t="shared" si="6"/>
        <v>3.98004706603921</v>
      </c>
      <c r="W40" s="249">
        <f t="shared" si="12"/>
        <v>7.7230006185479363</v>
      </c>
      <c r="X40" s="249">
        <f t="shared" si="8"/>
        <v>9.2230006185479354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>D42-0.7</f>
        <v>7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56.912714999999999</v>
      </c>
      <c r="I41" s="194">
        <v>0</v>
      </c>
      <c r="J41" s="194">
        <f t="shared" si="3"/>
        <v>76.832165250000003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94.295278981203268</v>
      </c>
      <c r="R41" s="196">
        <v>0</v>
      </c>
      <c r="S41" s="196">
        <v>92.620797822803894</v>
      </c>
      <c r="T41" s="193">
        <f t="shared" si="9"/>
        <v>186.0844867422889</v>
      </c>
      <c r="U41" s="194">
        <f t="shared" si="11"/>
        <v>177.63562178047894</v>
      </c>
      <c r="V41" s="193">
        <f t="shared" si="6"/>
        <v>3.98004706603921</v>
      </c>
      <c r="W41" s="193">
        <f t="shared" si="12"/>
        <v>7.2738046461058827</v>
      </c>
      <c r="X41" s="193">
        <f t="shared" si="8"/>
        <v>8.7738046461058836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>D43-0.7</f>
        <v>7.7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49.874039999999994</v>
      </c>
      <c r="I42" s="194">
        <v>0</v>
      </c>
      <c r="J42" s="194">
        <f t="shared" si="3"/>
        <v>67.329954000000001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124.12207305569142</v>
      </c>
      <c r="R42" s="196">
        <v>0</v>
      </c>
      <c r="S42" s="196">
        <v>65.445202529909295</v>
      </c>
      <c r="T42" s="193">
        <f t="shared" si="9"/>
        <v>168.09376140173953</v>
      </c>
      <c r="U42" s="194">
        <f t="shared" si="11"/>
        <v>201.02356472319312</v>
      </c>
      <c r="V42" s="193">
        <f t="shared" si="6"/>
        <v>3.98004706603921</v>
      </c>
      <c r="W42" s="193">
        <f t="shared" si="12"/>
        <v>6.4008227479059938</v>
      </c>
      <c r="X42" s="193">
        <f t="shared" si="8"/>
        <v>7.9008227479059938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v>8.4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153.94886713017959</v>
      </c>
      <c r="R43" s="244">
        <v>0</v>
      </c>
      <c r="S43" s="244">
        <v>57.711249379999998</v>
      </c>
      <c r="T43" s="241">
        <f t="shared" si="9"/>
        <v>183.55385750691087</v>
      </c>
      <c r="U43" s="242">
        <f t="shared" si="11"/>
        <v>180.92543978647038</v>
      </c>
      <c r="V43" s="241">
        <f t="shared" si="6"/>
        <v>3.98004706603921</v>
      </c>
      <c r="W43" s="241">
        <f t="shared" si="12"/>
        <v>6.2527840326174706</v>
      </c>
      <c r="X43" s="241">
        <f t="shared" si="8"/>
        <v>7.7527840326174706</v>
      </c>
      <c r="Y43" s="245" ph="1">
        <v>20</v>
      </c>
      <c r="Z43" s="246" t="str">
        <f t="shared" si="5"/>
        <v>OK</v>
      </c>
    </row>
    <row r="44" spans="1:26" ht="15" customHeight="1" x14ac:dyDescent="0.3">
      <c r="A44" s="255">
        <v>1</v>
      </c>
      <c r="B44" s="256" t="s">
        <v>132</v>
      </c>
      <c r="C44" s="256">
        <v>0.75</v>
      </c>
      <c r="D44" s="256">
        <v>8.4</v>
      </c>
      <c r="E44" s="257">
        <v>0</v>
      </c>
      <c r="F44" s="257">
        <v>0</v>
      </c>
      <c r="G44" s="257">
        <f t="shared" si="1"/>
        <v>0</v>
      </c>
      <c r="H44" s="258">
        <f t="shared" si="2"/>
        <v>42.835364999999996</v>
      </c>
      <c r="I44" s="257">
        <v>0</v>
      </c>
      <c r="J44" s="257">
        <f t="shared" si="3"/>
        <v>57.827742749999999</v>
      </c>
      <c r="K44" s="257">
        <v>355</v>
      </c>
      <c r="L44" s="259">
        <v>0.75</v>
      </c>
      <c r="M44" s="259">
        <v>4</v>
      </c>
      <c r="N44" s="260">
        <v>1</v>
      </c>
      <c r="O44" s="260">
        <v>1.5</v>
      </c>
      <c r="P44" s="260">
        <v>1</v>
      </c>
      <c r="Q44" s="260">
        <f>$M$11/ABS(($M$12/(D44-$M$13)))/1000</f>
        <v>153.94886713017959</v>
      </c>
      <c r="R44" s="260">
        <v>0</v>
      </c>
      <c r="S44" s="260">
        <v>-33.802655102808103</v>
      </c>
      <c r="T44" s="258">
        <f t="shared" si="9"/>
        <v>164.706138825072</v>
      </c>
      <c r="U44" s="257">
        <f t="shared" si="11"/>
        <v>205.42747407286089</v>
      </c>
      <c r="V44" s="258">
        <f t="shared" si="6"/>
        <v>3.98004706603921</v>
      </c>
      <c r="W44" s="258">
        <f t="shared" si="12"/>
        <v>6.2871990113305207</v>
      </c>
      <c r="X44" s="258">
        <f t="shared" si="8"/>
        <v>7.7871990113305207</v>
      </c>
      <c r="Y44" s="261" ph="1">
        <v>20</v>
      </c>
      <c r="Z44" s="262" t="str">
        <f t="shared" si="5"/>
        <v>OK</v>
      </c>
    </row>
    <row r="45" spans="1:26" ht="15" customHeight="1" x14ac:dyDescent="0.3">
      <c r="A45" s="199">
        <v>2</v>
      </c>
      <c r="B45" s="200" t="s">
        <v>132</v>
      </c>
      <c r="C45" s="200">
        <v>1.5</v>
      </c>
      <c r="D45" s="200">
        <v>8.4</v>
      </c>
      <c r="E45" s="201">
        <v>0</v>
      </c>
      <c r="F45" s="201">
        <v>0</v>
      </c>
      <c r="G45" s="201">
        <f t="shared" si="1"/>
        <v>0</v>
      </c>
      <c r="H45" s="202">
        <f t="shared" si="2"/>
        <v>42.835364999999996</v>
      </c>
      <c r="I45" s="201">
        <v>0</v>
      </c>
      <c r="J45" s="201">
        <f t="shared" si="3"/>
        <v>57.827742749999999</v>
      </c>
      <c r="K45" s="201">
        <v>355</v>
      </c>
      <c r="L45" s="203">
        <v>0.75</v>
      </c>
      <c r="M45" s="203">
        <v>4</v>
      </c>
      <c r="N45" s="204">
        <v>1</v>
      </c>
      <c r="O45" s="204">
        <v>1.5</v>
      </c>
      <c r="P45" s="204">
        <v>1</v>
      </c>
      <c r="Q45" s="204">
        <f t="shared" ref="Q45:Q51" si="14">$M$11/ABS(($M$12/(D45-$M$13)))/1000</f>
        <v>153.94886713017959</v>
      </c>
      <c r="R45" s="204">
        <v>0</v>
      </c>
      <c r="S45" s="204">
        <v>-20.7292405274939</v>
      </c>
      <c r="T45" s="202">
        <f t="shared" si="9"/>
        <v>158.08022624353046</v>
      </c>
      <c r="U45" s="201">
        <f t="shared" si="11"/>
        <v>214.04116042886491</v>
      </c>
      <c r="V45" s="202">
        <f t="shared" si="6"/>
        <v>3.98004706603921</v>
      </c>
      <c r="W45" s="202">
        <f t="shared" si="12"/>
        <v>6.1593916807305469</v>
      </c>
      <c r="X45" s="202">
        <f t="shared" si="8"/>
        <v>7.6593916807305469</v>
      </c>
      <c r="Y45" s="205" ph="1">
        <v>20</v>
      </c>
      <c r="Z45" s="206" t="str">
        <f t="shared" si="5"/>
        <v>OK</v>
      </c>
    </row>
    <row r="46" spans="1:26" ht="15" customHeight="1" x14ac:dyDescent="0.3">
      <c r="A46" s="199">
        <v>3</v>
      </c>
      <c r="B46" s="200" t="s">
        <v>132</v>
      </c>
      <c r="C46" s="200">
        <v>2.25</v>
      </c>
      <c r="D46" s="200">
        <v>8.4</v>
      </c>
      <c r="E46" s="201">
        <v>0</v>
      </c>
      <c r="F46" s="201">
        <v>0</v>
      </c>
      <c r="G46" s="201">
        <f t="shared" si="1"/>
        <v>0</v>
      </c>
      <c r="H46" s="202">
        <f t="shared" si="2"/>
        <v>42.835364999999996</v>
      </c>
      <c r="I46" s="201">
        <v>0</v>
      </c>
      <c r="J46" s="201">
        <f t="shared" si="3"/>
        <v>57.827742749999999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si="14"/>
        <v>153.94886713017959</v>
      </c>
      <c r="R46" s="204">
        <v>0</v>
      </c>
      <c r="S46" s="204">
        <v>-7.6558256049703202</v>
      </c>
      <c r="T46" s="202">
        <f t="shared" si="9"/>
        <v>154.51889427428236</v>
      </c>
      <c r="U46" s="201">
        <f t="shared" si="11"/>
        <v>218.67089198888743</v>
      </c>
      <c r="V46" s="202">
        <f t="shared" si="6"/>
        <v>3.98004706603921</v>
      </c>
      <c r="W46" s="202">
        <f t="shared" si="12"/>
        <v>6.0938390892174468</v>
      </c>
      <c r="X46" s="202">
        <f t="shared" si="8"/>
        <v>7.5938390892174468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263">
        <v>4</v>
      </c>
      <c r="B47" s="264" t="s">
        <v>132</v>
      </c>
      <c r="C47" s="264">
        <v>3</v>
      </c>
      <c r="D47" s="264">
        <v>8.4</v>
      </c>
      <c r="E47" s="265">
        <v>0</v>
      </c>
      <c r="F47" s="265">
        <v>0</v>
      </c>
      <c r="G47" s="265">
        <f t="shared" si="1"/>
        <v>0</v>
      </c>
      <c r="H47" s="266">
        <f t="shared" si="2"/>
        <v>42.835364999999996</v>
      </c>
      <c r="I47" s="265">
        <v>0</v>
      </c>
      <c r="J47" s="265">
        <f t="shared" si="3"/>
        <v>57.827742749999999</v>
      </c>
      <c r="K47" s="265">
        <v>355</v>
      </c>
      <c r="L47" s="267">
        <v>0.75</v>
      </c>
      <c r="M47" s="267">
        <v>4</v>
      </c>
      <c r="N47" s="268">
        <v>1</v>
      </c>
      <c r="O47" s="268">
        <v>1.5</v>
      </c>
      <c r="P47" s="268">
        <v>1</v>
      </c>
      <c r="Q47" s="268">
        <f t="shared" si="14"/>
        <v>153.94886713017959</v>
      </c>
      <c r="R47" s="268">
        <v>0</v>
      </c>
      <c r="S47" s="268">
        <v>5.4175893824814896</v>
      </c>
      <c r="T47" s="266">
        <f t="shared" si="9"/>
        <v>154.23457626231939</v>
      </c>
      <c r="U47" s="265">
        <f t="shared" si="11"/>
        <v>219.0405054044393</v>
      </c>
      <c r="V47" s="266">
        <f t="shared" si="6"/>
        <v>3.98004706603921</v>
      </c>
      <c r="W47" s="266">
        <f t="shared" si="12"/>
        <v>6.0886954842721712</v>
      </c>
      <c r="X47" s="266">
        <f t="shared" si="8"/>
        <v>7.5886954842721712</v>
      </c>
      <c r="Y47" s="269" ph="1">
        <v>20</v>
      </c>
      <c r="Z47" s="270" t="str">
        <f t="shared" si="5"/>
        <v>OK</v>
      </c>
    </row>
    <row r="48" spans="1:26" ht="15" customHeight="1" x14ac:dyDescent="0.3">
      <c r="A48" s="271">
        <v>5</v>
      </c>
      <c r="B48" s="272" t="s">
        <v>132</v>
      </c>
      <c r="C48" s="272">
        <v>3.75</v>
      </c>
      <c r="D48" s="272">
        <v>8.4</v>
      </c>
      <c r="E48" s="273">
        <v>0</v>
      </c>
      <c r="F48" s="273">
        <v>0</v>
      </c>
      <c r="G48" s="273">
        <f t="shared" si="1"/>
        <v>0</v>
      </c>
      <c r="H48" s="274">
        <f t="shared" si="2"/>
        <v>42.835364999999996</v>
      </c>
      <c r="I48" s="273">
        <v>0</v>
      </c>
      <c r="J48" s="273">
        <f t="shared" si="3"/>
        <v>57.827742749999999</v>
      </c>
      <c r="K48" s="273">
        <v>355</v>
      </c>
      <c r="L48" s="275">
        <v>0.75</v>
      </c>
      <c r="M48" s="275">
        <v>4</v>
      </c>
      <c r="N48" s="276">
        <v>1</v>
      </c>
      <c r="O48" s="276">
        <v>1.5</v>
      </c>
      <c r="P48" s="276">
        <v>1</v>
      </c>
      <c r="Q48" s="276">
        <f t="shared" si="14"/>
        <v>153.94886713017959</v>
      </c>
      <c r="R48" s="276">
        <v>0</v>
      </c>
      <c r="S48" s="276">
        <v>18.491004395084701</v>
      </c>
      <c r="T48" s="274">
        <f t="shared" si="9"/>
        <v>157.24504895634334</v>
      </c>
      <c r="U48" s="273">
        <f t="shared" si="11"/>
        <v>215.12689090220817</v>
      </c>
      <c r="V48" s="274">
        <f t="shared" si="6"/>
        <v>3.98004706603921</v>
      </c>
      <c r="W48" s="274">
        <f t="shared" si="12"/>
        <v>6.143829009004425</v>
      </c>
      <c r="X48" s="274">
        <f t="shared" si="8"/>
        <v>7.643829009004425</v>
      </c>
      <c r="Y48" s="277" ph="1">
        <v>20</v>
      </c>
      <c r="Z48" s="278" t="str">
        <f t="shared" si="5"/>
        <v>OK</v>
      </c>
    </row>
    <row r="49" spans="1:26" ht="15" customHeight="1" x14ac:dyDescent="0.3">
      <c r="A49" s="199">
        <v>6</v>
      </c>
      <c r="B49" s="200" t="s">
        <v>132</v>
      </c>
      <c r="C49" s="200">
        <v>4.5</v>
      </c>
      <c r="D49" s="200">
        <v>8.4</v>
      </c>
      <c r="E49" s="201">
        <v>0</v>
      </c>
      <c r="F49" s="201">
        <v>0</v>
      </c>
      <c r="G49" s="201">
        <f t="shared" si="1"/>
        <v>0</v>
      </c>
      <c r="H49" s="202">
        <f t="shared" si="2"/>
        <v>42.835364999999996</v>
      </c>
      <c r="I49" s="201">
        <v>0</v>
      </c>
      <c r="J49" s="201">
        <f t="shared" si="3"/>
        <v>57.827742749999999</v>
      </c>
      <c r="K49" s="201">
        <v>355</v>
      </c>
      <c r="L49" s="203">
        <v>0.75</v>
      </c>
      <c r="M49" s="203">
        <v>4</v>
      </c>
      <c r="N49" s="204">
        <v>1</v>
      </c>
      <c r="O49" s="204">
        <v>1.5</v>
      </c>
      <c r="P49" s="204">
        <v>1</v>
      </c>
      <c r="Q49" s="204">
        <f t="shared" si="14"/>
        <v>153.94886713017959</v>
      </c>
      <c r="R49" s="204">
        <v>0</v>
      </c>
      <c r="S49" s="204">
        <v>31.564419386099001</v>
      </c>
      <c r="T49" s="202">
        <f t="shared" si="9"/>
        <v>163.36826926980135</v>
      </c>
      <c r="U49" s="201">
        <f t="shared" si="11"/>
        <v>207.16670449471275</v>
      </c>
      <c r="V49" s="202">
        <f t="shared" si="6"/>
        <v>3.98004706603921</v>
      </c>
      <c r="W49" s="202">
        <f t="shared" si="12"/>
        <v>6.2607518678862366</v>
      </c>
      <c r="X49" s="202">
        <f t="shared" si="8"/>
        <v>7.7607518678862366</v>
      </c>
      <c r="Y49" s="205" ph="1">
        <v>20</v>
      </c>
      <c r="Z49" s="206" t="str">
        <f t="shared" si="5"/>
        <v>OK</v>
      </c>
    </row>
    <row r="50" spans="1:26" ht="15" customHeight="1" x14ac:dyDescent="0.3">
      <c r="A50" s="199">
        <v>7</v>
      </c>
      <c r="B50" s="200" t="s">
        <v>132</v>
      </c>
      <c r="C50" s="200">
        <v>5.25</v>
      </c>
      <c r="D50" s="200">
        <v>8.4</v>
      </c>
      <c r="E50" s="201">
        <v>0</v>
      </c>
      <c r="F50" s="201">
        <v>0</v>
      </c>
      <c r="G50" s="201">
        <f t="shared" si="1"/>
        <v>0</v>
      </c>
      <c r="H50" s="202">
        <f t="shared" si="2"/>
        <v>42.835364999999996</v>
      </c>
      <c r="I50" s="201">
        <v>0</v>
      </c>
      <c r="J50" s="201">
        <f t="shared" si="3"/>
        <v>57.827742749999999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14"/>
        <v>153.94886713017959</v>
      </c>
      <c r="R50" s="204">
        <v>0</v>
      </c>
      <c r="S50" s="204">
        <v>44.637834365519701</v>
      </c>
      <c r="T50" s="202">
        <f t="shared" si="9"/>
        <v>172.27263990894318</v>
      </c>
      <c r="U50" s="201">
        <f t="shared" si="11"/>
        <v>195.59102266382837</v>
      </c>
      <c r="V50" s="202">
        <f t="shared" si="6"/>
        <v>3.98004706603921</v>
      </c>
      <c r="W50" s="202">
        <f t="shared" si="12"/>
        <v>6.4433542897018983</v>
      </c>
      <c r="X50" s="202">
        <f t="shared" si="8"/>
        <v>7.9433542897018983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263">
        <v>8</v>
      </c>
      <c r="B51" s="264" t="s">
        <v>132</v>
      </c>
      <c r="C51" s="264">
        <v>6</v>
      </c>
      <c r="D51" s="264">
        <v>8.4</v>
      </c>
      <c r="E51" s="265">
        <v>0</v>
      </c>
      <c r="F51" s="265">
        <v>0</v>
      </c>
      <c r="G51" s="265">
        <f t="shared" si="1"/>
        <v>0</v>
      </c>
      <c r="H51" s="266">
        <f t="shared" si="2"/>
        <v>42.835364999999996</v>
      </c>
      <c r="I51" s="265">
        <v>0</v>
      </c>
      <c r="J51" s="265">
        <f t="shared" si="3"/>
        <v>57.827742749999999</v>
      </c>
      <c r="K51" s="265">
        <v>355</v>
      </c>
      <c r="L51" s="267">
        <v>0.75</v>
      </c>
      <c r="M51" s="267">
        <v>4</v>
      </c>
      <c r="N51" s="268">
        <v>1</v>
      </c>
      <c r="O51" s="268">
        <v>1.5</v>
      </c>
      <c r="P51" s="268">
        <v>1</v>
      </c>
      <c r="Q51" s="268">
        <f t="shared" si="14"/>
        <v>153.94886713017959</v>
      </c>
      <c r="R51" s="268">
        <v>0</v>
      </c>
      <c r="S51" s="268">
        <v>57.711249379999998</v>
      </c>
      <c r="T51" s="266">
        <f t="shared" si="9"/>
        <v>183.55385750691087</v>
      </c>
      <c r="U51" s="265">
        <f t="shared" si="11"/>
        <v>180.92543978647038</v>
      </c>
      <c r="V51" s="266">
        <f t="shared" si="6"/>
        <v>3.98004706603921</v>
      </c>
      <c r="W51" s="266">
        <f t="shared" si="12"/>
        <v>6.6994114635187199</v>
      </c>
      <c r="X51" s="266">
        <f t="shared" si="8"/>
        <v>8.1994114635187199</v>
      </c>
      <c r="Y51" s="269" ph="1">
        <v>20</v>
      </c>
      <c r="Z51" s="270" t="str">
        <f t="shared" si="5"/>
        <v>OK</v>
      </c>
    </row>
    <row r="52" spans="1:26" ht="15" customHeight="1" x14ac:dyDescent="0.3">
      <c r="A52" s="80">
        <v>1</v>
      </c>
      <c r="B52" s="80" t="s">
        <v>133</v>
      </c>
      <c r="C52" s="80">
        <v>0</v>
      </c>
      <c r="D52" s="80">
        <v>0</v>
      </c>
      <c r="E52" s="81">
        <v>0</v>
      </c>
      <c r="F52" s="81">
        <v>0</v>
      </c>
      <c r="G52" s="81">
        <f t="shared" si="1"/>
        <v>0</v>
      </c>
      <c r="H52" s="81">
        <f t="shared" si="2"/>
        <v>127.29946499999998</v>
      </c>
      <c r="I52" s="81">
        <v>0</v>
      </c>
      <c r="J52" s="81">
        <f t="shared" si="3"/>
        <v>171.85427774999999</v>
      </c>
      <c r="K52" s="81">
        <v>355</v>
      </c>
      <c r="L52" s="82">
        <v>0.75</v>
      </c>
      <c r="M52" s="82">
        <v>4</v>
      </c>
      <c r="N52" s="83">
        <v>1</v>
      </c>
      <c r="O52" s="83">
        <v>1.5</v>
      </c>
      <c r="P52" s="83">
        <v>1</v>
      </c>
      <c r="Q52" s="83">
        <v>0</v>
      </c>
      <c r="R52" s="83">
        <v>0</v>
      </c>
      <c r="S52" s="83">
        <v>97.507999474903897</v>
      </c>
      <c r="T52" s="84">
        <f t="shared" si="9"/>
        <v>168.88880923493298</v>
      </c>
      <c r="U52" s="81">
        <f t="shared" si="11"/>
        <v>199.99000254004164</v>
      </c>
      <c r="V52" s="84">
        <f t="shared" si="6"/>
        <v>3.98004706603921</v>
      </c>
      <c r="W52" s="84">
        <f>15.8*N52*L52*SQRT(J52)/SQRT(U52*P52)</f>
        <v>10.984856321667133</v>
      </c>
      <c r="X52" s="84">
        <f t="shared" si="8"/>
        <v>12.484856321667133</v>
      </c>
      <c r="Y52" s="140" ph="1">
        <v>20</v>
      </c>
      <c r="Z52" s="84" t="str">
        <f t="shared" si="5"/>
        <v>OK</v>
      </c>
    </row>
    <row r="53" spans="1:26" ht="15" customHeight="1" x14ac:dyDescent="0.3">
      <c r="A53" s="80">
        <v>2</v>
      </c>
      <c r="B53" s="80" t="s">
        <v>133</v>
      </c>
      <c r="C53" s="80">
        <v>0</v>
      </c>
      <c r="D53" s="80">
        <v>0.7</v>
      </c>
      <c r="E53" s="81">
        <v>0</v>
      </c>
      <c r="F53" s="81">
        <v>0</v>
      </c>
      <c r="G53" s="81">
        <f t="shared" si="1"/>
        <v>0</v>
      </c>
      <c r="H53" s="81">
        <f t="shared" si="2"/>
        <v>120.26079</v>
      </c>
      <c r="I53" s="81">
        <v>0</v>
      </c>
      <c r="J53" s="81">
        <f t="shared" si="3"/>
        <v>162.35206650000001</v>
      </c>
      <c r="K53" s="81">
        <v>355</v>
      </c>
      <c r="L53" s="82">
        <v>0.75</v>
      </c>
      <c r="M53" s="82">
        <v>4</v>
      </c>
      <c r="N53" s="83">
        <v>1</v>
      </c>
      <c r="O53" s="83">
        <v>1.5</v>
      </c>
      <c r="P53" s="83">
        <v>1</v>
      </c>
      <c r="Q53" s="83">
        <v>0</v>
      </c>
      <c r="R53" s="83">
        <v>0</v>
      </c>
      <c r="S53" s="83">
        <v>108.134999040246</v>
      </c>
      <c r="T53" s="84">
        <f t="shared" si="9"/>
        <v>187.29531241411786</v>
      </c>
      <c r="U53" s="81">
        <f t="shared" si="11"/>
        <v>176.0615484071013</v>
      </c>
      <c r="V53" s="84">
        <f t="shared" si="6"/>
        <v>3.98004706603921</v>
      </c>
      <c r="W53" s="84">
        <f>15.8*N53*L53*SQRT(J53)/SQRT(U53*P53)</f>
        <v>11.379285723390096</v>
      </c>
      <c r="X53" s="84">
        <f t="shared" si="8"/>
        <v>12.879285723390096</v>
      </c>
      <c r="Y53" s="140" ph="1">
        <v>20</v>
      </c>
      <c r="Z53" s="84" t="str">
        <f t="shared" si="5"/>
        <v>OK</v>
      </c>
    </row>
    <row r="54" spans="1:26" ht="15" customHeight="1" x14ac:dyDescent="0.3">
      <c r="A54" s="80">
        <v>3</v>
      </c>
      <c r="B54" s="80" t="s">
        <v>133</v>
      </c>
      <c r="C54" s="80">
        <v>0</v>
      </c>
      <c r="D54" s="80">
        <v>1.4</v>
      </c>
      <c r="E54" s="81">
        <v>0</v>
      </c>
      <c r="F54" s="81">
        <v>0</v>
      </c>
      <c r="G54" s="81">
        <f t="shared" si="1"/>
        <v>0</v>
      </c>
      <c r="H54" s="81">
        <f t="shared" si="2"/>
        <v>113.22211499999999</v>
      </c>
      <c r="I54" s="81">
        <v>0</v>
      </c>
      <c r="J54" s="81">
        <f t="shared" si="3"/>
        <v>152.84985524999999</v>
      </c>
      <c r="K54" s="81">
        <v>355</v>
      </c>
      <c r="L54" s="82">
        <v>0.75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116.726998688501</v>
      </c>
      <c r="T54" s="84">
        <f t="shared" si="9"/>
        <v>202.17709234350943</v>
      </c>
      <c r="U54" s="81">
        <f t="shared" si="11"/>
        <v>156.71523449889224</v>
      </c>
      <c r="V54" s="84">
        <f t="shared" si="6"/>
        <v>3.98004706603921</v>
      </c>
      <c r="W54" s="84">
        <f t="shared" ref="W54:W64" si="15">15.8*N54*L54*SQRT(J54)/SQRT(U54*P54)</f>
        <v>11.702947527804824</v>
      </c>
      <c r="X54" s="84">
        <f t="shared" si="8"/>
        <v>13.202947527804824</v>
      </c>
      <c r="Y54" s="140" ph="1">
        <v>20</v>
      </c>
      <c r="Z54" s="84" t="str">
        <f t="shared" si="5"/>
        <v>OK</v>
      </c>
    </row>
    <row r="55" spans="1:26" ht="15" customHeight="1" x14ac:dyDescent="0.3">
      <c r="A55" s="80">
        <v>4</v>
      </c>
      <c r="B55" s="80" t="s">
        <v>133</v>
      </c>
      <c r="C55" s="80">
        <v>0</v>
      </c>
      <c r="D55" s="80">
        <v>2.0999999999999996</v>
      </c>
      <c r="E55" s="81">
        <v>0</v>
      </c>
      <c r="F55" s="81">
        <v>0</v>
      </c>
      <c r="G55" s="81">
        <f t="shared" si="1"/>
        <v>0</v>
      </c>
      <c r="H55" s="81">
        <f t="shared" si="2"/>
        <v>106.18343999999999</v>
      </c>
      <c r="I55" s="81">
        <v>0</v>
      </c>
      <c r="J55" s="81">
        <f t="shared" si="3"/>
        <v>143.347644</v>
      </c>
      <c r="K55" s="81">
        <v>355</v>
      </c>
      <c r="L55" s="82">
        <v>0.75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122.71699796719101</v>
      </c>
      <c r="T55" s="84">
        <f t="shared" si="9"/>
        <v>212.55207543150146</v>
      </c>
      <c r="U55" s="81">
        <f t="shared" si="11"/>
        <v>143.22775648450261</v>
      </c>
      <c r="V55" s="84">
        <f t="shared" si="6"/>
        <v>3.98004706603921</v>
      </c>
      <c r="W55" s="84">
        <f t="shared" si="15"/>
        <v>11.854958430993729</v>
      </c>
      <c r="X55" s="84">
        <f t="shared" si="8"/>
        <v>13.354958430993729</v>
      </c>
      <c r="Y55" s="140" ph="1">
        <v>20</v>
      </c>
      <c r="Z55" s="84" t="str">
        <f t="shared" si="5"/>
        <v>OK</v>
      </c>
    </row>
    <row r="56" spans="1:26" ht="15" customHeight="1" x14ac:dyDescent="0.3">
      <c r="A56" s="80">
        <v>5</v>
      </c>
      <c r="B56" s="80" t="s">
        <v>133</v>
      </c>
      <c r="C56" s="80">
        <v>0</v>
      </c>
      <c r="D56" s="80">
        <v>2.8</v>
      </c>
      <c r="E56" s="81">
        <v>0</v>
      </c>
      <c r="F56" s="81">
        <v>0</v>
      </c>
      <c r="G56" s="81">
        <f t="shared" si="1"/>
        <v>0</v>
      </c>
      <c r="H56" s="81">
        <f t="shared" si="2"/>
        <v>99.144764999999992</v>
      </c>
      <c r="I56" s="81">
        <v>0</v>
      </c>
      <c r="J56" s="81">
        <f t="shared" si="3"/>
        <v>133.84543274999999</v>
      </c>
      <c r="K56" s="81">
        <v>355</v>
      </c>
      <c r="L56" s="82">
        <v>0.75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126.870999054565</v>
      </c>
      <c r="T56" s="84">
        <f t="shared" si="9"/>
        <v>219.74701636952958</v>
      </c>
      <c r="U56" s="81">
        <f t="shared" si="11"/>
        <v>133.87433326506604</v>
      </c>
      <c r="V56" s="84">
        <f t="shared" si="6"/>
        <v>3.98004706603921</v>
      </c>
      <c r="W56" s="84">
        <f t="shared" si="15"/>
        <v>11.848720854176587</v>
      </c>
      <c r="X56" s="84">
        <f t="shared" si="8"/>
        <v>13.348720854176587</v>
      </c>
      <c r="Y56" s="140" ph="1">
        <v>20</v>
      </c>
      <c r="Z56" s="84" t="str">
        <f t="shared" si="5"/>
        <v>OK</v>
      </c>
    </row>
    <row r="57" spans="1:26" ht="15" customHeight="1" x14ac:dyDescent="0.3">
      <c r="A57" s="80">
        <v>6</v>
      </c>
      <c r="B57" s="80" t="s">
        <v>133</v>
      </c>
      <c r="C57" s="80">
        <v>0</v>
      </c>
      <c r="D57" s="80">
        <v>3.5</v>
      </c>
      <c r="E57" s="81">
        <v>0</v>
      </c>
      <c r="F57" s="81">
        <v>0</v>
      </c>
      <c r="G57" s="81">
        <f t="shared" si="1"/>
        <v>0</v>
      </c>
      <c r="H57" s="81">
        <f t="shared" si="2"/>
        <v>92.106089999999995</v>
      </c>
      <c r="I57" s="81">
        <v>0</v>
      </c>
      <c r="J57" s="81">
        <f t="shared" si="3"/>
        <v>124.3432215</v>
      </c>
      <c r="K57" s="81">
        <v>355</v>
      </c>
      <c r="L57" s="82">
        <v>0.75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129.187999498008</v>
      </c>
      <c r="T57" s="84">
        <f t="shared" si="9"/>
        <v>223.76017885873247</v>
      </c>
      <c r="U57" s="81">
        <f t="shared" si="11"/>
        <v>128.65722202910229</v>
      </c>
      <c r="V57" s="84">
        <f t="shared" si="6"/>
        <v>3.98004706603921</v>
      </c>
      <c r="W57" s="84">
        <f t="shared" si="15"/>
        <v>11.649635117574402</v>
      </c>
      <c r="X57" s="84">
        <f t="shared" si="8"/>
        <v>13.149635117574402</v>
      </c>
      <c r="Y57" s="140" ph="1">
        <v>20</v>
      </c>
      <c r="Z57" s="84" t="str">
        <f t="shared" si="5"/>
        <v>OK</v>
      </c>
    </row>
    <row r="58" spans="1:26" ht="15" customHeight="1" x14ac:dyDescent="0.3">
      <c r="A58" s="80">
        <v>7</v>
      </c>
      <c r="B58" s="80" t="s">
        <v>133</v>
      </c>
      <c r="C58" s="80">
        <v>0</v>
      </c>
      <c r="D58" s="80">
        <v>4.2</v>
      </c>
      <c r="E58" s="81">
        <v>0</v>
      </c>
      <c r="F58" s="81">
        <v>0</v>
      </c>
      <c r="G58" s="81">
        <f t="shared" si="1"/>
        <v>0</v>
      </c>
      <c r="H58" s="81">
        <f t="shared" si="2"/>
        <v>85.067414999999997</v>
      </c>
      <c r="I58" s="81">
        <v>0</v>
      </c>
      <c r="J58" s="81">
        <f t="shared" si="3"/>
        <v>114.84101025</v>
      </c>
      <c r="K58" s="81">
        <v>355</v>
      </c>
      <c r="L58" s="82">
        <v>0.75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129.669000188257</v>
      </c>
      <c r="T58" s="84">
        <f t="shared" si="9"/>
        <v>224.59329649271945</v>
      </c>
      <c r="U58" s="81">
        <f t="shared" si="11"/>
        <v>127.57416910491922</v>
      </c>
      <c r="V58" s="84">
        <f t="shared" si="6"/>
        <v>3.98004706603921</v>
      </c>
      <c r="W58" s="84">
        <f t="shared" si="15"/>
        <v>11.243084592241628</v>
      </c>
      <c r="X58" s="84">
        <f t="shared" si="8"/>
        <v>12.743084592241628</v>
      </c>
      <c r="Y58" s="140" ph="1">
        <v>20</v>
      </c>
      <c r="Z58" s="84" t="str">
        <f t="shared" si="5"/>
        <v>OK</v>
      </c>
    </row>
    <row r="59" spans="1:26" ht="15" customHeight="1" x14ac:dyDescent="0.3">
      <c r="A59" s="80">
        <v>8</v>
      </c>
      <c r="B59" s="80" t="s">
        <v>133</v>
      </c>
      <c r="C59" s="80">
        <v>0</v>
      </c>
      <c r="D59" s="80">
        <v>4.9000000000000004</v>
      </c>
      <c r="E59" s="81">
        <v>0</v>
      </c>
      <c r="F59" s="81">
        <v>0</v>
      </c>
      <c r="G59" s="81">
        <f t="shared" si="1"/>
        <v>0</v>
      </c>
      <c r="H59" s="81">
        <f t="shared" si="2"/>
        <v>78.028739999999985</v>
      </c>
      <c r="I59" s="81">
        <v>0</v>
      </c>
      <c r="J59" s="81">
        <f t="shared" si="3"/>
        <v>105.33879899999998</v>
      </c>
      <c r="K59" s="81">
        <v>355</v>
      </c>
      <c r="L59" s="82">
        <v>0.75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126.86300262041701</v>
      </c>
      <c r="T59" s="84">
        <f t="shared" si="9"/>
        <v>219.73316613930587</v>
      </c>
      <c r="U59" s="81">
        <f t="shared" si="11"/>
        <v>133.89233856435689</v>
      </c>
      <c r="V59" s="84">
        <f t="shared" si="6"/>
        <v>3.98004706603921</v>
      </c>
      <c r="W59" s="84">
        <f t="shared" si="15"/>
        <v>10.510773274002055</v>
      </c>
      <c r="X59" s="84">
        <f t="shared" si="8"/>
        <v>12.010773274002055</v>
      </c>
      <c r="Y59" s="140" ph="1">
        <v>20</v>
      </c>
      <c r="Z59" s="84" t="str">
        <f t="shared" si="5"/>
        <v>OK</v>
      </c>
    </row>
    <row r="60" spans="1:26" ht="15" customHeight="1" x14ac:dyDescent="0.3">
      <c r="A60" s="80">
        <v>9</v>
      </c>
      <c r="B60" s="80" t="s">
        <v>133</v>
      </c>
      <c r="C60" s="80">
        <v>0</v>
      </c>
      <c r="D60" s="80">
        <v>5.6000000000000005</v>
      </c>
      <c r="E60" s="81">
        <v>0</v>
      </c>
      <c r="F60" s="81">
        <v>0</v>
      </c>
      <c r="G60" s="81">
        <f t="shared" si="1"/>
        <v>0</v>
      </c>
      <c r="H60" s="81">
        <f t="shared" si="2"/>
        <v>70.990064999999987</v>
      </c>
      <c r="I60" s="81">
        <v>0</v>
      </c>
      <c r="J60" s="81">
        <f t="shared" si="3"/>
        <v>95.836587749999993</v>
      </c>
      <c r="K60" s="81">
        <v>355</v>
      </c>
      <c r="L60" s="82">
        <v>0.75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123.67100177162</v>
      </c>
      <c r="T60" s="84">
        <f t="shared" si="9"/>
        <v>214.20445849138648</v>
      </c>
      <c r="U60" s="81">
        <f t="shared" si="11"/>
        <v>141.07965850665209</v>
      </c>
      <c r="V60" s="84">
        <f t="shared" si="6"/>
        <v>3.98004706603921</v>
      </c>
      <c r="W60" s="84">
        <f t="shared" si="15"/>
        <v>9.7667893649765336</v>
      </c>
      <c r="X60" s="84">
        <f t="shared" si="8"/>
        <v>11.266789364976534</v>
      </c>
      <c r="Y60" s="140" ph="1">
        <v>20</v>
      </c>
      <c r="Z60" s="84" t="str">
        <f t="shared" si="5"/>
        <v>OK</v>
      </c>
    </row>
    <row r="61" spans="1:26" ht="15" customHeight="1" x14ac:dyDescent="0.3">
      <c r="A61" s="80">
        <v>10</v>
      </c>
      <c r="B61" s="80" t="s">
        <v>133</v>
      </c>
      <c r="C61" s="80">
        <v>0</v>
      </c>
      <c r="D61" s="80">
        <v>6.3000000000000007</v>
      </c>
      <c r="E61" s="81">
        <v>0</v>
      </c>
      <c r="F61" s="81">
        <v>0</v>
      </c>
      <c r="G61" s="81">
        <f t="shared" si="1"/>
        <v>0</v>
      </c>
      <c r="H61" s="81">
        <f t="shared" si="2"/>
        <v>63.951389999999989</v>
      </c>
      <c r="I61" s="81">
        <v>0</v>
      </c>
      <c r="J61" s="81">
        <f t="shared" si="3"/>
        <v>86.334376499999991</v>
      </c>
      <c r="K61" s="81">
        <v>355</v>
      </c>
      <c r="L61" s="82">
        <v>0.75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118.693687247573</v>
      </c>
      <c r="T61" s="84">
        <f t="shared" si="9"/>
        <v>205.58349685048654</v>
      </c>
      <c r="U61" s="81">
        <f t="shared" si="11"/>
        <v>152.286908639822</v>
      </c>
      <c r="V61" s="84">
        <f t="shared" si="6"/>
        <v>3.98004706603921</v>
      </c>
      <c r="W61" s="84">
        <f t="shared" si="15"/>
        <v>8.9223435893998957</v>
      </c>
      <c r="X61" s="84">
        <f t="shared" si="8"/>
        <v>10.422343589399896</v>
      </c>
      <c r="Y61" s="140" ph="1">
        <v>20</v>
      </c>
      <c r="Z61" s="84" t="str">
        <f t="shared" si="5"/>
        <v>OK</v>
      </c>
    </row>
    <row r="62" spans="1:26" ht="15" customHeight="1" x14ac:dyDescent="0.3">
      <c r="A62" s="80">
        <v>11</v>
      </c>
      <c r="B62" s="80" t="s">
        <v>133</v>
      </c>
      <c r="C62" s="80">
        <v>0</v>
      </c>
      <c r="D62" s="80">
        <v>7</v>
      </c>
      <c r="E62" s="81">
        <v>0</v>
      </c>
      <c r="F62" s="81">
        <v>0</v>
      </c>
      <c r="G62" s="81">
        <f t="shared" si="1"/>
        <v>0</v>
      </c>
      <c r="H62" s="81">
        <f t="shared" si="2"/>
        <v>56.912714999999999</v>
      </c>
      <c r="I62" s="81">
        <v>0</v>
      </c>
      <c r="J62" s="81">
        <f t="shared" si="3"/>
        <v>76.832165250000003</v>
      </c>
      <c r="K62" s="81">
        <v>355</v>
      </c>
      <c r="L62" s="82">
        <v>0.75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110.455999215855</v>
      </c>
      <c r="T62" s="84">
        <f t="shared" si="9"/>
        <v>191.31540264264893</v>
      </c>
      <c r="U62" s="81">
        <f t="shared" si="11"/>
        <v>170.83543111001089</v>
      </c>
      <c r="V62" s="84">
        <f t="shared" si="6"/>
        <v>3.98004706603921</v>
      </c>
      <c r="W62" s="84">
        <f t="shared" si="15"/>
        <v>7.9469579054161414</v>
      </c>
      <c r="X62" s="84">
        <f t="shared" si="8"/>
        <v>9.4469579054161414</v>
      </c>
      <c r="Y62" s="140" ph="1">
        <v>20</v>
      </c>
      <c r="Z62" s="84" t="str">
        <f t="shared" si="5"/>
        <v>OK</v>
      </c>
    </row>
    <row r="63" spans="1:26" ht="15" customHeight="1" x14ac:dyDescent="0.3">
      <c r="A63" s="80">
        <v>12</v>
      </c>
      <c r="B63" s="80" t="s">
        <v>133</v>
      </c>
      <c r="C63" s="80">
        <v>0</v>
      </c>
      <c r="D63" s="80">
        <v>7.7</v>
      </c>
      <c r="E63" s="81">
        <v>0</v>
      </c>
      <c r="F63" s="81">
        <v>0</v>
      </c>
      <c r="G63" s="81">
        <f t="shared" si="1"/>
        <v>0</v>
      </c>
      <c r="H63" s="81">
        <f t="shared" si="2"/>
        <v>49.874039999999994</v>
      </c>
      <c r="I63" s="81">
        <v>0</v>
      </c>
      <c r="J63" s="81">
        <f t="shared" si="3"/>
        <v>67.329954000000001</v>
      </c>
      <c r="K63" s="81">
        <v>355</v>
      </c>
      <c r="L63" s="82">
        <v>0.75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100.59199943854</v>
      </c>
      <c r="T63" s="84">
        <f t="shared" si="9"/>
        <v>174.23045386249126</v>
      </c>
      <c r="U63" s="81">
        <f t="shared" si="11"/>
        <v>193.04586452421586</v>
      </c>
      <c r="V63" s="84">
        <f t="shared" si="6"/>
        <v>3.98004706603921</v>
      </c>
      <c r="W63" s="84">
        <f t="shared" si="15"/>
        <v>6.9982952026198131</v>
      </c>
      <c r="X63" s="84">
        <f t="shared" si="8"/>
        <v>8.4982952026198131</v>
      </c>
      <c r="Y63" s="140" ph="1">
        <v>20</v>
      </c>
      <c r="Z63" s="84" t="str">
        <f t="shared" si="5"/>
        <v>OK</v>
      </c>
    </row>
    <row r="64" spans="1:26" ht="15" customHeight="1" x14ac:dyDescent="0.3">
      <c r="A64" s="80">
        <v>13</v>
      </c>
      <c r="B64" s="80" t="s">
        <v>133</v>
      </c>
      <c r="C64" s="80">
        <v>0</v>
      </c>
      <c r="D64" s="80">
        <v>8.4</v>
      </c>
      <c r="E64" s="81">
        <v>0</v>
      </c>
      <c r="F64" s="81">
        <v>0</v>
      </c>
      <c r="G64" s="81">
        <f t="shared" si="1"/>
        <v>0</v>
      </c>
      <c r="H64" s="81">
        <f t="shared" si="2"/>
        <v>42.835364999999996</v>
      </c>
      <c r="I64" s="81">
        <v>0</v>
      </c>
      <c r="J64" s="81">
        <f t="shared" si="3"/>
        <v>57.827742749999999</v>
      </c>
      <c r="K64" s="81">
        <v>355</v>
      </c>
      <c r="L64" s="82">
        <v>0.75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92.254999999999995</v>
      </c>
      <c r="T64" s="84">
        <f t="shared" si="9"/>
        <v>159.79034725226677</v>
      </c>
      <c r="U64" s="81">
        <f t="shared" si="11"/>
        <v>211.81800311750771</v>
      </c>
      <c r="V64" s="84">
        <f t="shared" si="6"/>
        <v>3.98004706603921</v>
      </c>
      <c r="W64" s="84">
        <f t="shared" si="15"/>
        <v>6.1916305696039604</v>
      </c>
      <c r="X64" s="84">
        <f t="shared" si="8"/>
        <v>7.6916305696039604</v>
      </c>
      <c r="Y64" s="140" ph="1">
        <v>20</v>
      </c>
      <c r="Z64" s="84" t="str">
        <f t="shared" si="5"/>
        <v>OK</v>
      </c>
    </row>
    <row r="65" spans="1:1" ht="15" customHeight="1" x14ac:dyDescent="0.45"/>
    <row r="66" spans="1:1" ht="15" customHeight="1" x14ac:dyDescent="0.45">
      <c r="A66" s="4" t="s">
        <v>134</v>
      </c>
    </row>
    <row r="67" spans="1:1" ht="15" customHeight="1" x14ac:dyDescent="0.45">
      <c r="A67" s="4" t="s">
        <v>135</v>
      </c>
    </row>
    <row r="68" spans="1:1" ht="15" customHeight="1" x14ac:dyDescent="0.45">
      <c r="A68" s="4" t="s">
        <v>263</v>
      </c>
    </row>
    <row r="69" spans="1:1" ht="15" customHeight="1" x14ac:dyDescent="0.45"/>
    <row r="70" spans="1:1" ht="15" customHeight="1" x14ac:dyDescent="0.45"/>
    <row r="71" spans="1:1" ht="15" customHeight="1" x14ac:dyDescent="0.45"/>
    <row r="72" spans="1:1" ht="15" customHeight="1" x14ac:dyDescent="0.45"/>
    <row r="73" spans="1:1" ht="15" customHeight="1" x14ac:dyDescent="0.45"/>
    <row r="74" spans="1:1" ht="15" customHeight="1" x14ac:dyDescent="0.45"/>
    <row r="75" spans="1:1" ht="15" customHeight="1" x14ac:dyDescent="0.45"/>
    <row r="76" spans="1:1" ht="15" customHeight="1" x14ac:dyDescent="0.45"/>
    <row r="77" spans="1:1" ht="15" customHeight="1" x14ac:dyDescent="0.45"/>
    <row r="78" spans="1:1" ht="15" customHeight="1" x14ac:dyDescent="0.45"/>
    <row r="79" spans="1:1" ht="15" customHeight="1" x14ac:dyDescent="0.45"/>
    <row r="80" spans="1:1" ht="15" customHeight="1" x14ac:dyDescent="0.45"/>
    <row r="81" ht="15" customHeight="1" x14ac:dyDescent="0.45"/>
    <row r="82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52:Z64">
    <cfRule type="cellIs" dxfId="22" priority="4" operator="equal">
      <formula>"N.G"</formula>
    </cfRule>
  </conditionalFormatting>
  <conditionalFormatting sqref="Z23:Z30">
    <cfRule type="cellIs" dxfId="21" priority="3" operator="equal">
      <formula>"N.G"</formula>
    </cfRule>
  </conditionalFormatting>
  <conditionalFormatting sqref="Z44:Z51">
    <cfRule type="cellIs" dxfId="20" priority="2" operator="equal">
      <formula>"N.G"</formula>
    </cfRule>
  </conditionalFormatting>
  <conditionalFormatting sqref="Z31:Z43">
    <cfRule type="cellIs" dxfId="1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4" zoomScale="130" zoomScaleNormal="130" workbookViewId="0">
      <selection activeCell="Y23" sqref="Y23:Y2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4">
        <f>'Global Strength'!H10</f>
        <v>731745</v>
      </c>
      <c r="N11" s="324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5">
        <f>'Global Strength'!H6</f>
        <v>13.648899999999999</v>
      </c>
      <c r="N12" s="325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5">
        <f>'Global Strength'!H5</f>
        <v>4.4139999999999997</v>
      </c>
      <c r="N13" s="325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5"/>
      <c r="N14" s="325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4">
        <f>'Global Strength'!H27</f>
        <v>54033</v>
      </c>
      <c r="N15" s="324"/>
      <c r="O15" s="5" t="s">
        <v>92</v>
      </c>
    </row>
    <row r="16" spans="1:15" ht="12" customHeight="1" x14ac:dyDescent="0.3">
      <c r="F16" s="5"/>
      <c r="G16" s="5"/>
      <c r="M16" s="8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182"/>
      <c r="R20" s="70"/>
      <c r="S20" s="70"/>
    </row>
    <row r="21" spans="1:30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/>
    </row>
    <row r="22" spans="1:30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30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$M$11/($M$12/ABS($M$13-D23))/1000</f>
        <v>236.64342401219145</v>
      </c>
      <c r="R23" s="292">
        <v>0</v>
      </c>
      <c r="S23" s="292">
        <v>-44.858346303234299</v>
      </c>
      <c r="T23" s="290">
        <f t="shared" ref="T23:T24" si="0">SQRT(Q23^2+R23^2-Q23*R23+3*S23^2)</f>
        <v>249.07212575355859</v>
      </c>
      <c r="U23" s="289">
        <f>MIN(K23/$F$7,1.3*(K23/$F$7-T23))</f>
        <v>95.751691065828325</v>
      </c>
      <c r="V23" s="290">
        <f>14.3*$F$8/SQRT(K23/$F$7)</f>
        <v>3.98004706603921</v>
      </c>
      <c r="W23" s="290">
        <f>15.8*N23*L23*SQRT(J23)/SQRT(U23*P23)</f>
        <v>15.875422691568044</v>
      </c>
      <c r="X23" s="290">
        <f>MAX(V23,W23)+O23</f>
        <v>17.375422691568044</v>
      </c>
      <c r="Y23" s="293">
        <v>17.5</v>
      </c>
      <c r="Z23" s="294" t="str">
        <f>IF(MROUND(X23,0.5)&lt;=Y23,"OK","N.G")</f>
        <v>OK</v>
      </c>
    </row>
    <row r="24" spans="1:30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4" si="1">E24*$F$18+F24*$F$17</f>
        <v>0</v>
      </c>
      <c r="H24" s="186">
        <f t="shared" ref="H24:H64" si="2">1.025*9.81*(($F$10+0.76)-D24)</f>
        <v>127.29946499999998</v>
      </c>
      <c r="I24" s="185">
        <v>0</v>
      </c>
      <c r="J24" s="185">
        <f t="shared" ref="J24:J6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51" si="4">$M$11/($M$12/ABS($M$13-D24))/1000</f>
        <v>236.64342401219145</v>
      </c>
      <c r="R24" s="188">
        <v>0</v>
      </c>
      <c r="S24" s="188">
        <v>-25.406329913615899</v>
      </c>
      <c r="T24" s="186">
        <f t="shared" si="0"/>
        <v>240.7001348716953</v>
      </c>
      <c r="U24" s="185">
        <f>MIN(K24/$F$7,1.3*(K24/$F$7-T24))</f>
        <v>106.63527921225061</v>
      </c>
      <c r="V24" s="186">
        <f>14.3*$F$8/SQRT(K24/$F$7)</f>
        <v>3.98004706603921</v>
      </c>
      <c r="W24" s="186">
        <f>15.8*N24*L24*SQRT(J24)/SQRT(U24*P24)</f>
        <v>15.043471534938181</v>
      </c>
      <c r="X24" s="186">
        <f>MAX(V24,W24)+O24</f>
        <v>16.543471534938181</v>
      </c>
      <c r="Y24" s="189">
        <v>17.5</v>
      </c>
      <c r="Z24" s="190" t="str">
        <f t="shared" ref="Z24:Z64" si="5">IF(MROUND(X24,0.5)&lt;=Y24,"OK","N.G")</f>
        <v>OK</v>
      </c>
    </row>
    <row r="25" spans="1:30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236.64342401219145</v>
      </c>
      <c r="R25" s="188">
        <v>0</v>
      </c>
      <c r="S25" s="188">
        <v>-5.9543142777256</v>
      </c>
      <c r="T25" s="186">
        <f>SQRT(Q25^2+R25^2-Q25*R25+3*S25^2)</f>
        <v>236.86804702991836</v>
      </c>
      <c r="U25" s="185">
        <f>MIN(K25/$F$7,1.3*(K25/$F$7-T25))</f>
        <v>111.61699340656064</v>
      </c>
      <c r="V25" s="186">
        <f t="shared" ref="V25:V64" si="6">14.3*$F$8/SQRT(K25/$F$7)</f>
        <v>3.98004706603921</v>
      </c>
      <c r="W25" s="186">
        <f t="shared" ref="W25:W29" si="7">15.8*N25*L25*SQRT(J25)/SQRT(U25*P25)</f>
        <v>14.703927878867775</v>
      </c>
      <c r="X25" s="186">
        <f t="shared" ref="X25:X64" si="8">MAX(V25,W25)+O25</f>
        <v>16.203927878867773</v>
      </c>
      <c r="Y25" s="189">
        <v>17.5</v>
      </c>
      <c r="Z25" s="190" t="str">
        <f t="shared" si="5"/>
        <v>OK</v>
      </c>
    </row>
    <row r="26" spans="1:30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236.64342401219145</v>
      </c>
      <c r="R26" s="228">
        <v>0</v>
      </c>
      <c r="S26" s="228">
        <v>13.4976957315119</v>
      </c>
      <c r="T26" s="226">
        <f t="shared" ref="T26:T64" si="9">SQRT(Q26^2+R26^2-Q26*R26+3*S26^2)</f>
        <v>237.79544465442405</v>
      </c>
      <c r="U26" s="225">
        <f>MIN(K26/$F$7,1.3*(K26/$F$7-T26))</f>
        <v>110.41137649470325</v>
      </c>
      <c r="V26" s="226">
        <f t="shared" si="6"/>
        <v>3.98004706603921</v>
      </c>
      <c r="W26" s="226">
        <f t="shared" si="7"/>
        <v>14.783988351723869</v>
      </c>
      <c r="X26" s="226">
        <f>MAX(V26,W26)+O26</f>
        <v>16.28398835172387</v>
      </c>
      <c r="Y26" s="229">
        <v>17.5</v>
      </c>
      <c r="Z26" s="230" t="str">
        <f t="shared" si="5"/>
        <v>OK</v>
      </c>
    </row>
    <row r="27" spans="1:30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236.64342401219145</v>
      </c>
      <c r="R27" s="220">
        <v>0</v>
      </c>
      <c r="S27" s="220">
        <v>32.949718822758904</v>
      </c>
      <c r="T27" s="218">
        <f t="shared" si="9"/>
        <v>243.42794013775503</v>
      </c>
      <c r="U27" s="217">
        <f>MIN(K27/$F$7,1.3*(K27/$F$7-T27))</f>
        <v>103.08913236637297</v>
      </c>
      <c r="V27" s="218">
        <f t="shared" si="6"/>
        <v>3.98004706603921</v>
      </c>
      <c r="W27" s="218">
        <f t="shared" si="7"/>
        <v>15.300022926302619</v>
      </c>
      <c r="X27" s="218">
        <f t="shared" si="8"/>
        <v>16.800022926302617</v>
      </c>
      <c r="Y27" s="221">
        <v>22</v>
      </c>
      <c r="Z27" s="222" t="str">
        <f t="shared" si="5"/>
        <v>OK</v>
      </c>
    </row>
    <row r="28" spans="1:30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236.64342401219145</v>
      </c>
      <c r="R28" s="188">
        <v>0</v>
      </c>
      <c r="S28" s="188">
        <v>52.4017358177692</v>
      </c>
      <c r="T28" s="186">
        <f t="shared" si="9"/>
        <v>253.45203861551332</v>
      </c>
      <c r="U28" s="185">
        <f t="shared" ref="U28:U30" si="10">MIN(K28/$F$7,1.3*(K28/$F$7-T28))</f>
        <v>90.057804345287195</v>
      </c>
      <c r="V28" s="186">
        <f t="shared" si="6"/>
        <v>3.98004706603921</v>
      </c>
      <c r="W28" s="186">
        <f t="shared" si="7"/>
        <v>16.369591680522756</v>
      </c>
      <c r="X28" s="186">
        <f t="shared" si="8"/>
        <v>17.869591680522756</v>
      </c>
      <c r="Y28" s="189">
        <v>22</v>
      </c>
      <c r="Z28" s="190" t="str">
        <f t="shared" si="5"/>
        <v>OK</v>
      </c>
    </row>
    <row r="29" spans="1:30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236.64342401219145</v>
      </c>
      <c r="R29" s="188">
        <v>0</v>
      </c>
      <c r="S29" s="188">
        <v>71.853751507935698</v>
      </c>
      <c r="T29" s="186">
        <f t="shared" si="9"/>
        <v>267.37426006537413</v>
      </c>
      <c r="U29" s="185">
        <f t="shared" si="10"/>
        <v>71.958916460468132</v>
      </c>
      <c r="V29" s="186">
        <f t="shared" si="6"/>
        <v>3.98004706603921</v>
      </c>
      <c r="W29" s="186">
        <f t="shared" si="7"/>
        <v>18.312861725790516</v>
      </c>
      <c r="X29" s="186">
        <f t="shared" si="8"/>
        <v>19.812861725790516</v>
      </c>
      <c r="Y29" s="189">
        <v>22</v>
      </c>
      <c r="Z29" s="190" t="str">
        <f>IF(MROUND(X29,0.5)&lt;=Y29,"OK","N.G")</f>
        <v>OK</v>
      </c>
    </row>
    <row r="30" spans="1:30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236.64342401219145</v>
      </c>
      <c r="R30" s="212">
        <v>0</v>
      </c>
      <c r="S30" s="212">
        <v>84.292431129999997</v>
      </c>
      <c r="T30" s="210">
        <f t="shared" si="9"/>
        <v>278.05710198739973</v>
      </c>
      <c r="U30" s="209">
        <f t="shared" si="10"/>
        <v>58.071221961834844</v>
      </c>
      <c r="V30" s="210">
        <f t="shared" si="6"/>
        <v>3.98004706603921</v>
      </c>
      <c r="W30" s="210">
        <f>15.8*N30*L30*SQRT(J30)/SQRT(U30*P30)</f>
        <v>20.385343855861223</v>
      </c>
      <c r="X30" s="210">
        <f>MAX(V30,W30)+O30</f>
        <v>21.885343855861223</v>
      </c>
      <c r="Y30" s="213">
        <v>22</v>
      </c>
      <c r="Z30" s="214" t="str">
        <f t="shared" si="5"/>
        <v>OK</v>
      </c>
    </row>
    <row r="31" spans="1:30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236.64342401219145</v>
      </c>
      <c r="R31" s="236">
        <v>0</v>
      </c>
      <c r="S31" s="236">
        <v>84.292431129999997</v>
      </c>
      <c r="T31" s="233">
        <f>SQRT(Q31^2+R31^2-Q31*R31+3*S31^2)</f>
        <v>278.05710198739973</v>
      </c>
      <c r="U31" s="234">
        <f>MIN(K31/$F$7,1.3*(K31/$F$7-T31))</f>
        <v>58.071221961834844</v>
      </c>
      <c r="V31" s="233">
        <f>14.3*$F$8/SQRT(K31/$F$7)</f>
        <v>3.98004706603921</v>
      </c>
      <c r="W31" s="233">
        <f>15.8*N31*L31*SQRT(J31)/SQRT(U31*P31)</f>
        <v>19.026320932137139</v>
      </c>
      <c r="X31" s="233">
        <f>MAX(V31,W31)+O31</f>
        <v>20.526320932137139</v>
      </c>
      <c r="Y31" s="237" ph="1">
        <v>20.5</v>
      </c>
      <c r="Z31" s="238" t="str">
        <f>IF(MROUND(X31,0.5)&lt;=Y31,"OK","N.G")</f>
        <v>OK</v>
      </c>
    </row>
    <row r="32" spans="1:30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199.11501512942434</v>
      </c>
      <c r="R32" s="196">
        <v>0</v>
      </c>
      <c r="S32" s="196">
        <v>99.940269143958503</v>
      </c>
      <c r="T32" s="193">
        <f t="shared" si="9"/>
        <v>263.83889296252642</v>
      </c>
      <c r="U32" s="194">
        <f t="shared" ref="U32:U64" si="11">MIN(K32/$F$7,1.3*(K32/$F$7-T32))</f>
        <v>76.554893694170161</v>
      </c>
      <c r="V32" s="193">
        <f t="shared" si="6"/>
        <v>3.98004706603921</v>
      </c>
      <c r="W32" s="193">
        <f t="shared" ref="W32:W51" si="12">15.8*N32*L32*SQRT(J32)/SQRT(U32*P32)</f>
        <v>16.106365807220833</v>
      </c>
      <c r="X32" s="193">
        <f t="shared" si="8"/>
        <v>17.606365807220833</v>
      </c>
      <c r="Y32" s="237" ph="1">
        <v>20.5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161.58660624665723</v>
      </c>
      <c r="R33" s="196">
        <v>0</v>
      </c>
      <c r="S33" s="196">
        <v>112.79730842175201</v>
      </c>
      <c r="T33" s="193">
        <f t="shared" si="9"/>
        <v>253.53486876539839</v>
      </c>
      <c r="U33" s="194">
        <f t="shared" si="11"/>
        <v>89.950125150436605</v>
      </c>
      <c r="V33" s="193">
        <f t="shared" si="6"/>
        <v>3.98004706603921</v>
      </c>
      <c r="W33" s="193">
        <f t="shared" si="12"/>
        <v>14.417393662492431</v>
      </c>
      <c r="X33" s="193">
        <f t="shared" si="8"/>
        <v>15.917393662492431</v>
      </c>
      <c r="Y33" s="237" ph="1">
        <v>20.5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124.05819736389014</v>
      </c>
      <c r="R34" s="196">
        <v>0</v>
      </c>
      <c r="S34" s="196">
        <v>122.863548786259</v>
      </c>
      <c r="T34" s="193">
        <f t="shared" si="9"/>
        <v>246.32659457362345</v>
      </c>
      <c r="U34" s="194">
        <f t="shared" si="11"/>
        <v>99.320881599744013</v>
      </c>
      <c r="V34" s="193">
        <f t="shared" si="6"/>
        <v>3.98004706603921</v>
      </c>
      <c r="W34" s="193">
        <f t="shared" si="12"/>
        <v>13.287097559550412</v>
      </c>
      <c r="X34" s="193">
        <f t="shared" si="8"/>
        <v>14.787097559550412</v>
      </c>
      <c r="Y34" s="237" ph="1">
        <v>20.5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3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86.52978848112302</v>
      </c>
      <c r="R35" s="284">
        <v>0</v>
      </c>
      <c r="S35" s="284">
        <v>130.13898892624101</v>
      </c>
      <c r="T35" s="281">
        <f t="shared" si="9"/>
        <v>241.44538432287484</v>
      </c>
      <c r="U35" s="282">
        <f t="shared" si="11"/>
        <v>105.6664549257172</v>
      </c>
      <c r="V35" s="281">
        <f t="shared" si="6"/>
        <v>3.98004706603921</v>
      </c>
      <c r="W35" s="281">
        <f t="shared" si="12"/>
        <v>12.447677745363379</v>
      </c>
      <c r="X35" s="281">
        <f t="shared" si="8"/>
        <v>13.947677745363379</v>
      </c>
      <c r="Y35" s="237" ph="1">
        <v>20.5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49.001379598355896</v>
      </c>
      <c r="R36" s="252">
        <v>0</v>
      </c>
      <c r="S36" s="252">
        <v>134.62363396953799</v>
      </c>
      <c r="T36" s="249">
        <f t="shared" si="9"/>
        <v>238.26813398361648</v>
      </c>
      <c r="U36" s="250">
        <f t="shared" si="11"/>
        <v>109.79688036675307</v>
      </c>
      <c r="V36" s="249">
        <f t="shared" si="6"/>
        <v>3.98004706603921</v>
      </c>
      <c r="W36" s="249">
        <f t="shared" si="12"/>
        <v>11.769856937911719</v>
      </c>
      <c r="X36" s="249">
        <f t="shared" si="8"/>
        <v>13.269856937911719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11.472970715588778</v>
      </c>
      <c r="R37" s="196">
        <v>0</v>
      </c>
      <c r="S37" s="196">
        <v>136.317478775952</v>
      </c>
      <c r="T37" s="193">
        <f t="shared" si="9"/>
        <v>236.38738146639116</v>
      </c>
      <c r="U37" s="194">
        <f t="shared" si="11"/>
        <v>112.24185863914599</v>
      </c>
      <c r="V37" s="193">
        <f t="shared" si="6"/>
        <v>3.98004706603921</v>
      </c>
      <c r="W37" s="193">
        <f t="shared" si="12"/>
        <v>11.187323697899595</v>
      </c>
      <c r="X37" s="193">
        <f t="shared" si="8"/>
        <v>12.687323697899595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26.055438167178341</v>
      </c>
      <c r="R38" s="196">
        <v>0</v>
      </c>
      <c r="S38" s="196">
        <v>135.220525103277</v>
      </c>
      <c r="T38" s="193">
        <f t="shared" si="9"/>
        <v>235.65368039922811</v>
      </c>
      <c r="U38" s="194">
        <f t="shared" si="11"/>
        <v>113.19567002645796</v>
      </c>
      <c r="V38" s="193">
        <f t="shared" si="6"/>
        <v>3.98004706603921</v>
      </c>
      <c r="W38" s="193">
        <f t="shared" si="12"/>
        <v>10.669262515014788</v>
      </c>
      <c r="X38" s="193">
        <f t="shared" si="8"/>
        <v>12.169262515014788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63.583847049945462</v>
      </c>
      <c r="R39" s="284">
        <v>0</v>
      </c>
      <c r="S39" s="284">
        <v>128.16985779999999</v>
      </c>
      <c r="T39" s="281">
        <f t="shared" si="9"/>
        <v>230.92302386528615</v>
      </c>
      <c r="U39" s="282">
        <f t="shared" si="11"/>
        <v>119.3455235205825</v>
      </c>
      <c r="V39" s="281">
        <f t="shared" si="6"/>
        <v>3.98004706603921</v>
      </c>
      <c r="W39" s="281">
        <f t="shared" si="12"/>
        <v>9.9110058204339957</v>
      </c>
      <c r="X39" s="281">
        <f t="shared" si="8"/>
        <v>11.411005820433996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101.1122559327126</v>
      </c>
      <c r="R40" s="252">
        <v>0</v>
      </c>
      <c r="S40" s="252">
        <v>121.49130637627199</v>
      </c>
      <c r="T40" s="249">
        <f t="shared" si="9"/>
        <v>233.46113354227066</v>
      </c>
      <c r="U40" s="250">
        <f t="shared" si="11"/>
        <v>116.04598094050264</v>
      </c>
      <c r="V40" s="249">
        <f t="shared" si="6"/>
        <v>3.98004706603921</v>
      </c>
      <c r="W40" s="249">
        <f t="shared" si="12"/>
        <v>9.5396392863223394</v>
      </c>
      <c r="X40" s="249">
        <f t="shared" si="8"/>
        <v>11.039639286322339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138.64066481547968</v>
      </c>
      <c r="R41" s="196">
        <v>0</v>
      </c>
      <c r="S41" s="196">
        <v>112.021955775633</v>
      </c>
      <c r="T41" s="193">
        <f t="shared" si="9"/>
        <v>238.47010225156487</v>
      </c>
      <c r="U41" s="194">
        <f t="shared" si="11"/>
        <v>109.53432161842018</v>
      </c>
      <c r="V41" s="193">
        <f t="shared" si="6"/>
        <v>3.98004706603921</v>
      </c>
      <c r="W41" s="193">
        <f t="shared" si="12"/>
        <v>9.2629976050301917</v>
      </c>
      <c r="X41" s="193">
        <f t="shared" si="8"/>
        <v>10.762997605030192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176.16907369824685</v>
      </c>
      <c r="R42" s="196">
        <v>0</v>
      </c>
      <c r="S42" s="196">
        <v>99.761806961693594</v>
      </c>
      <c r="T42" s="193">
        <f t="shared" si="9"/>
        <v>246.76465896170177</v>
      </c>
      <c r="U42" s="194">
        <f t="shared" si="11"/>
        <v>98.751397895242206</v>
      </c>
      <c r="V42" s="193">
        <f t="shared" si="6"/>
        <v>3.98004706603921</v>
      </c>
      <c r="W42" s="193">
        <f t="shared" si="12"/>
        <v>9.1324575001214008</v>
      </c>
      <c r="X42" s="193">
        <f t="shared" si="8"/>
        <v>10.632457500121401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1"/>
        <v>0</v>
      </c>
      <c r="H43" s="241">
        <f>1.025*9.81*(($F$10+0.76)-D43)</f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213.6974825810139</v>
      </c>
      <c r="R43" s="244">
        <v>0</v>
      </c>
      <c r="S43" s="244">
        <v>72.077346899999995</v>
      </c>
      <c r="T43" s="241">
        <f t="shared" si="9"/>
        <v>247.49150666213083</v>
      </c>
      <c r="U43" s="242">
        <f t="shared" si="11"/>
        <v>97.806495884684423</v>
      </c>
      <c r="V43" s="241">
        <f t="shared" si="6"/>
        <v>3.98004706603921</v>
      </c>
      <c r="W43" s="241">
        <f t="shared" si="12"/>
        <v>8.5043161594441568</v>
      </c>
      <c r="X43" s="241">
        <f t="shared" si="8"/>
        <v>10.004316159444157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55">
        <v>1</v>
      </c>
      <c r="B44" s="256" t="s">
        <v>132</v>
      </c>
      <c r="C44" s="256">
        <v>0.75</v>
      </c>
      <c r="D44" s="256">
        <v>8.4</v>
      </c>
      <c r="E44" s="257">
        <v>0</v>
      </c>
      <c r="F44" s="257">
        <v>0</v>
      </c>
      <c r="G44" s="257">
        <f t="shared" si="1"/>
        <v>0</v>
      </c>
      <c r="H44" s="258">
        <f t="shared" si="2"/>
        <v>42.835364999999996</v>
      </c>
      <c r="I44" s="257">
        <v>0</v>
      </c>
      <c r="J44" s="257">
        <f t="shared" si="3"/>
        <v>57.827742749999999</v>
      </c>
      <c r="K44" s="257">
        <v>355</v>
      </c>
      <c r="L44" s="259">
        <v>0.75</v>
      </c>
      <c r="M44" s="259">
        <v>4</v>
      </c>
      <c r="N44" s="260">
        <v>1</v>
      </c>
      <c r="O44" s="260">
        <v>1.5</v>
      </c>
      <c r="P44" s="260">
        <v>1</v>
      </c>
      <c r="Q44" s="260">
        <f t="shared" si="4"/>
        <v>213.6974825810139</v>
      </c>
      <c r="R44" s="260">
        <v>0</v>
      </c>
      <c r="S44" s="260">
        <v>-43.174753191039201</v>
      </c>
      <c r="T44" s="258">
        <f>SQRT(Q44^2+R44^2-Q44*R44+3*S44^2)</f>
        <v>226.4040459019763</v>
      </c>
      <c r="U44" s="257">
        <f>MIN(K44/$F$7,1.3*(K44/$F$7-T44))</f>
        <v>125.22019487288532</v>
      </c>
      <c r="V44" s="258">
        <f t="shared" si="6"/>
        <v>3.98004706603921</v>
      </c>
      <c r="W44" s="258">
        <f>15.8*N44*L44*SQRT(J44)/SQRT(U44*P44)</f>
        <v>8.0528439419205302</v>
      </c>
      <c r="X44" s="258">
        <f t="shared" si="8"/>
        <v>9.5528439419205302</v>
      </c>
      <c r="Y44" s="261" ph="1">
        <v>20</v>
      </c>
      <c r="Z44" s="262" t="str">
        <f t="shared" si="5"/>
        <v>OK</v>
      </c>
    </row>
    <row r="45" spans="1:26" ht="15" customHeight="1" x14ac:dyDescent="0.3">
      <c r="A45" s="199">
        <v>2</v>
      </c>
      <c r="B45" s="200" t="s">
        <v>132</v>
      </c>
      <c r="C45" s="200">
        <v>1.5</v>
      </c>
      <c r="D45" s="200">
        <v>8.4</v>
      </c>
      <c r="E45" s="201">
        <v>0</v>
      </c>
      <c r="F45" s="201">
        <v>0</v>
      </c>
      <c r="G45" s="201">
        <f t="shared" si="1"/>
        <v>0</v>
      </c>
      <c r="H45" s="202">
        <f t="shared" si="2"/>
        <v>42.835364999999996</v>
      </c>
      <c r="I45" s="201">
        <v>0</v>
      </c>
      <c r="J45" s="201">
        <f t="shared" si="3"/>
        <v>57.827742749999999</v>
      </c>
      <c r="K45" s="201">
        <v>355</v>
      </c>
      <c r="L45" s="203">
        <v>0.75</v>
      </c>
      <c r="M45" s="203">
        <v>4</v>
      </c>
      <c r="N45" s="204">
        <v>1</v>
      </c>
      <c r="O45" s="204">
        <v>1.5</v>
      </c>
      <c r="P45" s="204">
        <v>1</v>
      </c>
      <c r="Q45" s="204">
        <f t="shared" si="4"/>
        <v>213.6974825810139</v>
      </c>
      <c r="R45" s="204">
        <v>0</v>
      </c>
      <c r="S45" s="204">
        <v>-26.710167967759901</v>
      </c>
      <c r="T45" s="202">
        <f t="shared" si="9"/>
        <v>218.64792082263344</v>
      </c>
      <c r="U45" s="201">
        <f t="shared" si="11"/>
        <v>135.30315747603103</v>
      </c>
      <c r="V45" s="202">
        <f t="shared" si="6"/>
        <v>3.98004706603921</v>
      </c>
      <c r="W45" s="202">
        <f t="shared" si="12"/>
        <v>7.7469812484320366</v>
      </c>
      <c r="X45" s="202">
        <f t="shared" si="8"/>
        <v>9.2469812484320357</v>
      </c>
      <c r="Y45" s="205" ph="1">
        <v>20</v>
      </c>
      <c r="Z45" s="206" t="str">
        <f t="shared" si="5"/>
        <v>OK</v>
      </c>
    </row>
    <row r="46" spans="1:26" ht="15" customHeight="1" x14ac:dyDescent="0.3">
      <c r="A46" s="199">
        <v>3</v>
      </c>
      <c r="B46" s="200" t="s">
        <v>132</v>
      </c>
      <c r="C46" s="200">
        <v>2.25</v>
      </c>
      <c r="D46" s="200">
        <v>8.4</v>
      </c>
      <c r="E46" s="201">
        <v>0</v>
      </c>
      <c r="F46" s="201">
        <v>0</v>
      </c>
      <c r="G46" s="201">
        <f t="shared" si="1"/>
        <v>0</v>
      </c>
      <c r="H46" s="202">
        <f t="shared" si="2"/>
        <v>42.835364999999996</v>
      </c>
      <c r="I46" s="201">
        <v>0</v>
      </c>
      <c r="J46" s="201">
        <f t="shared" si="3"/>
        <v>57.827742749999999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si="4"/>
        <v>213.6974825810139</v>
      </c>
      <c r="R46" s="204">
        <v>0</v>
      </c>
      <c r="S46" s="204">
        <v>-10.245582192279199</v>
      </c>
      <c r="T46" s="202">
        <f t="shared" si="9"/>
        <v>214.43304298740665</v>
      </c>
      <c r="U46" s="201">
        <f t="shared" si="11"/>
        <v>140.78249866182585</v>
      </c>
      <c r="V46" s="202">
        <f t="shared" si="6"/>
        <v>3.98004706603921</v>
      </c>
      <c r="W46" s="202">
        <f t="shared" si="12"/>
        <v>7.594726452943104</v>
      </c>
      <c r="X46" s="202">
        <f t="shared" si="8"/>
        <v>9.0947264529431031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263">
        <v>4</v>
      </c>
      <c r="B47" s="264" t="s">
        <v>132</v>
      </c>
      <c r="C47" s="264">
        <v>3</v>
      </c>
      <c r="D47" s="264">
        <v>8.4</v>
      </c>
      <c r="E47" s="265">
        <v>0</v>
      </c>
      <c r="F47" s="265">
        <v>0</v>
      </c>
      <c r="G47" s="265">
        <f t="shared" si="1"/>
        <v>0</v>
      </c>
      <c r="H47" s="266">
        <f t="shared" si="2"/>
        <v>42.835364999999996</v>
      </c>
      <c r="I47" s="265">
        <v>0</v>
      </c>
      <c r="J47" s="265">
        <f t="shared" si="3"/>
        <v>57.827742749999999</v>
      </c>
      <c r="K47" s="265">
        <v>355</v>
      </c>
      <c r="L47" s="267">
        <v>0.75</v>
      </c>
      <c r="M47" s="267">
        <v>4</v>
      </c>
      <c r="N47" s="268">
        <v>1</v>
      </c>
      <c r="O47" s="268">
        <v>1.5</v>
      </c>
      <c r="P47" s="268">
        <v>1</v>
      </c>
      <c r="Q47" s="268">
        <f t="shared" si="4"/>
        <v>213.6974825810139</v>
      </c>
      <c r="R47" s="268">
        <v>0</v>
      </c>
      <c r="S47" s="268">
        <v>6.2190036255529799</v>
      </c>
      <c r="T47" s="266">
        <f t="shared" si="9"/>
        <v>213.96878762975376</v>
      </c>
      <c r="U47" s="265">
        <f t="shared" si="11"/>
        <v>141.38603062677461</v>
      </c>
      <c r="V47" s="266">
        <f t="shared" si="6"/>
        <v>3.98004706603921</v>
      </c>
      <c r="W47" s="266">
        <f t="shared" si="12"/>
        <v>7.5784993823696327</v>
      </c>
      <c r="X47" s="266">
        <f t="shared" si="8"/>
        <v>9.0784993823696318</v>
      </c>
      <c r="Y47" s="269" ph="1">
        <v>20</v>
      </c>
      <c r="Z47" s="270" t="str">
        <f t="shared" si="5"/>
        <v>OK</v>
      </c>
    </row>
    <row r="48" spans="1:26" ht="15" customHeight="1" x14ac:dyDescent="0.3">
      <c r="A48" s="271">
        <v>5</v>
      </c>
      <c r="B48" s="272" t="s">
        <v>132</v>
      </c>
      <c r="C48" s="272">
        <v>3.75</v>
      </c>
      <c r="D48" s="272">
        <v>8.4</v>
      </c>
      <c r="E48" s="273">
        <v>0</v>
      </c>
      <c r="F48" s="273">
        <v>0</v>
      </c>
      <c r="G48" s="273">
        <f t="shared" si="1"/>
        <v>0</v>
      </c>
      <c r="H48" s="274">
        <f t="shared" si="2"/>
        <v>42.835364999999996</v>
      </c>
      <c r="I48" s="273">
        <v>0</v>
      </c>
      <c r="J48" s="273">
        <f t="shared" si="3"/>
        <v>57.827742749999999</v>
      </c>
      <c r="K48" s="273">
        <v>355</v>
      </c>
      <c r="L48" s="275">
        <v>0.75</v>
      </c>
      <c r="M48" s="275">
        <v>4</v>
      </c>
      <c r="N48" s="276">
        <v>1</v>
      </c>
      <c r="O48" s="276">
        <v>1.5</v>
      </c>
      <c r="P48" s="276">
        <v>1</v>
      </c>
      <c r="Q48" s="276">
        <f t="shared" si="4"/>
        <v>213.6974825810139</v>
      </c>
      <c r="R48" s="276">
        <v>0</v>
      </c>
      <c r="S48" s="276">
        <v>22.683589458226599</v>
      </c>
      <c r="T48" s="274">
        <f t="shared" si="9"/>
        <v>217.27919770100138</v>
      </c>
      <c r="U48" s="273">
        <f t="shared" si="11"/>
        <v>137.08249753415271</v>
      </c>
      <c r="V48" s="274">
        <f t="shared" si="6"/>
        <v>3.98004706603921</v>
      </c>
      <c r="W48" s="274">
        <f t="shared" si="12"/>
        <v>7.6965388579870719</v>
      </c>
      <c r="X48" s="274">
        <f t="shared" si="8"/>
        <v>9.1965388579870719</v>
      </c>
      <c r="Y48" s="277" ph="1">
        <v>20</v>
      </c>
      <c r="Z48" s="278" t="str">
        <f t="shared" si="5"/>
        <v>OK</v>
      </c>
    </row>
    <row r="49" spans="1:26" ht="15" customHeight="1" x14ac:dyDescent="0.3">
      <c r="A49" s="199">
        <v>6</v>
      </c>
      <c r="B49" s="200" t="s">
        <v>132</v>
      </c>
      <c r="C49" s="200">
        <v>4.5</v>
      </c>
      <c r="D49" s="200">
        <v>8.4</v>
      </c>
      <c r="E49" s="201">
        <v>0</v>
      </c>
      <c r="F49" s="201">
        <v>0</v>
      </c>
      <c r="G49" s="201">
        <f t="shared" si="1"/>
        <v>0</v>
      </c>
      <c r="H49" s="202">
        <f t="shared" si="2"/>
        <v>42.835364999999996</v>
      </c>
      <c r="I49" s="201">
        <v>0</v>
      </c>
      <c r="J49" s="201">
        <f t="shared" si="3"/>
        <v>57.827742749999999</v>
      </c>
      <c r="K49" s="201">
        <v>355</v>
      </c>
      <c r="L49" s="203">
        <v>0.75</v>
      </c>
      <c r="M49" s="203">
        <v>4</v>
      </c>
      <c r="N49" s="204">
        <v>1</v>
      </c>
      <c r="O49" s="204">
        <v>1.5</v>
      </c>
      <c r="P49" s="204">
        <v>1</v>
      </c>
      <c r="Q49" s="204">
        <f t="shared" si="4"/>
        <v>213.6974825810139</v>
      </c>
      <c r="R49" s="204">
        <v>0</v>
      </c>
      <c r="S49" s="204">
        <v>39.148175253036499</v>
      </c>
      <c r="T49" s="202">
        <f t="shared" si="9"/>
        <v>224.19712963905252</v>
      </c>
      <c r="U49" s="201">
        <f t="shared" si="11"/>
        <v>128.08918601468622</v>
      </c>
      <c r="V49" s="202">
        <f t="shared" si="6"/>
        <v>3.98004706603921</v>
      </c>
      <c r="W49" s="202">
        <f t="shared" si="12"/>
        <v>7.9621478472510159</v>
      </c>
      <c r="X49" s="202">
        <f t="shared" si="8"/>
        <v>9.4621478472510159</v>
      </c>
      <c r="Y49" s="205" ph="1">
        <v>20</v>
      </c>
      <c r="Z49" s="206" t="str">
        <f t="shared" si="5"/>
        <v>OK</v>
      </c>
    </row>
    <row r="50" spans="1:26" ht="15" customHeight="1" x14ac:dyDescent="0.3">
      <c r="A50" s="199">
        <v>7</v>
      </c>
      <c r="B50" s="200" t="s">
        <v>132</v>
      </c>
      <c r="C50" s="200">
        <v>5.25</v>
      </c>
      <c r="D50" s="200">
        <v>8.4</v>
      </c>
      <c r="E50" s="201">
        <v>0</v>
      </c>
      <c r="F50" s="201">
        <v>0</v>
      </c>
      <c r="G50" s="201">
        <f t="shared" si="1"/>
        <v>0</v>
      </c>
      <c r="H50" s="202">
        <f>1.025*9.81*(($F$10+0.76)-D50)</f>
        <v>42.835364999999996</v>
      </c>
      <c r="I50" s="201">
        <v>0</v>
      </c>
      <c r="J50" s="201">
        <f t="shared" si="3"/>
        <v>57.827742749999999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4"/>
        <v>213.6974825810139</v>
      </c>
      <c r="R50" s="204">
        <v>0</v>
      </c>
      <c r="S50" s="204">
        <v>55.612761052578101</v>
      </c>
      <c r="T50" s="202">
        <f t="shared" si="9"/>
        <v>234.40339510582217</v>
      </c>
      <c r="U50" s="201">
        <f t="shared" si="11"/>
        <v>114.82104090788567</v>
      </c>
      <c r="V50" s="202">
        <f t="shared" si="6"/>
        <v>3.98004706603921</v>
      </c>
      <c r="W50" s="202">
        <f t="shared" si="12"/>
        <v>8.4096075810246926</v>
      </c>
      <c r="X50" s="202">
        <f t="shared" si="8"/>
        <v>9.9096075810246926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263">
        <v>8</v>
      </c>
      <c r="B51" s="264" t="s">
        <v>132</v>
      </c>
      <c r="C51" s="264">
        <v>6</v>
      </c>
      <c r="D51" s="264">
        <v>8.4</v>
      </c>
      <c r="E51" s="265">
        <v>0</v>
      </c>
      <c r="F51" s="265">
        <v>0</v>
      </c>
      <c r="G51" s="265">
        <f t="shared" si="1"/>
        <v>0</v>
      </c>
      <c r="H51" s="266">
        <f t="shared" si="2"/>
        <v>42.835364999999996</v>
      </c>
      <c r="I51" s="265">
        <v>0</v>
      </c>
      <c r="J51" s="265">
        <f t="shared" si="3"/>
        <v>57.827742749999999</v>
      </c>
      <c r="K51" s="265">
        <v>355</v>
      </c>
      <c r="L51" s="267">
        <v>0.75</v>
      </c>
      <c r="M51" s="267">
        <v>4</v>
      </c>
      <c r="N51" s="268">
        <v>1</v>
      </c>
      <c r="O51" s="268">
        <v>1.5</v>
      </c>
      <c r="P51" s="268">
        <v>1</v>
      </c>
      <c r="Q51" s="268">
        <f t="shared" si="4"/>
        <v>213.6974825810139</v>
      </c>
      <c r="R51" s="268">
        <v>0</v>
      </c>
      <c r="S51" s="268">
        <v>72.077346899999995</v>
      </c>
      <c r="T51" s="266">
        <f t="shared" si="9"/>
        <v>247.49150666213083</v>
      </c>
      <c r="U51" s="265">
        <f t="shared" si="11"/>
        <v>97.806495884684423</v>
      </c>
      <c r="V51" s="266">
        <f t="shared" si="6"/>
        <v>3.98004706603921</v>
      </c>
      <c r="W51" s="266">
        <f t="shared" si="12"/>
        <v>9.1117673136901693</v>
      </c>
      <c r="X51" s="266">
        <f t="shared" si="8"/>
        <v>10.611767313690169</v>
      </c>
      <c r="Y51" s="269" ph="1">
        <v>20</v>
      </c>
      <c r="Z51" s="270" t="str">
        <f t="shared" si="5"/>
        <v>OK</v>
      </c>
    </row>
    <row r="52" spans="1:26" ht="15" customHeight="1" x14ac:dyDescent="0.3">
      <c r="A52" s="231">
        <v>1</v>
      </c>
      <c r="B52" s="232" t="s">
        <v>133</v>
      </c>
      <c r="C52" s="232">
        <v>0</v>
      </c>
      <c r="D52" s="233">
        <v>0</v>
      </c>
      <c r="E52" s="234">
        <v>0</v>
      </c>
      <c r="F52" s="234">
        <v>0</v>
      </c>
      <c r="G52" s="234">
        <f t="shared" si="1"/>
        <v>0</v>
      </c>
      <c r="H52" s="233">
        <f t="shared" si="2"/>
        <v>127.29946499999998</v>
      </c>
      <c r="I52" s="234">
        <v>0</v>
      </c>
      <c r="J52" s="234">
        <f t="shared" si="3"/>
        <v>171.85427774999999</v>
      </c>
      <c r="K52" s="234">
        <v>355</v>
      </c>
      <c r="L52" s="235">
        <v>0.7</v>
      </c>
      <c r="M52" s="235">
        <v>4</v>
      </c>
      <c r="N52" s="236">
        <v>1</v>
      </c>
      <c r="O52" s="236">
        <v>1.5</v>
      </c>
      <c r="P52" s="236">
        <v>1</v>
      </c>
      <c r="Q52" s="236">
        <v>0</v>
      </c>
      <c r="R52" s="236">
        <v>0</v>
      </c>
      <c r="S52" s="236">
        <v>-102.9</v>
      </c>
      <c r="T52" s="233">
        <f t="shared" si="9"/>
        <v>178.22802809883748</v>
      </c>
      <c r="U52" s="234">
        <f t="shared" si="11"/>
        <v>187.84901801696577</v>
      </c>
      <c r="V52" s="233">
        <f t="shared" si="6"/>
        <v>3.98004706603921</v>
      </c>
      <c r="W52" s="233">
        <f>15.8*N52*L52*SQRT(J52)/SQRT(U52*P52)</f>
        <v>10.578664307164688</v>
      </c>
      <c r="X52" s="233">
        <f t="shared" si="8"/>
        <v>12.078664307164688</v>
      </c>
      <c r="Y52" s="237" ph="1">
        <v>16</v>
      </c>
      <c r="Z52" s="238" t="str">
        <f t="shared" si="5"/>
        <v>OK</v>
      </c>
    </row>
    <row r="53" spans="1:26" ht="15" customHeight="1" x14ac:dyDescent="0.3">
      <c r="A53" s="191">
        <v>2</v>
      </c>
      <c r="B53" s="192" t="s">
        <v>133</v>
      </c>
      <c r="C53" s="192">
        <v>0</v>
      </c>
      <c r="D53" s="193">
        <v>0.7</v>
      </c>
      <c r="E53" s="194">
        <v>0</v>
      </c>
      <c r="F53" s="194">
        <v>0</v>
      </c>
      <c r="G53" s="194">
        <f t="shared" si="1"/>
        <v>0</v>
      </c>
      <c r="H53" s="193">
        <f t="shared" si="2"/>
        <v>120.26079</v>
      </c>
      <c r="I53" s="194">
        <v>0</v>
      </c>
      <c r="J53" s="194">
        <f t="shared" si="3"/>
        <v>162.35206650000001</v>
      </c>
      <c r="K53" s="194">
        <v>355</v>
      </c>
      <c r="L53" s="195">
        <v>0.7</v>
      </c>
      <c r="M53" s="195">
        <v>4</v>
      </c>
      <c r="N53" s="196">
        <v>1</v>
      </c>
      <c r="O53" s="196">
        <v>1.5</v>
      </c>
      <c r="P53" s="196">
        <v>1</v>
      </c>
      <c r="Q53" s="196">
        <v>0</v>
      </c>
      <c r="R53" s="196">
        <v>0</v>
      </c>
      <c r="S53" s="196">
        <v>-113.59999997307</v>
      </c>
      <c r="T53" s="193">
        <f t="shared" si="9"/>
        <v>196.76097169318032</v>
      </c>
      <c r="U53" s="194">
        <f t="shared" si="11"/>
        <v>163.75619134432009</v>
      </c>
      <c r="V53" s="193">
        <f t="shared" si="6"/>
        <v>3.98004706603921</v>
      </c>
      <c r="W53" s="193">
        <f>15.8*N53*L53*SQRT(J53)/SQRT(U53*P53)</f>
        <v>11.01248102144471</v>
      </c>
      <c r="X53" s="193">
        <f t="shared" si="8"/>
        <v>12.51248102144471</v>
      </c>
      <c r="Y53" s="197" ph="1">
        <v>16</v>
      </c>
      <c r="Z53" s="198" t="str">
        <f t="shared" si="5"/>
        <v>OK</v>
      </c>
    </row>
    <row r="54" spans="1:26" ht="15" customHeight="1" x14ac:dyDescent="0.3">
      <c r="A54" s="191">
        <v>3</v>
      </c>
      <c r="B54" s="192" t="s">
        <v>133</v>
      </c>
      <c r="C54" s="192">
        <v>0</v>
      </c>
      <c r="D54" s="193">
        <v>1.4</v>
      </c>
      <c r="E54" s="194">
        <v>0</v>
      </c>
      <c r="F54" s="194">
        <v>0</v>
      </c>
      <c r="G54" s="194">
        <f t="shared" si="1"/>
        <v>0</v>
      </c>
      <c r="H54" s="193">
        <f t="shared" si="2"/>
        <v>113.22211499999999</v>
      </c>
      <c r="I54" s="194">
        <v>0</v>
      </c>
      <c r="J54" s="194">
        <f t="shared" si="3"/>
        <v>152.84985524999999</v>
      </c>
      <c r="K54" s="194">
        <v>355</v>
      </c>
      <c r="L54" s="195">
        <v>0.7</v>
      </c>
      <c r="M54" s="195">
        <v>4</v>
      </c>
      <c r="N54" s="196">
        <v>1</v>
      </c>
      <c r="O54" s="196">
        <v>1.5</v>
      </c>
      <c r="P54" s="196">
        <v>1</v>
      </c>
      <c r="Q54" s="196">
        <v>0</v>
      </c>
      <c r="R54" s="196">
        <v>0</v>
      </c>
      <c r="S54" s="196">
        <v>-122.400000448588</v>
      </c>
      <c r="T54" s="193">
        <f t="shared" si="9"/>
        <v>212.00301962340779</v>
      </c>
      <c r="U54" s="194">
        <f t="shared" si="11"/>
        <v>143.94152903502436</v>
      </c>
      <c r="V54" s="193">
        <f t="shared" si="6"/>
        <v>3.98004706603921</v>
      </c>
      <c r="W54" s="193">
        <f t="shared" ref="W54:W64" si="14">15.8*N54*L54*SQRT(J54)/SQRT(U54*P54)</f>
        <v>11.397105987022835</v>
      </c>
      <c r="X54" s="193">
        <f t="shared" si="8"/>
        <v>12.897105987022835</v>
      </c>
      <c r="Y54" s="197" ph="1">
        <v>16</v>
      </c>
      <c r="Z54" s="198" t="str">
        <f t="shared" si="5"/>
        <v>OK</v>
      </c>
    </row>
    <row r="55" spans="1:26" ht="15" customHeight="1" x14ac:dyDescent="0.3">
      <c r="A55" s="191">
        <v>4</v>
      </c>
      <c r="B55" s="192" t="s">
        <v>133</v>
      </c>
      <c r="C55" s="192">
        <v>0</v>
      </c>
      <c r="D55" s="193">
        <v>2.0999999999999996</v>
      </c>
      <c r="E55" s="194">
        <v>0</v>
      </c>
      <c r="F55" s="194">
        <v>0</v>
      </c>
      <c r="G55" s="194">
        <f t="shared" si="1"/>
        <v>0</v>
      </c>
      <c r="H55" s="193">
        <f t="shared" si="2"/>
        <v>106.18343999999999</v>
      </c>
      <c r="I55" s="194">
        <v>0</v>
      </c>
      <c r="J55" s="194">
        <f t="shared" si="3"/>
        <v>143.347644</v>
      </c>
      <c r="K55" s="194">
        <v>355</v>
      </c>
      <c r="L55" s="195">
        <v>0.7</v>
      </c>
      <c r="M55" s="195">
        <v>4</v>
      </c>
      <c r="N55" s="196">
        <v>1</v>
      </c>
      <c r="O55" s="196">
        <v>1.5</v>
      </c>
      <c r="P55" s="196">
        <v>1</v>
      </c>
      <c r="Q55" s="196">
        <v>0</v>
      </c>
      <c r="R55" s="196">
        <v>0</v>
      </c>
      <c r="S55" s="196">
        <v>-132.60000235254401</v>
      </c>
      <c r="T55" s="193">
        <f t="shared" si="9"/>
        <v>229.66994115835888</v>
      </c>
      <c r="U55" s="194">
        <f t="shared" si="11"/>
        <v>120.97453103958796</v>
      </c>
      <c r="V55" s="193">
        <f t="shared" si="6"/>
        <v>3.98004706603921</v>
      </c>
      <c r="W55" s="193">
        <f t="shared" si="14"/>
        <v>12.039360892574745</v>
      </c>
      <c r="X55" s="193">
        <f t="shared" si="8"/>
        <v>13.539360892574745</v>
      </c>
      <c r="Y55" s="197" ph="1">
        <v>16</v>
      </c>
      <c r="Z55" s="198" t="str">
        <f t="shared" si="5"/>
        <v>OK</v>
      </c>
    </row>
    <row r="56" spans="1:26" ht="15" customHeight="1" x14ac:dyDescent="0.3">
      <c r="A56" s="279">
        <v>5</v>
      </c>
      <c r="B56" s="280" t="s">
        <v>133</v>
      </c>
      <c r="C56" s="280">
        <v>0</v>
      </c>
      <c r="D56" s="281">
        <v>2.8</v>
      </c>
      <c r="E56" s="282">
        <v>0</v>
      </c>
      <c r="F56" s="282">
        <v>0</v>
      </c>
      <c r="G56" s="282">
        <f t="shared" si="1"/>
        <v>0</v>
      </c>
      <c r="H56" s="281">
        <f t="shared" si="2"/>
        <v>99.144764999999992</v>
      </c>
      <c r="I56" s="282">
        <v>0</v>
      </c>
      <c r="J56" s="282">
        <f t="shared" si="3"/>
        <v>133.84543274999999</v>
      </c>
      <c r="K56" s="282">
        <v>355</v>
      </c>
      <c r="L56" s="283">
        <v>0.7</v>
      </c>
      <c r="M56" s="283">
        <v>4</v>
      </c>
      <c r="N56" s="284">
        <v>1</v>
      </c>
      <c r="O56" s="284">
        <v>1.5</v>
      </c>
      <c r="P56" s="284">
        <v>1</v>
      </c>
      <c r="Q56" s="284">
        <v>0</v>
      </c>
      <c r="R56" s="284">
        <v>0</v>
      </c>
      <c r="S56" s="284">
        <v>-139.40000136000401</v>
      </c>
      <c r="T56" s="281">
        <f t="shared" si="9"/>
        <v>241.44788493069754</v>
      </c>
      <c r="U56" s="282">
        <f t="shared" si="11"/>
        <v>105.6632041355477</v>
      </c>
      <c r="V56" s="281">
        <f t="shared" si="6"/>
        <v>3.98004706603921</v>
      </c>
      <c r="W56" s="281">
        <f t="shared" si="14"/>
        <v>12.447869223927524</v>
      </c>
      <c r="X56" s="281">
        <f t="shared" si="8"/>
        <v>13.947869223927524</v>
      </c>
      <c r="Y56" s="285" ph="1">
        <v>16</v>
      </c>
      <c r="Z56" s="286" t="str">
        <f t="shared" si="5"/>
        <v>OK</v>
      </c>
    </row>
    <row r="57" spans="1:26" ht="15" customHeight="1" x14ac:dyDescent="0.3">
      <c r="A57" s="247">
        <v>6</v>
      </c>
      <c r="B57" s="248" t="s">
        <v>133</v>
      </c>
      <c r="C57" s="248">
        <v>0</v>
      </c>
      <c r="D57" s="249">
        <v>3.5</v>
      </c>
      <c r="E57" s="250">
        <v>0</v>
      </c>
      <c r="F57" s="250">
        <v>0</v>
      </c>
      <c r="G57" s="250">
        <f t="shared" si="1"/>
        <v>0</v>
      </c>
      <c r="H57" s="249">
        <f t="shared" si="2"/>
        <v>92.106089999999995</v>
      </c>
      <c r="I57" s="250">
        <v>0</v>
      </c>
      <c r="J57" s="250">
        <f t="shared" si="3"/>
        <v>124.3432215</v>
      </c>
      <c r="K57" s="250">
        <v>355</v>
      </c>
      <c r="L57" s="251">
        <v>0.7</v>
      </c>
      <c r="M57" s="251">
        <v>4</v>
      </c>
      <c r="N57" s="252">
        <v>1</v>
      </c>
      <c r="O57" s="252">
        <v>1.5</v>
      </c>
      <c r="P57" s="252">
        <v>1</v>
      </c>
      <c r="Q57" s="252">
        <v>0</v>
      </c>
      <c r="R57" s="252">
        <v>0</v>
      </c>
      <c r="S57" s="252">
        <v>-143.800000627072</v>
      </c>
      <c r="T57" s="249">
        <f t="shared" si="9"/>
        <v>249.06890721452513</v>
      </c>
      <c r="U57" s="250">
        <f t="shared" si="11"/>
        <v>95.75587516657184</v>
      </c>
      <c r="V57" s="249">
        <f t="shared" si="6"/>
        <v>3.98004706603921</v>
      </c>
      <c r="W57" s="249">
        <f t="shared" si="14"/>
        <v>12.603276652506104</v>
      </c>
      <c r="X57" s="249">
        <f t="shared" si="8"/>
        <v>14.103276652506104</v>
      </c>
      <c r="Y57" s="253" ph="1">
        <v>16</v>
      </c>
      <c r="Z57" s="254" t="str">
        <f t="shared" si="5"/>
        <v>OK</v>
      </c>
    </row>
    <row r="58" spans="1:26" ht="15" customHeight="1" x14ac:dyDescent="0.3">
      <c r="A58" s="191">
        <v>7</v>
      </c>
      <c r="B58" s="192" t="s">
        <v>133</v>
      </c>
      <c r="C58" s="192">
        <v>0</v>
      </c>
      <c r="D58" s="193">
        <v>4.2</v>
      </c>
      <c r="E58" s="194">
        <v>0</v>
      </c>
      <c r="F58" s="194">
        <v>0</v>
      </c>
      <c r="G58" s="194">
        <f t="shared" si="1"/>
        <v>0</v>
      </c>
      <c r="H58" s="193">
        <f t="shared" si="2"/>
        <v>85.067414999999997</v>
      </c>
      <c r="I58" s="194">
        <v>0</v>
      </c>
      <c r="J58" s="194">
        <f t="shared" si="3"/>
        <v>114.84101025</v>
      </c>
      <c r="K58" s="194">
        <v>355</v>
      </c>
      <c r="L58" s="195">
        <v>0.7</v>
      </c>
      <c r="M58" s="195">
        <v>4</v>
      </c>
      <c r="N58" s="196">
        <v>1</v>
      </c>
      <c r="O58" s="196">
        <v>1.5</v>
      </c>
      <c r="P58" s="196">
        <v>1</v>
      </c>
      <c r="Q58" s="196">
        <v>0</v>
      </c>
      <c r="R58" s="196">
        <v>0</v>
      </c>
      <c r="S58" s="196">
        <v>-145.80000009416401</v>
      </c>
      <c r="T58" s="193">
        <f t="shared" si="9"/>
        <v>252.53300790663914</v>
      </c>
      <c r="U58" s="194">
        <f t="shared" si="11"/>
        <v>91.25254426682362</v>
      </c>
      <c r="V58" s="193">
        <f t="shared" si="6"/>
        <v>3.98004706603921</v>
      </c>
      <c r="W58" s="193">
        <f t="shared" si="14"/>
        <v>12.407410126695588</v>
      </c>
      <c r="X58" s="193">
        <f t="shared" si="8"/>
        <v>13.907410126695588</v>
      </c>
      <c r="Y58" s="197" ph="1">
        <v>16</v>
      </c>
      <c r="Z58" s="198" t="str">
        <f t="shared" si="5"/>
        <v>OK</v>
      </c>
    </row>
    <row r="59" spans="1:26" ht="12" customHeight="1" x14ac:dyDescent="0.3">
      <c r="A59" s="191">
        <v>8</v>
      </c>
      <c r="B59" s="192" t="s">
        <v>133</v>
      </c>
      <c r="C59" s="192">
        <v>0</v>
      </c>
      <c r="D59" s="193">
        <v>4.9000000000000004</v>
      </c>
      <c r="E59" s="194">
        <v>0</v>
      </c>
      <c r="F59" s="194">
        <v>0</v>
      </c>
      <c r="G59" s="194">
        <f t="shared" si="1"/>
        <v>0</v>
      </c>
      <c r="H59" s="193">
        <f t="shared" si="2"/>
        <v>78.028739999999985</v>
      </c>
      <c r="I59" s="194">
        <v>0</v>
      </c>
      <c r="J59" s="194">
        <f t="shared" si="3"/>
        <v>105.33879899999998</v>
      </c>
      <c r="K59" s="194">
        <v>355</v>
      </c>
      <c r="L59" s="195">
        <v>0.7</v>
      </c>
      <c r="M59" s="195">
        <v>4</v>
      </c>
      <c r="N59" s="196">
        <v>1</v>
      </c>
      <c r="O59" s="196">
        <v>1.5</v>
      </c>
      <c r="P59" s="196">
        <v>1</v>
      </c>
      <c r="Q59" s="196">
        <v>0</v>
      </c>
      <c r="R59" s="196">
        <v>0</v>
      </c>
      <c r="S59" s="196">
        <v>-145.49999974600101</v>
      </c>
      <c r="T59" s="193">
        <f t="shared" si="9"/>
        <v>252.01339206133247</v>
      </c>
      <c r="U59" s="194">
        <f t="shared" si="11"/>
        <v>91.928044865722299</v>
      </c>
      <c r="V59" s="193">
        <f t="shared" si="6"/>
        <v>3.98004706603921</v>
      </c>
      <c r="W59" s="193">
        <f t="shared" si="14"/>
        <v>11.839280126688765</v>
      </c>
      <c r="X59" s="193">
        <f t="shared" si="8"/>
        <v>13.339280126688765</v>
      </c>
      <c r="Y59" s="197" ph="1">
        <v>16</v>
      </c>
      <c r="Z59" s="198" t="str">
        <f t="shared" si="5"/>
        <v>OK</v>
      </c>
    </row>
    <row r="60" spans="1:26" ht="12" customHeight="1" x14ac:dyDescent="0.3">
      <c r="A60" s="279">
        <v>9</v>
      </c>
      <c r="B60" s="280" t="s">
        <v>133</v>
      </c>
      <c r="C60" s="280">
        <v>0</v>
      </c>
      <c r="D60" s="281">
        <v>5.6000000000000005</v>
      </c>
      <c r="E60" s="282">
        <v>0</v>
      </c>
      <c r="F60" s="282">
        <v>0</v>
      </c>
      <c r="G60" s="282">
        <f t="shared" si="1"/>
        <v>0</v>
      </c>
      <c r="H60" s="281">
        <f t="shared" si="2"/>
        <v>70.990064999999987</v>
      </c>
      <c r="I60" s="282">
        <v>0</v>
      </c>
      <c r="J60" s="282">
        <f t="shared" si="3"/>
        <v>95.836587749999993</v>
      </c>
      <c r="K60" s="282">
        <v>355</v>
      </c>
      <c r="L60" s="283">
        <v>0.7</v>
      </c>
      <c r="M60" s="283">
        <v>4</v>
      </c>
      <c r="N60" s="284">
        <v>1</v>
      </c>
      <c r="O60" s="284">
        <v>1.5</v>
      </c>
      <c r="P60" s="284">
        <v>1</v>
      </c>
      <c r="Q60" s="284">
        <v>0</v>
      </c>
      <c r="R60" s="284">
        <v>0</v>
      </c>
      <c r="S60" s="284">
        <v>-142.899999634773</v>
      </c>
      <c r="T60" s="281">
        <f t="shared" si="9"/>
        <v>247.51005976900083</v>
      </c>
      <c r="U60" s="282">
        <f t="shared" si="11"/>
        <v>97.782376845753419</v>
      </c>
      <c r="V60" s="281">
        <f t="shared" si="6"/>
        <v>3.98004706603921</v>
      </c>
      <c r="W60" s="281">
        <f t="shared" si="14"/>
        <v>10.949404581655733</v>
      </c>
      <c r="X60" s="281">
        <f t="shared" si="8"/>
        <v>12.449404581655733</v>
      </c>
      <c r="Y60" s="285" ph="1">
        <v>16</v>
      </c>
      <c r="Z60" s="286" t="str">
        <f t="shared" si="5"/>
        <v>OK</v>
      </c>
    </row>
    <row r="61" spans="1:26" ht="12" customHeight="1" x14ac:dyDescent="0.3">
      <c r="A61" s="247">
        <v>10</v>
      </c>
      <c r="B61" s="248" t="s">
        <v>133</v>
      </c>
      <c r="C61" s="248">
        <v>0</v>
      </c>
      <c r="D61" s="249">
        <v>6.3000000000000007</v>
      </c>
      <c r="E61" s="250">
        <v>0</v>
      </c>
      <c r="F61" s="250">
        <v>0</v>
      </c>
      <c r="G61" s="250">
        <f t="shared" si="1"/>
        <v>0</v>
      </c>
      <c r="H61" s="249">
        <f t="shared" si="2"/>
        <v>63.951389999999989</v>
      </c>
      <c r="I61" s="250">
        <v>0</v>
      </c>
      <c r="J61" s="250">
        <f t="shared" si="3"/>
        <v>86.334376499999991</v>
      </c>
      <c r="K61" s="250">
        <v>355</v>
      </c>
      <c r="L61" s="251">
        <v>0.7</v>
      </c>
      <c r="M61" s="251">
        <v>4</v>
      </c>
      <c r="N61" s="252">
        <v>1</v>
      </c>
      <c r="O61" s="252">
        <v>1.5</v>
      </c>
      <c r="P61" s="252">
        <v>1</v>
      </c>
      <c r="Q61" s="252">
        <v>0</v>
      </c>
      <c r="R61" s="252">
        <v>0</v>
      </c>
      <c r="S61" s="252">
        <v>-137.99999974492999</v>
      </c>
      <c r="T61" s="249">
        <f t="shared" si="9"/>
        <v>239.02301100271086</v>
      </c>
      <c r="U61" s="250">
        <f t="shared" si="11"/>
        <v>108.81554024193038</v>
      </c>
      <c r="V61" s="249">
        <f t="shared" si="6"/>
        <v>3.98004706603921</v>
      </c>
      <c r="W61" s="249">
        <f t="shared" si="14"/>
        <v>9.8514814551719887</v>
      </c>
      <c r="X61" s="249">
        <f t="shared" si="8"/>
        <v>11.351481455171989</v>
      </c>
      <c r="Y61" s="253" ph="1">
        <v>16</v>
      </c>
      <c r="Z61" s="254" t="str">
        <f t="shared" si="5"/>
        <v>OK</v>
      </c>
    </row>
    <row r="62" spans="1:26" ht="12" customHeight="1" x14ac:dyDescent="0.3">
      <c r="A62" s="191">
        <v>11</v>
      </c>
      <c r="B62" s="192" t="s">
        <v>133</v>
      </c>
      <c r="C62" s="192">
        <v>0</v>
      </c>
      <c r="D62" s="193">
        <v>7.0000000000000009</v>
      </c>
      <c r="E62" s="194">
        <v>0</v>
      </c>
      <c r="F62" s="194">
        <v>0</v>
      </c>
      <c r="G62" s="194">
        <f t="shared" si="1"/>
        <v>0</v>
      </c>
      <c r="H62" s="193">
        <f t="shared" si="2"/>
        <v>56.912714999999984</v>
      </c>
      <c r="I62" s="194">
        <v>0</v>
      </c>
      <c r="J62" s="194">
        <f t="shared" si="3"/>
        <v>76.832165249999989</v>
      </c>
      <c r="K62" s="194">
        <v>355</v>
      </c>
      <c r="L62" s="195">
        <v>0.7</v>
      </c>
      <c r="M62" s="195">
        <v>4</v>
      </c>
      <c r="N62" s="196">
        <v>1</v>
      </c>
      <c r="O62" s="196">
        <v>1.5</v>
      </c>
      <c r="P62" s="196">
        <v>1</v>
      </c>
      <c r="Q62" s="196">
        <v>0</v>
      </c>
      <c r="R62" s="196">
        <v>0</v>
      </c>
      <c r="S62" s="196">
        <v>-130.699999269378</v>
      </c>
      <c r="T62" s="193">
        <f t="shared" si="9"/>
        <v>226.37903928377784</v>
      </c>
      <c r="U62" s="194">
        <f t="shared" si="11"/>
        <v>125.2527034765433</v>
      </c>
      <c r="V62" s="193">
        <f t="shared" si="6"/>
        <v>3.98004706603921</v>
      </c>
      <c r="W62" s="193">
        <f t="shared" si="14"/>
        <v>8.6622977746275183</v>
      </c>
      <c r="X62" s="193">
        <f t="shared" si="8"/>
        <v>10.162297774627518</v>
      </c>
      <c r="Y62" s="197" ph="1">
        <v>16</v>
      </c>
      <c r="Z62" s="198" t="str">
        <f t="shared" si="5"/>
        <v>OK</v>
      </c>
    </row>
    <row r="63" spans="1:26" ht="12" customHeight="1" x14ac:dyDescent="0.3">
      <c r="A63" s="191">
        <v>12</v>
      </c>
      <c r="B63" s="192" t="s">
        <v>133</v>
      </c>
      <c r="C63" s="192">
        <v>0</v>
      </c>
      <c r="D63" s="193">
        <v>7.7000000000000011</v>
      </c>
      <c r="E63" s="194">
        <v>0</v>
      </c>
      <c r="F63" s="194">
        <v>0</v>
      </c>
      <c r="G63" s="194">
        <f t="shared" si="1"/>
        <v>0</v>
      </c>
      <c r="H63" s="193">
        <f t="shared" si="2"/>
        <v>49.874039999999987</v>
      </c>
      <c r="I63" s="194">
        <v>0</v>
      </c>
      <c r="J63" s="194">
        <f t="shared" si="3"/>
        <v>67.329953999999987</v>
      </c>
      <c r="K63" s="194">
        <v>355</v>
      </c>
      <c r="L63" s="195">
        <v>0.7</v>
      </c>
      <c r="M63" s="195">
        <v>4</v>
      </c>
      <c r="N63" s="196">
        <v>1</v>
      </c>
      <c r="O63" s="196">
        <v>1.5</v>
      </c>
      <c r="P63" s="196">
        <v>1</v>
      </c>
      <c r="Q63" s="196">
        <v>0</v>
      </c>
      <c r="R63" s="196">
        <v>0</v>
      </c>
      <c r="S63" s="196">
        <v>-120.999999504096</v>
      </c>
      <c r="T63" s="193">
        <f t="shared" si="9"/>
        <v>209.57814685690323</v>
      </c>
      <c r="U63" s="194">
        <f t="shared" si="11"/>
        <v>147.0938636314803</v>
      </c>
      <c r="V63" s="193">
        <f t="shared" si="6"/>
        <v>3.98004706603921</v>
      </c>
      <c r="W63" s="193">
        <f t="shared" si="14"/>
        <v>7.4827633098497799</v>
      </c>
      <c r="X63" s="193">
        <f t="shared" si="8"/>
        <v>8.9827633098497799</v>
      </c>
      <c r="Y63" s="197" ph="1">
        <v>16</v>
      </c>
      <c r="Z63" s="198" t="str">
        <f t="shared" si="5"/>
        <v>OK</v>
      </c>
    </row>
    <row r="64" spans="1:26" ht="12" customHeight="1" x14ac:dyDescent="0.3">
      <c r="A64" s="239">
        <v>13</v>
      </c>
      <c r="B64" s="240" t="s">
        <v>133</v>
      </c>
      <c r="C64" s="240">
        <v>0</v>
      </c>
      <c r="D64" s="241">
        <v>8.4</v>
      </c>
      <c r="E64" s="242">
        <v>0</v>
      </c>
      <c r="F64" s="242">
        <v>0</v>
      </c>
      <c r="G64" s="242">
        <f t="shared" si="1"/>
        <v>0</v>
      </c>
      <c r="H64" s="241">
        <f t="shared" si="2"/>
        <v>42.835364999999996</v>
      </c>
      <c r="I64" s="242">
        <v>0</v>
      </c>
      <c r="J64" s="242">
        <f t="shared" si="3"/>
        <v>57.827742749999999</v>
      </c>
      <c r="K64" s="242">
        <v>355</v>
      </c>
      <c r="L64" s="243">
        <v>0.7</v>
      </c>
      <c r="M64" s="243">
        <v>4</v>
      </c>
      <c r="N64" s="244">
        <v>1</v>
      </c>
      <c r="O64" s="244">
        <v>1.5</v>
      </c>
      <c r="P64" s="244">
        <v>1</v>
      </c>
      <c r="Q64" s="244">
        <v>0</v>
      </c>
      <c r="R64" s="244">
        <v>0</v>
      </c>
      <c r="S64" s="244">
        <v>-109</v>
      </c>
      <c r="T64" s="241">
        <f t="shared" si="9"/>
        <v>188.79353802500762</v>
      </c>
      <c r="U64" s="242">
        <f t="shared" si="11"/>
        <v>174.11385511294461</v>
      </c>
      <c r="V64" s="241">
        <f t="shared" si="6"/>
        <v>3.98004706603921</v>
      </c>
      <c r="W64" s="241">
        <f t="shared" si="14"/>
        <v>6.37391960569167</v>
      </c>
      <c r="X64" s="241">
        <f t="shared" si="8"/>
        <v>7.87391960569167</v>
      </c>
      <c r="Y64" s="245" ph="1">
        <v>16</v>
      </c>
      <c r="Z64" s="246" t="str">
        <f t="shared" si="5"/>
        <v>OK</v>
      </c>
    </row>
    <row r="66" spans="1:25" ht="12" customHeight="1" x14ac:dyDescent="0.45">
      <c r="A66" s="4" t="s">
        <v>134</v>
      </c>
    </row>
    <row r="67" spans="1:25" ht="12" customHeight="1" x14ac:dyDescent="0.45">
      <c r="A67" s="4" t="s">
        <v>135</v>
      </c>
    </row>
    <row r="68" spans="1:25" ht="12" customHeight="1" x14ac:dyDescent="0.45">
      <c r="A68" s="4" t="s">
        <v>263</v>
      </c>
    </row>
    <row r="69" spans="1:25" ht="12" customHeight="1" x14ac:dyDescent="0.3">
      <c r="Y69" s="4" ph="1"/>
    </row>
    <row r="70" spans="1:25" ht="12" customHeight="1" x14ac:dyDescent="0.3">
      <c r="Y70" s="4" ph="1"/>
    </row>
    <row r="71" spans="1:25" ht="12" customHeight="1" x14ac:dyDescent="0.3">
      <c r="Y71" s="4" ph="1"/>
    </row>
    <row r="72" spans="1:25" ht="12" customHeight="1" x14ac:dyDescent="0.3">
      <c r="Y72" s="4" ph="1"/>
    </row>
    <row r="73" spans="1:25" ht="12" customHeight="1" x14ac:dyDescent="0.3">
      <c r="Y73" s="4" ph="1"/>
    </row>
    <row r="74" spans="1:25" ht="12" customHeight="1" x14ac:dyDescent="0.3">
      <c r="Y74" s="4" ph="1"/>
    </row>
    <row r="75" spans="1:25" ht="12" customHeight="1" x14ac:dyDescent="0.3">
      <c r="Y75" s="4" ph="1"/>
    </row>
    <row r="76" spans="1:25" ht="12" customHeight="1" x14ac:dyDescent="0.3">
      <c r="Y76" s="4" ph="1"/>
    </row>
    <row r="77" spans="1:25" ht="12" customHeight="1" x14ac:dyDescent="0.3">
      <c r="Y77" s="4" ph="1"/>
    </row>
    <row r="78" spans="1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1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3D5C-10D2-4FE7-AF1A-4528195A2981}">
  <sheetPr codeName="Sheet14"/>
  <dimension ref="A1:AD78"/>
  <sheetViews>
    <sheetView showGridLines="0" zoomScale="130" zoomScaleNormal="130" workbookViewId="0">
      <selection activeCell="A23" sqref="A23:Z41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12"/>
      <c r="G1" s="312"/>
      <c r="H1" s="312"/>
      <c r="I1" s="312"/>
      <c r="J1" s="312"/>
      <c r="K1" s="312"/>
      <c r="L1" s="312"/>
      <c r="M1" s="312"/>
      <c r="N1" s="313"/>
    </row>
    <row r="2" spans="1:15" ht="12" customHeight="1" x14ac:dyDescent="0.45">
      <c r="A2" s="63"/>
      <c r="F2" s="314"/>
      <c r="G2" s="314"/>
      <c r="H2" s="314"/>
      <c r="I2" s="314"/>
      <c r="J2" s="314"/>
      <c r="K2" s="314"/>
      <c r="L2" s="314"/>
      <c r="M2" s="314"/>
      <c r="N2" s="315"/>
    </row>
    <row r="3" spans="1:15" ht="12" customHeight="1" x14ac:dyDescent="0.45">
      <c r="A3" s="63"/>
      <c r="F3" s="314"/>
      <c r="G3" s="314"/>
      <c r="H3" s="314"/>
      <c r="I3" s="314"/>
      <c r="J3" s="314"/>
      <c r="K3" s="314"/>
      <c r="L3" s="314"/>
      <c r="M3" s="314"/>
      <c r="N3" s="315"/>
    </row>
    <row r="4" spans="1:15" ht="12" customHeight="1" x14ac:dyDescent="0.45">
      <c r="A4" s="63"/>
      <c r="F4" s="314" t="s">
        <v>64</v>
      </c>
      <c r="G4" s="314"/>
      <c r="H4" s="314"/>
      <c r="I4" s="314"/>
      <c r="J4" s="314"/>
      <c r="K4" s="314"/>
      <c r="L4" s="314"/>
      <c r="M4" s="314"/>
      <c r="N4" s="315"/>
    </row>
    <row r="5" spans="1:15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24">
        <f>'Global Strength'!I10</f>
        <v>731745</v>
      </c>
      <c r="N11" s="324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25">
        <f>'Global Strength'!I6</f>
        <v>13.8017</v>
      </c>
      <c r="N12" s="325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25">
        <f>'Global Strength'!I5</f>
        <v>4.2270000000000003</v>
      </c>
      <c r="N13" s="325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25"/>
      <c r="N14" s="325"/>
    </row>
    <row r="15" spans="1:15" ht="12" customHeight="1" x14ac:dyDescent="0.45">
      <c r="A15" s="141" t="s">
        <v>210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24">
        <f>'Global Strength'!I27</f>
        <v>56164.5</v>
      </c>
      <c r="N15" s="324"/>
      <c r="O15" s="5" t="s">
        <v>92</v>
      </c>
    </row>
    <row r="16" spans="1:15" ht="12" customHeight="1" x14ac:dyDescent="0.3">
      <c r="F16" s="5"/>
      <c r="G16" s="5"/>
      <c r="M16" s="8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30" ht="12" customHeight="1" x14ac:dyDescent="0.45">
      <c r="A21" s="318" t="s">
        <v>100</v>
      </c>
      <c r="B21" s="318"/>
      <c r="C21" s="50" t="s">
        <v>262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19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/>
    </row>
    <row r="22" spans="1:30" ht="12" customHeight="1" x14ac:dyDescent="0.45">
      <c r="A22" s="318"/>
      <c r="B22" s="318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19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30" ht="12" customHeight="1" x14ac:dyDescent="0.45">
      <c r="A23" s="183">
        <v>3</v>
      </c>
      <c r="B23" s="184" t="s">
        <v>130</v>
      </c>
      <c r="C23" s="184">
        <v>2.1</v>
      </c>
      <c r="D23" s="184">
        <v>0</v>
      </c>
      <c r="E23" s="185">
        <v>0</v>
      </c>
      <c r="F23" s="185">
        <v>0</v>
      </c>
      <c r="G23" s="185">
        <f t="shared" ref="G23:G47" si="0">E23*$F$18+F23*$F$17</f>
        <v>0</v>
      </c>
      <c r="H23" s="186">
        <v>0</v>
      </c>
      <c r="I23" s="185">
        <v>0</v>
      </c>
      <c r="J23" s="185">
        <f t="shared" ref="J23:J47" si="1">H23*$F$17</f>
        <v>0</v>
      </c>
      <c r="K23" s="185">
        <v>355</v>
      </c>
      <c r="L23" s="187">
        <v>0.75</v>
      </c>
      <c r="M23" s="187">
        <v>4</v>
      </c>
      <c r="N23" s="188">
        <v>1</v>
      </c>
      <c r="O23" s="188">
        <v>1.5</v>
      </c>
      <c r="P23" s="188">
        <v>1</v>
      </c>
      <c r="Q23" s="188">
        <f t="shared" ref="Q23:Q47" si="2">$M$11/($M$12/ABS($M$13-D23))/1000</f>
        <v>224.10906736126711</v>
      </c>
      <c r="R23" s="188">
        <v>0</v>
      </c>
      <c r="S23" s="188">
        <v>1.6E-12</v>
      </c>
      <c r="T23" s="186">
        <f>SQRT(Q23^2+R23^2-Q23*R23+3*S23^2)</f>
        <v>224.10906736126711</v>
      </c>
      <c r="U23" s="185">
        <f>MIN(K23/$F$7,1.3*(K23/$F$7-T23))</f>
        <v>128.20366697580727</v>
      </c>
      <c r="V23" s="186">
        <f t="shared" ref="V23:V47" si="3">14.3*$F$8/SQRT(K23/$F$7)</f>
        <v>3.98004706603921</v>
      </c>
      <c r="W23" s="186">
        <f t="shared" ref="W23:W28" si="4">15.8*N23*L23*SQRT(J23)/SQRT(U23*P23)</f>
        <v>0</v>
      </c>
      <c r="X23" s="186">
        <f t="shared" ref="X23:X47" si="5">MAX(V23,W23)+O23</f>
        <v>5.4800470660392104</v>
      </c>
      <c r="Y23" s="189">
        <v>25</v>
      </c>
      <c r="Z23" s="190" t="str">
        <f t="shared" ref="Z23:Z47" si="6">IF(MROUND(X23,0.5)&lt;=Y23,"OK","N.G")</f>
        <v>OK</v>
      </c>
    </row>
    <row r="24" spans="1:30" ht="12" customHeight="1" x14ac:dyDescent="0.45">
      <c r="A24" s="223">
        <v>4</v>
      </c>
      <c r="B24" s="224" t="s">
        <v>130</v>
      </c>
      <c r="C24" s="224">
        <v>3</v>
      </c>
      <c r="D24" s="224">
        <v>0</v>
      </c>
      <c r="E24" s="225">
        <v>0</v>
      </c>
      <c r="F24" s="225">
        <v>0</v>
      </c>
      <c r="G24" s="225">
        <f t="shared" si="0"/>
        <v>0</v>
      </c>
      <c r="H24" s="226">
        <v>0</v>
      </c>
      <c r="I24" s="225">
        <v>0</v>
      </c>
      <c r="J24" s="225">
        <f t="shared" si="1"/>
        <v>0</v>
      </c>
      <c r="K24" s="225">
        <v>355</v>
      </c>
      <c r="L24" s="227">
        <v>0.75</v>
      </c>
      <c r="M24" s="227">
        <v>4</v>
      </c>
      <c r="N24" s="228">
        <v>1</v>
      </c>
      <c r="O24" s="228">
        <v>1.5</v>
      </c>
      <c r="P24" s="228">
        <v>1</v>
      </c>
      <c r="Q24" s="228">
        <f t="shared" si="2"/>
        <v>224.10906736126711</v>
      </c>
      <c r="R24" s="228">
        <v>0</v>
      </c>
      <c r="S24" s="228">
        <v>28.829547663603702</v>
      </c>
      <c r="T24" s="226">
        <f t="shared" ref="T24:T47" si="7">SQRT(Q24^2+R24^2-Q24*R24+3*S24^2)</f>
        <v>229.6046657387453</v>
      </c>
      <c r="U24" s="225">
        <f>MIN(K24/$F$7,1.3*(K24/$F$7-T24))</f>
        <v>121.05938908508561</v>
      </c>
      <c r="V24" s="226">
        <f t="shared" si="3"/>
        <v>3.98004706603921</v>
      </c>
      <c r="W24" s="226">
        <f t="shared" si="4"/>
        <v>0</v>
      </c>
      <c r="X24" s="226">
        <f>MAX(V24,W24)+O24</f>
        <v>5.4800470660392104</v>
      </c>
      <c r="Y24" s="229">
        <v>25</v>
      </c>
      <c r="Z24" s="230" t="str">
        <f t="shared" si="6"/>
        <v>OK</v>
      </c>
    </row>
    <row r="25" spans="1:30" ht="12" customHeight="1" x14ac:dyDescent="0.45">
      <c r="A25" s="215">
        <v>5</v>
      </c>
      <c r="B25" s="216" t="s">
        <v>130</v>
      </c>
      <c r="C25" s="216">
        <v>3.75</v>
      </c>
      <c r="D25" s="216">
        <v>0</v>
      </c>
      <c r="E25" s="217">
        <v>0</v>
      </c>
      <c r="F25" s="217">
        <v>0</v>
      </c>
      <c r="G25" s="217">
        <f t="shared" si="0"/>
        <v>0</v>
      </c>
      <c r="H25" s="218">
        <v>0</v>
      </c>
      <c r="I25" s="217">
        <v>0</v>
      </c>
      <c r="J25" s="217">
        <f t="shared" si="1"/>
        <v>0</v>
      </c>
      <c r="K25" s="217">
        <v>355</v>
      </c>
      <c r="L25" s="219">
        <v>0.75</v>
      </c>
      <c r="M25" s="219">
        <v>4</v>
      </c>
      <c r="N25" s="220">
        <v>1</v>
      </c>
      <c r="O25" s="220">
        <v>1.5</v>
      </c>
      <c r="P25" s="220">
        <v>1</v>
      </c>
      <c r="Q25" s="220">
        <f t="shared" si="2"/>
        <v>224.10906736126711</v>
      </c>
      <c r="R25" s="220">
        <v>0</v>
      </c>
      <c r="S25" s="220">
        <v>52.060017106206999</v>
      </c>
      <c r="T25" s="218">
        <f t="shared" si="7"/>
        <v>241.56905889793225</v>
      </c>
      <c r="U25" s="217">
        <f>MIN(K25/$F$7,1.3*(K25/$F$7-T25))</f>
        <v>105.50567797814257</v>
      </c>
      <c r="V25" s="218">
        <f t="shared" si="3"/>
        <v>3.98004706603921</v>
      </c>
      <c r="W25" s="218">
        <f t="shared" si="4"/>
        <v>0</v>
      </c>
      <c r="X25" s="218">
        <f t="shared" si="5"/>
        <v>5.4800470660392104</v>
      </c>
      <c r="Y25" s="221">
        <v>25</v>
      </c>
      <c r="Z25" s="222" t="str">
        <f t="shared" si="6"/>
        <v>OK</v>
      </c>
    </row>
    <row r="26" spans="1:30" ht="12" customHeight="1" x14ac:dyDescent="0.45">
      <c r="A26" s="183">
        <v>6</v>
      </c>
      <c r="B26" s="184" t="s">
        <v>130</v>
      </c>
      <c r="C26" s="184">
        <v>4.5</v>
      </c>
      <c r="D26" s="184">
        <v>0</v>
      </c>
      <c r="E26" s="185">
        <v>0</v>
      </c>
      <c r="F26" s="185">
        <v>0</v>
      </c>
      <c r="G26" s="185">
        <f t="shared" si="0"/>
        <v>0</v>
      </c>
      <c r="H26" s="186">
        <v>0</v>
      </c>
      <c r="I26" s="185">
        <v>0</v>
      </c>
      <c r="J26" s="185">
        <f t="shared" si="1"/>
        <v>0</v>
      </c>
      <c r="K26" s="185">
        <v>355</v>
      </c>
      <c r="L26" s="187">
        <v>0.75</v>
      </c>
      <c r="M26" s="187">
        <v>4</v>
      </c>
      <c r="N26" s="188">
        <v>1</v>
      </c>
      <c r="O26" s="188">
        <v>1.5</v>
      </c>
      <c r="P26" s="188">
        <v>1</v>
      </c>
      <c r="Q26" s="188">
        <f t="shared" si="2"/>
        <v>224.10906736126711</v>
      </c>
      <c r="R26" s="188">
        <v>0</v>
      </c>
      <c r="S26" s="188">
        <v>75.671243704087004</v>
      </c>
      <c r="T26" s="186">
        <f t="shared" si="7"/>
        <v>259.62142716791874</v>
      </c>
      <c r="U26" s="185">
        <f t="shared" ref="U26:U28" si="8">MIN(K26/$F$7,1.3*(K26/$F$7-T26))</f>
        <v>82.037599227160143</v>
      </c>
      <c r="V26" s="186">
        <f t="shared" si="3"/>
        <v>3.98004706603921</v>
      </c>
      <c r="W26" s="186">
        <f t="shared" si="4"/>
        <v>0</v>
      </c>
      <c r="X26" s="186">
        <f t="shared" si="5"/>
        <v>5.4800470660392104</v>
      </c>
      <c r="Y26" s="189">
        <v>25</v>
      </c>
      <c r="Z26" s="190" t="str">
        <f t="shared" si="6"/>
        <v>OK</v>
      </c>
    </row>
    <row r="27" spans="1:30" ht="12" customHeight="1" x14ac:dyDescent="0.45">
      <c r="A27" s="183">
        <v>7</v>
      </c>
      <c r="B27" s="184" t="s">
        <v>130</v>
      </c>
      <c r="C27" s="184">
        <v>5.25</v>
      </c>
      <c r="D27" s="184">
        <v>0</v>
      </c>
      <c r="E27" s="185">
        <v>0</v>
      </c>
      <c r="F27" s="185">
        <v>0</v>
      </c>
      <c r="G27" s="185">
        <f t="shared" si="0"/>
        <v>0</v>
      </c>
      <c r="H27" s="186">
        <v>0</v>
      </c>
      <c r="I27" s="185">
        <v>0</v>
      </c>
      <c r="J27" s="185">
        <f t="shared" si="1"/>
        <v>0</v>
      </c>
      <c r="K27" s="185">
        <v>355</v>
      </c>
      <c r="L27" s="187">
        <v>0.75</v>
      </c>
      <c r="M27" s="187">
        <v>4</v>
      </c>
      <c r="N27" s="188">
        <v>1</v>
      </c>
      <c r="O27" s="188">
        <v>1.5</v>
      </c>
      <c r="P27" s="188">
        <v>1</v>
      </c>
      <c r="Q27" s="188">
        <f t="shared" si="2"/>
        <v>224.10906736126711</v>
      </c>
      <c r="R27" s="188">
        <v>0</v>
      </c>
      <c r="S27" s="188">
        <v>98.981255049494493</v>
      </c>
      <c r="T27" s="186">
        <f t="shared" si="7"/>
        <v>282.16438582332853</v>
      </c>
      <c r="U27" s="185">
        <f t="shared" si="8"/>
        <v>52.731752975127414</v>
      </c>
      <c r="V27" s="186">
        <f t="shared" si="3"/>
        <v>3.98004706603921</v>
      </c>
      <c r="W27" s="186">
        <f t="shared" si="4"/>
        <v>0</v>
      </c>
      <c r="X27" s="186">
        <f t="shared" si="5"/>
        <v>5.4800470660392104</v>
      </c>
      <c r="Y27" s="189">
        <v>25</v>
      </c>
      <c r="Z27" s="190" t="str">
        <f>IF(MROUND(X27,0.5)&lt;=Y27,"OK","N.G")</f>
        <v>OK</v>
      </c>
    </row>
    <row r="28" spans="1:30" ht="12" customHeight="1" x14ac:dyDescent="0.45">
      <c r="A28" s="207">
        <v>8</v>
      </c>
      <c r="B28" s="208" t="s">
        <v>130</v>
      </c>
      <c r="C28" s="208">
        <v>6</v>
      </c>
      <c r="D28" s="208">
        <v>0</v>
      </c>
      <c r="E28" s="209">
        <v>0</v>
      </c>
      <c r="F28" s="209">
        <v>0</v>
      </c>
      <c r="G28" s="209">
        <f t="shared" si="0"/>
        <v>0</v>
      </c>
      <c r="H28" s="210">
        <v>0</v>
      </c>
      <c r="I28" s="209">
        <v>0</v>
      </c>
      <c r="J28" s="209">
        <f t="shared" si="1"/>
        <v>0</v>
      </c>
      <c r="K28" s="209">
        <v>355</v>
      </c>
      <c r="L28" s="211">
        <v>0.75</v>
      </c>
      <c r="M28" s="211">
        <v>4</v>
      </c>
      <c r="N28" s="212">
        <v>1</v>
      </c>
      <c r="O28" s="212">
        <v>1.5</v>
      </c>
      <c r="P28" s="212">
        <v>1</v>
      </c>
      <c r="Q28" s="212">
        <f t="shared" si="2"/>
        <v>224.10906736126711</v>
      </c>
      <c r="R28" s="212">
        <v>0</v>
      </c>
      <c r="S28" s="212">
        <v>110</v>
      </c>
      <c r="T28" s="210">
        <f t="shared" si="7"/>
        <v>294.15110755109686</v>
      </c>
      <c r="U28" s="209">
        <f t="shared" si="8"/>
        <v>37.149014729028586</v>
      </c>
      <c r="V28" s="210">
        <f t="shared" si="3"/>
        <v>3.98004706603921</v>
      </c>
      <c r="W28" s="210">
        <f t="shared" si="4"/>
        <v>0</v>
      </c>
      <c r="X28" s="210">
        <f t="shared" si="5"/>
        <v>5.4800470660392104</v>
      </c>
      <c r="Y28" s="213">
        <v>25</v>
      </c>
      <c r="Z28" s="214" t="str">
        <f t="shared" si="6"/>
        <v>OK</v>
      </c>
    </row>
    <row r="29" spans="1:30" ht="12" customHeight="1" x14ac:dyDescent="0.3">
      <c r="A29" s="231">
        <v>9</v>
      </c>
      <c r="B29" s="232" t="s">
        <v>131</v>
      </c>
      <c r="C29" s="232">
        <v>6</v>
      </c>
      <c r="D29" s="233">
        <v>0</v>
      </c>
      <c r="E29" s="234">
        <v>0</v>
      </c>
      <c r="F29" s="234">
        <v>0</v>
      </c>
      <c r="G29" s="234">
        <f t="shared" si="0"/>
        <v>0</v>
      </c>
      <c r="H29" s="233">
        <v>0</v>
      </c>
      <c r="I29" s="234">
        <v>0</v>
      </c>
      <c r="J29" s="234">
        <f t="shared" si="1"/>
        <v>0</v>
      </c>
      <c r="K29" s="234">
        <v>355</v>
      </c>
      <c r="L29" s="235">
        <v>0.7</v>
      </c>
      <c r="M29" s="235">
        <v>4</v>
      </c>
      <c r="N29" s="236">
        <v>1</v>
      </c>
      <c r="O29" s="236">
        <v>1.5</v>
      </c>
      <c r="P29" s="236">
        <v>1</v>
      </c>
      <c r="Q29" s="236">
        <f t="shared" si="2"/>
        <v>224.10906736126711</v>
      </c>
      <c r="R29" s="236">
        <v>0</v>
      </c>
      <c r="S29" s="236">
        <v>110</v>
      </c>
      <c r="T29" s="233">
        <f>SQRT(Q29^2+R29^2-Q29*R29+3*S29^2)</f>
        <v>294.15110755109686</v>
      </c>
      <c r="U29" s="234">
        <f>MIN(K29/$F$7,1.3*(K29/$F$7-T29))</f>
        <v>37.149014729028586</v>
      </c>
      <c r="V29" s="233">
        <f>14.3*$F$8/SQRT(K29/$F$7)</f>
        <v>3.98004706603921</v>
      </c>
      <c r="W29" s="233">
        <f>15.8*N29*L29*SQRT(J29)/SQRT(U29*P29)</f>
        <v>0</v>
      </c>
      <c r="X29" s="233">
        <f t="shared" si="5"/>
        <v>5.4800470660392104</v>
      </c>
      <c r="Y29" s="237" ph="1">
        <v>25</v>
      </c>
      <c r="Z29" s="238" t="str">
        <f>IF(MROUND(X29,0.5)&lt;=Y29,"OK","N.G")</f>
        <v>OK</v>
      </c>
    </row>
    <row r="30" spans="1:30" ht="12" customHeight="1" x14ac:dyDescent="0.3">
      <c r="A30" s="191">
        <v>10</v>
      </c>
      <c r="B30" s="192" t="s">
        <v>131</v>
      </c>
      <c r="C30" s="192">
        <v>6</v>
      </c>
      <c r="D30" s="193">
        <v>0.7</v>
      </c>
      <c r="E30" s="194">
        <v>0</v>
      </c>
      <c r="F30" s="194">
        <v>0</v>
      </c>
      <c r="G30" s="194">
        <f t="shared" si="0"/>
        <v>0</v>
      </c>
      <c r="H30" s="193">
        <v>0</v>
      </c>
      <c r="I30" s="194">
        <v>0</v>
      </c>
      <c r="J30" s="194">
        <f t="shared" si="1"/>
        <v>0</v>
      </c>
      <c r="K30" s="194">
        <v>355</v>
      </c>
      <c r="L30" s="195">
        <v>0.7</v>
      </c>
      <c r="M30" s="195">
        <v>4</v>
      </c>
      <c r="N30" s="196">
        <v>1</v>
      </c>
      <c r="O30" s="196">
        <v>1.5</v>
      </c>
      <c r="P30" s="196">
        <v>1</v>
      </c>
      <c r="Q30" s="196">
        <f t="shared" si="2"/>
        <v>186.99613924371636</v>
      </c>
      <c r="R30" s="196">
        <v>0</v>
      </c>
      <c r="S30" s="196">
        <v>129.999999686286</v>
      </c>
      <c r="T30" s="193">
        <f t="shared" si="7"/>
        <v>292.69020456338887</v>
      </c>
      <c r="U30" s="194">
        <f t="shared" ref="U30:U47" si="9">MIN(K30/$F$7,1.3*(K30/$F$7-T30))</f>
        <v>39.048188613048964</v>
      </c>
      <c r="V30" s="193">
        <f t="shared" si="3"/>
        <v>3.98004706603921</v>
      </c>
      <c r="W30" s="193">
        <f t="shared" ref="W30:W47" si="10">15.8*N30*L30*SQRT(J30)/SQRT(U30*P30)</f>
        <v>0</v>
      </c>
      <c r="X30" s="193">
        <f t="shared" si="5"/>
        <v>5.4800470660392104</v>
      </c>
      <c r="Y30" s="237" ph="1">
        <v>25</v>
      </c>
      <c r="Z30" s="198" t="str">
        <f>IF(MROUND(X30,0.5)&lt;=Y30,"OK","N.G")</f>
        <v>OK</v>
      </c>
    </row>
    <row r="31" spans="1:30" ht="12" customHeight="1" x14ac:dyDescent="0.3">
      <c r="A31" s="191">
        <v>11</v>
      </c>
      <c r="B31" s="192" t="s">
        <v>131</v>
      </c>
      <c r="C31" s="192">
        <v>6</v>
      </c>
      <c r="D31" s="193">
        <v>1.4</v>
      </c>
      <c r="E31" s="194">
        <v>0</v>
      </c>
      <c r="F31" s="194">
        <v>0</v>
      </c>
      <c r="G31" s="194">
        <f t="shared" si="0"/>
        <v>0</v>
      </c>
      <c r="H31" s="193">
        <v>0</v>
      </c>
      <c r="I31" s="194">
        <v>0</v>
      </c>
      <c r="J31" s="194">
        <f t="shared" si="1"/>
        <v>0</v>
      </c>
      <c r="K31" s="194">
        <v>355</v>
      </c>
      <c r="L31" s="195">
        <v>0.7</v>
      </c>
      <c r="M31" s="195">
        <v>4</v>
      </c>
      <c r="N31" s="196">
        <v>1</v>
      </c>
      <c r="O31" s="196">
        <v>1.5</v>
      </c>
      <c r="P31" s="196">
        <v>1</v>
      </c>
      <c r="Q31" s="196">
        <f t="shared" si="2"/>
        <v>149.88321112616563</v>
      </c>
      <c r="R31" s="196">
        <v>0</v>
      </c>
      <c r="S31" s="196">
        <v>139.99999905373099</v>
      </c>
      <c r="T31" s="193">
        <f t="shared" si="7"/>
        <v>285.07012502650076</v>
      </c>
      <c r="U31" s="194">
        <f t="shared" si="9"/>
        <v>48.95429201100351</v>
      </c>
      <c r="V31" s="193">
        <f t="shared" si="3"/>
        <v>3.98004706603921</v>
      </c>
      <c r="W31" s="193">
        <f t="shared" si="10"/>
        <v>0</v>
      </c>
      <c r="X31" s="193">
        <f t="shared" si="5"/>
        <v>5.4800470660392104</v>
      </c>
      <c r="Y31" s="237" ph="1">
        <v>25</v>
      </c>
      <c r="Z31" s="198" t="str">
        <f>IF(MROUND(X31,0.5)&lt;=Y31,"OK","N.G")</f>
        <v>OK</v>
      </c>
    </row>
    <row r="32" spans="1:30" ht="12" customHeight="1" x14ac:dyDescent="0.3">
      <c r="A32" s="191">
        <v>12</v>
      </c>
      <c r="B32" s="192" t="s">
        <v>131</v>
      </c>
      <c r="C32" s="192">
        <v>6</v>
      </c>
      <c r="D32" s="193">
        <f>D31+0.7</f>
        <v>2.0999999999999996</v>
      </c>
      <c r="E32" s="194">
        <v>0</v>
      </c>
      <c r="F32" s="194">
        <v>0</v>
      </c>
      <c r="G32" s="194">
        <f t="shared" si="0"/>
        <v>0</v>
      </c>
      <c r="H32" s="193">
        <v>0</v>
      </c>
      <c r="I32" s="194">
        <v>0</v>
      </c>
      <c r="J32" s="194">
        <f t="shared" si="1"/>
        <v>0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2"/>
        <v>112.77028300861492</v>
      </c>
      <c r="R32" s="196">
        <v>0</v>
      </c>
      <c r="S32" s="196">
        <v>149.999998070412</v>
      </c>
      <c r="T32" s="193">
        <f t="shared" si="7"/>
        <v>283.22629643663726</v>
      </c>
      <c r="U32" s="194">
        <f t="shared" si="9"/>
        <v>51.351269177826069</v>
      </c>
      <c r="V32" s="193">
        <f t="shared" si="3"/>
        <v>3.98004706603921</v>
      </c>
      <c r="W32" s="193">
        <f t="shared" si="10"/>
        <v>0</v>
      </c>
      <c r="X32" s="193">
        <f t="shared" si="5"/>
        <v>5.4800470660392104</v>
      </c>
      <c r="Y32" s="237" ph="1">
        <v>25</v>
      </c>
      <c r="Z32" s="198" t="str">
        <f t="shared" si="6"/>
        <v>OK</v>
      </c>
    </row>
    <row r="33" spans="1:26" ht="12" customHeight="1" x14ac:dyDescent="0.3">
      <c r="A33" s="279">
        <v>13</v>
      </c>
      <c r="B33" s="280" t="s">
        <v>131</v>
      </c>
      <c r="C33" s="280">
        <v>6</v>
      </c>
      <c r="D33" s="281">
        <f t="shared" ref="D33:D41" si="11">D32+0.7</f>
        <v>2.8</v>
      </c>
      <c r="E33" s="282">
        <v>0</v>
      </c>
      <c r="F33" s="282">
        <v>0</v>
      </c>
      <c r="G33" s="282">
        <f t="shared" si="0"/>
        <v>0</v>
      </c>
      <c r="H33" s="281">
        <v>0</v>
      </c>
      <c r="I33" s="282">
        <v>0</v>
      </c>
      <c r="J33" s="282">
        <f t="shared" si="1"/>
        <v>0</v>
      </c>
      <c r="K33" s="282">
        <v>355</v>
      </c>
      <c r="L33" s="283">
        <v>0.7</v>
      </c>
      <c r="M33" s="283">
        <v>4</v>
      </c>
      <c r="N33" s="284">
        <v>1</v>
      </c>
      <c r="O33" s="284">
        <v>1.5</v>
      </c>
      <c r="P33" s="284">
        <v>1</v>
      </c>
      <c r="Q33" s="284">
        <f t="shared" si="2"/>
        <v>75.657354891064173</v>
      </c>
      <c r="R33" s="284">
        <v>0</v>
      </c>
      <c r="S33" s="284">
        <v>150.00000033872101</v>
      </c>
      <c r="T33" s="281">
        <f t="shared" si="7"/>
        <v>270.59940069032183</v>
      </c>
      <c r="U33" s="282">
        <f t="shared" si="9"/>
        <v>67.76623364803612</v>
      </c>
      <c r="V33" s="281">
        <f t="shared" si="3"/>
        <v>3.98004706603921</v>
      </c>
      <c r="W33" s="281">
        <f t="shared" si="10"/>
        <v>0</v>
      </c>
      <c r="X33" s="281">
        <f t="shared" si="5"/>
        <v>5.4800470660392104</v>
      </c>
      <c r="Y33" s="237" ph="1">
        <v>25</v>
      </c>
      <c r="Z33" s="286" t="str">
        <f t="shared" si="6"/>
        <v>OK</v>
      </c>
    </row>
    <row r="34" spans="1:26" ht="12" customHeight="1" x14ac:dyDescent="0.3">
      <c r="A34" s="247">
        <v>14</v>
      </c>
      <c r="B34" s="248" t="s">
        <v>131</v>
      </c>
      <c r="C34" s="248">
        <v>6</v>
      </c>
      <c r="D34" s="249">
        <f t="shared" si="11"/>
        <v>3.5</v>
      </c>
      <c r="E34" s="250">
        <v>0</v>
      </c>
      <c r="F34" s="250">
        <v>0</v>
      </c>
      <c r="G34" s="250">
        <f t="shared" si="0"/>
        <v>0</v>
      </c>
      <c r="H34" s="249">
        <v>0</v>
      </c>
      <c r="I34" s="250">
        <v>0</v>
      </c>
      <c r="J34" s="250">
        <f t="shared" si="1"/>
        <v>0</v>
      </c>
      <c r="K34" s="250">
        <v>355</v>
      </c>
      <c r="L34" s="251">
        <v>0.7</v>
      </c>
      <c r="M34" s="251">
        <v>4</v>
      </c>
      <c r="N34" s="252">
        <v>1</v>
      </c>
      <c r="O34" s="252">
        <v>1.5</v>
      </c>
      <c r="P34" s="252">
        <v>1</v>
      </c>
      <c r="Q34" s="252">
        <f t="shared" si="2"/>
        <v>38.544426773513429</v>
      </c>
      <c r="R34" s="252">
        <v>0</v>
      </c>
      <c r="S34" s="252">
        <v>159.99999698174301</v>
      </c>
      <c r="T34" s="249">
        <f t="shared" si="7"/>
        <v>279.79576468876729</v>
      </c>
      <c r="U34" s="250">
        <f t="shared" si="9"/>
        <v>55.810960450057017</v>
      </c>
      <c r="V34" s="249">
        <f t="shared" si="3"/>
        <v>3.98004706603921</v>
      </c>
      <c r="W34" s="249">
        <f t="shared" si="10"/>
        <v>0</v>
      </c>
      <c r="X34" s="249">
        <f t="shared" si="5"/>
        <v>5.4800470660392104</v>
      </c>
      <c r="Y34" s="253" ph="1">
        <v>25</v>
      </c>
      <c r="Z34" s="254" t="str">
        <f t="shared" si="6"/>
        <v>OK</v>
      </c>
    </row>
    <row r="35" spans="1:26" ht="12" customHeight="1" x14ac:dyDescent="0.3">
      <c r="A35" s="191">
        <v>15</v>
      </c>
      <c r="B35" s="192" t="s">
        <v>131</v>
      </c>
      <c r="C35" s="192">
        <v>6</v>
      </c>
      <c r="D35" s="193">
        <f t="shared" si="11"/>
        <v>4.2</v>
      </c>
      <c r="E35" s="194">
        <v>0</v>
      </c>
      <c r="F35" s="194">
        <v>0</v>
      </c>
      <c r="G35" s="194">
        <f t="shared" si="0"/>
        <v>0</v>
      </c>
      <c r="H35" s="193">
        <v>0</v>
      </c>
      <c r="I35" s="194">
        <v>0</v>
      </c>
      <c r="J35" s="194">
        <f t="shared" si="1"/>
        <v>0</v>
      </c>
      <c r="K35" s="194">
        <v>355</v>
      </c>
      <c r="L35" s="195">
        <v>0.7</v>
      </c>
      <c r="M35" s="195">
        <v>4</v>
      </c>
      <c r="N35" s="196">
        <v>1</v>
      </c>
      <c r="O35" s="196">
        <v>1.5</v>
      </c>
      <c r="P35" s="196">
        <v>1</v>
      </c>
      <c r="Q35" s="196">
        <f t="shared" si="2"/>
        <v>1.4314986559626783</v>
      </c>
      <c r="R35" s="196">
        <v>0</v>
      </c>
      <c r="S35" s="196">
        <v>160.00000000457399</v>
      </c>
      <c r="T35" s="193">
        <f t="shared" si="7"/>
        <v>277.13182638014177</v>
      </c>
      <c r="U35" s="194">
        <f t="shared" si="9"/>
        <v>59.274080251270192</v>
      </c>
      <c r="V35" s="193">
        <f t="shared" si="3"/>
        <v>3.98004706603921</v>
      </c>
      <c r="W35" s="193">
        <f t="shared" si="10"/>
        <v>0</v>
      </c>
      <c r="X35" s="193">
        <f t="shared" si="5"/>
        <v>5.4800470660392104</v>
      </c>
      <c r="Y35" s="197" ph="1">
        <v>25</v>
      </c>
      <c r="Z35" s="198" t="str">
        <f t="shared" si="6"/>
        <v>OK</v>
      </c>
    </row>
    <row r="36" spans="1:26" ht="12" customHeight="1" x14ac:dyDescent="0.3">
      <c r="A36" s="191">
        <v>16</v>
      </c>
      <c r="B36" s="192" t="s">
        <v>131</v>
      </c>
      <c r="C36" s="192">
        <v>6</v>
      </c>
      <c r="D36" s="193">
        <f t="shared" si="11"/>
        <v>4.9000000000000004</v>
      </c>
      <c r="E36" s="194">
        <v>0</v>
      </c>
      <c r="F36" s="194">
        <v>0</v>
      </c>
      <c r="G36" s="194">
        <f t="shared" si="0"/>
        <v>0</v>
      </c>
      <c r="H36" s="193">
        <v>0</v>
      </c>
      <c r="I36" s="194">
        <v>0</v>
      </c>
      <c r="J36" s="194">
        <f t="shared" si="1"/>
        <v>0</v>
      </c>
      <c r="K36" s="194">
        <v>355</v>
      </c>
      <c r="L36" s="195">
        <v>0.7</v>
      </c>
      <c r="M36" s="195">
        <v>4</v>
      </c>
      <c r="N36" s="196">
        <v>1</v>
      </c>
      <c r="O36" s="196">
        <v>1.5</v>
      </c>
      <c r="P36" s="196">
        <v>1</v>
      </c>
      <c r="Q36" s="196">
        <f t="shared" si="2"/>
        <v>35.681429461588067</v>
      </c>
      <c r="R36" s="196">
        <v>0</v>
      </c>
      <c r="S36" s="196">
        <v>160.00000465835399</v>
      </c>
      <c r="T36" s="193">
        <f t="shared" si="7"/>
        <v>279.4157634788026</v>
      </c>
      <c r="U36" s="194">
        <f t="shared" si="9"/>
        <v>56.304962023011115</v>
      </c>
      <c r="V36" s="193">
        <f t="shared" si="3"/>
        <v>3.98004706603921</v>
      </c>
      <c r="W36" s="193">
        <f t="shared" si="10"/>
        <v>0</v>
      </c>
      <c r="X36" s="193">
        <f t="shared" si="5"/>
        <v>5.4800470660392104</v>
      </c>
      <c r="Y36" s="197" ph="1">
        <v>25</v>
      </c>
      <c r="Z36" s="198" t="str">
        <f t="shared" si="6"/>
        <v>OK</v>
      </c>
    </row>
    <row r="37" spans="1:26" ht="12" customHeight="1" x14ac:dyDescent="0.3">
      <c r="A37" s="279">
        <v>17</v>
      </c>
      <c r="B37" s="280" t="s">
        <v>131</v>
      </c>
      <c r="C37" s="280">
        <v>6</v>
      </c>
      <c r="D37" s="281">
        <f t="shared" si="11"/>
        <v>5.6000000000000005</v>
      </c>
      <c r="E37" s="282">
        <v>0</v>
      </c>
      <c r="F37" s="282">
        <v>0</v>
      </c>
      <c r="G37" s="282">
        <f t="shared" si="0"/>
        <v>0</v>
      </c>
      <c r="H37" s="281">
        <v>0</v>
      </c>
      <c r="I37" s="282">
        <v>0</v>
      </c>
      <c r="J37" s="282">
        <f t="shared" si="1"/>
        <v>0</v>
      </c>
      <c r="K37" s="282">
        <v>355</v>
      </c>
      <c r="L37" s="283">
        <v>0.7</v>
      </c>
      <c r="M37" s="283">
        <v>4</v>
      </c>
      <c r="N37" s="284">
        <v>1</v>
      </c>
      <c r="O37" s="284">
        <v>1.5</v>
      </c>
      <c r="P37" s="284">
        <v>1</v>
      </c>
      <c r="Q37" s="284">
        <f t="shared" si="2"/>
        <v>72.794357579138818</v>
      </c>
      <c r="R37" s="284">
        <v>0</v>
      </c>
      <c r="S37" s="284">
        <v>149.99999999999901</v>
      </c>
      <c r="T37" s="281">
        <f t="shared" si="7"/>
        <v>269.81293240939846</v>
      </c>
      <c r="U37" s="282">
        <f t="shared" si="9"/>
        <v>68.788642413236502</v>
      </c>
      <c r="V37" s="281">
        <f t="shared" si="3"/>
        <v>3.98004706603921</v>
      </c>
      <c r="W37" s="281">
        <f t="shared" si="10"/>
        <v>0</v>
      </c>
      <c r="X37" s="281">
        <f t="shared" si="5"/>
        <v>5.4800470660392104</v>
      </c>
      <c r="Y37" s="285" ph="1">
        <v>25</v>
      </c>
      <c r="Z37" s="286" t="str">
        <f t="shared" si="6"/>
        <v>OK</v>
      </c>
    </row>
    <row r="38" spans="1:26" ht="12" customHeight="1" x14ac:dyDescent="0.3">
      <c r="A38" s="247">
        <v>18</v>
      </c>
      <c r="B38" s="248" t="s">
        <v>131</v>
      </c>
      <c r="C38" s="248">
        <v>6</v>
      </c>
      <c r="D38" s="249">
        <f t="shared" si="11"/>
        <v>6.3000000000000007</v>
      </c>
      <c r="E38" s="250">
        <v>0</v>
      </c>
      <c r="F38" s="250">
        <v>0</v>
      </c>
      <c r="G38" s="250">
        <f t="shared" si="0"/>
        <v>0</v>
      </c>
      <c r="H38" s="249">
        <v>0</v>
      </c>
      <c r="I38" s="250">
        <v>0</v>
      </c>
      <c r="J38" s="250">
        <f t="shared" si="1"/>
        <v>0</v>
      </c>
      <c r="K38" s="250">
        <v>355</v>
      </c>
      <c r="L38" s="251">
        <v>0.7</v>
      </c>
      <c r="M38" s="251">
        <v>4</v>
      </c>
      <c r="N38" s="252">
        <v>1</v>
      </c>
      <c r="O38" s="252">
        <v>1.5</v>
      </c>
      <c r="P38" s="252">
        <v>1</v>
      </c>
      <c r="Q38" s="252">
        <f t="shared" si="2"/>
        <v>109.90728569668957</v>
      </c>
      <c r="R38" s="252">
        <v>0</v>
      </c>
      <c r="S38" s="252">
        <v>140.00000043114699</v>
      </c>
      <c r="T38" s="249">
        <f t="shared" si="7"/>
        <v>266.23225163638085</v>
      </c>
      <c r="U38" s="250">
        <f t="shared" si="9"/>
        <v>73.443527418159391</v>
      </c>
      <c r="V38" s="249">
        <f t="shared" si="3"/>
        <v>3.98004706603921</v>
      </c>
      <c r="W38" s="249">
        <f t="shared" si="10"/>
        <v>0</v>
      </c>
      <c r="X38" s="249">
        <f t="shared" si="5"/>
        <v>5.4800470660392104</v>
      </c>
      <c r="Y38" s="253" ph="1">
        <v>25</v>
      </c>
      <c r="Z38" s="254" t="str">
        <f t="shared" si="6"/>
        <v>OK</v>
      </c>
    </row>
    <row r="39" spans="1:26" ht="12" customHeight="1" x14ac:dyDescent="0.3">
      <c r="A39" s="191">
        <v>19</v>
      </c>
      <c r="B39" s="192" t="s">
        <v>131</v>
      </c>
      <c r="C39" s="192">
        <v>6</v>
      </c>
      <c r="D39" s="193">
        <f t="shared" si="11"/>
        <v>7.0000000000000009</v>
      </c>
      <c r="E39" s="194">
        <v>0</v>
      </c>
      <c r="F39" s="194">
        <v>0</v>
      </c>
      <c r="G39" s="194">
        <f t="shared" si="0"/>
        <v>0</v>
      </c>
      <c r="H39" s="193">
        <v>0</v>
      </c>
      <c r="I39" s="194">
        <v>0</v>
      </c>
      <c r="J39" s="194">
        <f t="shared" si="1"/>
        <v>0</v>
      </c>
      <c r="K39" s="194">
        <v>355</v>
      </c>
      <c r="L39" s="195">
        <v>0.7</v>
      </c>
      <c r="M39" s="195">
        <v>4</v>
      </c>
      <c r="N39" s="196">
        <v>1</v>
      </c>
      <c r="O39" s="196">
        <v>1.5</v>
      </c>
      <c r="P39" s="196">
        <v>1</v>
      </c>
      <c r="Q39" s="196">
        <f t="shared" si="2"/>
        <v>147.02021381424029</v>
      </c>
      <c r="R39" s="196">
        <v>0</v>
      </c>
      <c r="S39" s="196">
        <v>129.99999905913</v>
      </c>
      <c r="T39" s="193">
        <f t="shared" si="7"/>
        <v>268.91437770432867</v>
      </c>
      <c r="U39" s="194">
        <f t="shared" si="9"/>
        <v>69.956763529827228</v>
      </c>
      <c r="V39" s="193">
        <f t="shared" si="3"/>
        <v>3.98004706603921</v>
      </c>
      <c r="W39" s="193">
        <f t="shared" si="10"/>
        <v>0</v>
      </c>
      <c r="X39" s="193">
        <f t="shared" si="5"/>
        <v>5.4800470660392104</v>
      </c>
      <c r="Y39" s="197" ph="1">
        <v>25</v>
      </c>
      <c r="Z39" s="198" t="str">
        <f t="shared" si="6"/>
        <v>OK</v>
      </c>
    </row>
    <row r="40" spans="1:26" ht="12" customHeight="1" x14ac:dyDescent="0.3">
      <c r="A40" s="191">
        <v>20</v>
      </c>
      <c r="B40" s="192" t="s">
        <v>131</v>
      </c>
      <c r="C40" s="192">
        <v>6</v>
      </c>
      <c r="D40" s="193">
        <f t="shared" si="11"/>
        <v>7.7000000000000011</v>
      </c>
      <c r="E40" s="194">
        <v>0</v>
      </c>
      <c r="F40" s="194">
        <v>0</v>
      </c>
      <c r="G40" s="194">
        <f t="shared" si="0"/>
        <v>0</v>
      </c>
      <c r="H40" s="193">
        <v>0</v>
      </c>
      <c r="I40" s="194">
        <v>0</v>
      </c>
      <c r="J40" s="194">
        <f t="shared" si="1"/>
        <v>0</v>
      </c>
      <c r="K40" s="194">
        <v>355</v>
      </c>
      <c r="L40" s="195">
        <v>0.7</v>
      </c>
      <c r="M40" s="195">
        <v>4</v>
      </c>
      <c r="N40" s="196">
        <v>1</v>
      </c>
      <c r="O40" s="196">
        <v>1.5</v>
      </c>
      <c r="P40" s="196">
        <v>1</v>
      </c>
      <c r="Q40" s="196">
        <f t="shared" si="2"/>
        <v>184.13314193179107</v>
      </c>
      <c r="R40" s="196">
        <v>0</v>
      </c>
      <c r="S40" s="196">
        <v>119.999999479664</v>
      </c>
      <c r="T40" s="193">
        <f t="shared" si="7"/>
        <v>277.67789538065716</v>
      </c>
      <c r="U40" s="194">
        <f t="shared" si="9"/>
        <v>58.564190550600188</v>
      </c>
      <c r="V40" s="193">
        <f t="shared" si="3"/>
        <v>3.98004706603921</v>
      </c>
      <c r="W40" s="193">
        <f t="shared" si="10"/>
        <v>0</v>
      </c>
      <c r="X40" s="193">
        <f t="shared" si="5"/>
        <v>5.4800470660392104</v>
      </c>
      <c r="Y40" s="197" ph="1">
        <v>25</v>
      </c>
      <c r="Z40" s="198" t="str">
        <f t="shared" si="6"/>
        <v>OK</v>
      </c>
    </row>
    <row r="41" spans="1:26" ht="12" customHeight="1" x14ac:dyDescent="0.3">
      <c r="A41" s="239">
        <v>21</v>
      </c>
      <c r="B41" s="240" t="s">
        <v>131</v>
      </c>
      <c r="C41" s="240">
        <v>6</v>
      </c>
      <c r="D41" s="241">
        <f t="shared" si="11"/>
        <v>8.4</v>
      </c>
      <c r="E41" s="242">
        <v>0</v>
      </c>
      <c r="F41" s="242">
        <v>0</v>
      </c>
      <c r="G41" s="242">
        <f t="shared" si="0"/>
        <v>0</v>
      </c>
      <c r="H41" s="241">
        <v>0</v>
      </c>
      <c r="I41" s="242">
        <v>0</v>
      </c>
      <c r="J41" s="242">
        <f t="shared" si="1"/>
        <v>0</v>
      </c>
      <c r="K41" s="242">
        <v>355</v>
      </c>
      <c r="L41" s="243">
        <v>0.7</v>
      </c>
      <c r="M41" s="243">
        <v>4</v>
      </c>
      <c r="N41" s="244">
        <v>1</v>
      </c>
      <c r="O41" s="244">
        <v>1.5</v>
      </c>
      <c r="P41" s="244">
        <v>1</v>
      </c>
      <c r="Q41" s="244">
        <f t="shared" si="2"/>
        <v>221.24607004934174</v>
      </c>
      <c r="R41" s="244">
        <v>0</v>
      </c>
      <c r="S41" s="244">
        <v>110</v>
      </c>
      <c r="T41" s="241">
        <f t="shared" si="7"/>
        <v>291.97572418315576</v>
      </c>
      <c r="U41" s="242">
        <f t="shared" si="9"/>
        <v>39.977013107352008</v>
      </c>
      <c r="V41" s="241">
        <f t="shared" si="3"/>
        <v>3.98004706603921</v>
      </c>
      <c r="W41" s="241">
        <f t="shared" si="10"/>
        <v>0</v>
      </c>
      <c r="X41" s="241">
        <f t="shared" si="5"/>
        <v>5.4800470660392104</v>
      </c>
      <c r="Y41" s="245" ph="1">
        <v>25</v>
      </c>
      <c r="Z41" s="246" t="str">
        <f t="shared" si="6"/>
        <v>OK</v>
      </c>
    </row>
    <row r="42" spans="1:26" ht="12" customHeight="1" x14ac:dyDescent="0.3">
      <c r="A42" s="199">
        <v>3</v>
      </c>
      <c r="B42" s="200" t="s">
        <v>132</v>
      </c>
      <c r="C42" s="200">
        <v>2.1</v>
      </c>
      <c r="D42" s="200">
        <v>8.4</v>
      </c>
      <c r="E42" s="201">
        <v>0</v>
      </c>
      <c r="F42" s="201">
        <v>0</v>
      </c>
      <c r="G42" s="201">
        <f t="shared" si="0"/>
        <v>0</v>
      </c>
      <c r="H42" s="202">
        <v>0</v>
      </c>
      <c r="I42" s="201">
        <v>0</v>
      </c>
      <c r="J42" s="201">
        <f t="shared" si="1"/>
        <v>0</v>
      </c>
      <c r="K42" s="201">
        <v>355</v>
      </c>
      <c r="L42" s="203">
        <v>0.75</v>
      </c>
      <c r="M42" s="203">
        <v>4</v>
      </c>
      <c r="N42" s="204">
        <v>1</v>
      </c>
      <c r="O42" s="204">
        <v>1.5</v>
      </c>
      <c r="P42" s="204">
        <v>1</v>
      </c>
      <c r="Q42" s="204">
        <f t="shared" si="2"/>
        <v>221.24607004934174</v>
      </c>
      <c r="R42" s="204">
        <v>0</v>
      </c>
      <c r="S42" s="204">
        <v>5.3010979803621197E-13</v>
      </c>
      <c r="T42" s="202">
        <f t="shared" si="7"/>
        <v>221.24607004934174</v>
      </c>
      <c r="U42" s="201">
        <f t="shared" si="9"/>
        <v>131.92556348131023</v>
      </c>
      <c r="V42" s="202">
        <f t="shared" si="3"/>
        <v>3.98004706603921</v>
      </c>
      <c r="W42" s="202">
        <f t="shared" si="10"/>
        <v>0</v>
      </c>
      <c r="X42" s="202">
        <f t="shared" si="5"/>
        <v>5.4800470660392104</v>
      </c>
      <c r="Y42" s="205" ph="1">
        <v>20</v>
      </c>
      <c r="Z42" s="206" t="str">
        <f t="shared" si="6"/>
        <v>OK</v>
      </c>
    </row>
    <row r="43" spans="1:26" ht="12" customHeight="1" x14ac:dyDescent="0.3">
      <c r="A43" s="199">
        <v>4</v>
      </c>
      <c r="B43" s="200" t="s">
        <v>132</v>
      </c>
      <c r="C43" s="200">
        <v>3</v>
      </c>
      <c r="D43" s="200">
        <v>8.4</v>
      </c>
      <c r="E43" s="201">
        <v>0</v>
      </c>
      <c r="F43" s="201">
        <v>0</v>
      </c>
      <c r="G43" s="201">
        <f t="shared" si="0"/>
        <v>0</v>
      </c>
      <c r="H43" s="202">
        <v>0</v>
      </c>
      <c r="I43" s="201">
        <v>0</v>
      </c>
      <c r="J43" s="201">
        <f t="shared" si="1"/>
        <v>0</v>
      </c>
      <c r="K43" s="201">
        <v>355</v>
      </c>
      <c r="L43" s="203">
        <v>0.75</v>
      </c>
      <c r="M43" s="203">
        <v>4</v>
      </c>
      <c r="N43" s="204">
        <v>1</v>
      </c>
      <c r="O43" s="204">
        <v>1.5</v>
      </c>
      <c r="P43" s="204">
        <v>1</v>
      </c>
      <c r="Q43" s="204">
        <f t="shared" si="2"/>
        <v>221.24607004934174</v>
      </c>
      <c r="R43" s="204">
        <v>0</v>
      </c>
      <c r="S43" s="204">
        <v>15.000006152287201</v>
      </c>
      <c r="T43" s="202">
        <f t="shared" si="7"/>
        <v>222.76629921508371</v>
      </c>
      <c r="U43" s="201">
        <f t="shared" si="9"/>
        <v>129.94926556584568</v>
      </c>
      <c r="V43" s="202">
        <f t="shared" si="3"/>
        <v>3.98004706603921</v>
      </c>
      <c r="W43" s="202">
        <f t="shared" si="10"/>
        <v>0</v>
      </c>
      <c r="X43" s="202">
        <f t="shared" si="5"/>
        <v>5.4800470660392104</v>
      </c>
      <c r="Y43" s="205" ph="1">
        <v>20</v>
      </c>
      <c r="Z43" s="206" t="str">
        <f t="shared" si="6"/>
        <v>OK</v>
      </c>
    </row>
    <row r="44" spans="1:26" ht="12" customHeight="1" x14ac:dyDescent="0.3">
      <c r="A44" s="199">
        <v>5</v>
      </c>
      <c r="B44" s="200" t="s">
        <v>132</v>
      </c>
      <c r="C44" s="200">
        <v>3.75</v>
      </c>
      <c r="D44" s="200">
        <v>8.4</v>
      </c>
      <c r="E44" s="201">
        <v>0</v>
      </c>
      <c r="F44" s="201">
        <v>0</v>
      </c>
      <c r="G44" s="201">
        <f t="shared" si="0"/>
        <v>0</v>
      </c>
      <c r="H44" s="202">
        <v>0</v>
      </c>
      <c r="I44" s="201">
        <v>0</v>
      </c>
      <c r="J44" s="201">
        <f t="shared" si="1"/>
        <v>0</v>
      </c>
      <c r="K44" s="201">
        <v>355</v>
      </c>
      <c r="L44" s="203">
        <v>0.75</v>
      </c>
      <c r="M44" s="203">
        <v>4</v>
      </c>
      <c r="N44" s="204">
        <v>1</v>
      </c>
      <c r="O44" s="204">
        <v>1.5</v>
      </c>
      <c r="P44" s="204">
        <v>1</v>
      </c>
      <c r="Q44" s="204">
        <f t="shared" si="2"/>
        <v>221.24607004934174</v>
      </c>
      <c r="R44" s="204">
        <v>0</v>
      </c>
      <c r="S44" s="204">
        <v>41.000003188122598</v>
      </c>
      <c r="T44" s="202">
        <f t="shared" si="7"/>
        <v>232.36356060397341</v>
      </c>
      <c r="U44" s="201">
        <f t="shared" si="9"/>
        <v>117.47282576028907</v>
      </c>
      <c r="V44" s="202">
        <f t="shared" si="3"/>
        <v>3.98004706603921</v>
      </c>
      <c r="W44" s="202">
        <f t="shared" si="10"/>
        <v>0</v>
      </c>
      <c r="X44" s="202">
        <f t="shared" si="5"/>
        <v>5.4800470660392104</v>
      </c>
      <c r="Y44" s="205" ph="1">
        <v>20</v>
      </c>
      <c r="Z44" s="206" t="str">
        <f t="shared" si="6"/>
        <v>OK</v>
      </c>
    </row>
    <row r="45" spans="1:26" ht="12" customHeight="1" x14ac:dyDescent="0.3">
      <c r="A45" s="199">
        <v>6</v>
      </c>
      <c r="B45" s="200" t="s">
        <v>132</v>
      </c>
      <c r="C45" s="200">
        <v>4.5</v>
      </c>
      <c r="D45" s="200">
        <v>8.4</v>
      </c>
      <c r="E45" s="201">
        <v>0</v>
      </c>
      <c r="F45" s="201">
        <v>0</v>
      </c>
      <c r="G45" s="201">
        <f t="shared" si="0"/>
        <v>0</v>
      </c>
      <c r="H45" s="202">
        <v>0</v>
      </c>
      <c r="I45" s="201">
        <v>0</v>
      </c>
      <c r="J45" s="201">
        <f t="shared" si="1"/>
        <v>0</v>
      </c>
      <c r="K45" s="201">
        <v>355</v>
      </c>
      <c r="L45" s="203">
        <v>0.75</v>
      </c>
      <c r="M45" s="203">
        <v>4</v>
      </c>
      <c r="N45" s="204">
        <v>1</v>
      </c>
      <c r="O45" s="204">
        <v>1.5</v>
      </c>
      <c r="P45" s="204">
        <v>1</v>
      </c>
      <c r="Q45" s="204">
        <f t="shared" si="2"/>
        <v>221.24607004934174</v>
      </c>
      <c r="R45" s="204">
        <v>0</v>
      </c>
      <c r="S45" s="204">
        <v>64.000002121496195</v>
      </c>
      <c r="T45" s="202">
        <f t="shared" si="7"/>
        <v>247.46277361844304</v>
      </c>
      <c r="U45" s="201">
        <f t="shared" si="9"/>
        <v>97.843848841478547</v>
      </c>
      <c r="V45" s="202">
        <f t="shared" si="3"/>
        <v>3.98004706603921</v>
      </c>
      <c r="W45" s="202">
        <f t="shared" si="10"/>
        <v>0</v>
      </c>
      <c r="X45" s="202">
        <f t="shared" si="5"/>
        <v>5.4800470660392104</v>
      </c>
      <c r="Y45" s="205" ph="1">
        <v>20</v>
      </c>
      <c r="Z45" s="206" t="str">
        <f t="shared" si="6"/>
        <v>OK</v>
      </c>
    </row>
    <row r="46" spans="1:26" ht="12" customHeight="1" x14ac:dyDescent="0.3">
      <c r="A46" s="199">
        <v>7</v>
      </c>
      <c r="B46" s="200" t="s">
        <v>132</v>
      </c>
      <c r="C46" s="200">
        <v>5.25</v>
      </c>
      <c r="D46" s="200">
        <v>8.4</v>
      </c>
      <c r="E46" s="201">
        <v>0</v>
      </c>
      <c r="F46" s="201">
        <v>0</v>
      </c>
      <c r="G46" s="201">
        <f t="shared" si="0"/>
        <v>0</v>
      </c>
      <c r="H46" s="202">
        <v>0</v>
      </c>
      <c r="I46" s="201">
        <v>0</v>
      </c>
      <c r="J46" s="201">
        <f t="shared" si="1"/>
        <v>0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si="2"/>
        <v>221.24607004934174</v>
      </c>
      <c r="R46" s="204">
        <v>0</v>
      </c>
      <c r="S46" s="204">
        <v>87.000000746377793</v>
      </c>
      <c r="T46" s="202">
        <f t="shared" si="7"/>
        <v>267.68792259249847</v>
      </c>
      <c r="U46" s="201">
        <f t="shared" si="9"/>
        <v>71.551155175206489</v>
      </c>
      <c r="V46" s="202">
        <f t="shared" si="3"/>
        <v>3.98004706603921</v>
      </c>
      <c r="W46" s="202">
        <f t="shared" si="10"/>
        <v>0</v>
      </c>
      <c r="X46" s="202">
        <f t="shared" si="5"/>
        <v>5.4800470660392104</v>
      </c>
      <c r="Y46" s="205" ph="1">
        <v>20</v>
      </c>
      <c r="Z46" s="206" t="str">
        <f t="shared" si="6"/>
        <v>OK</v>
      </c>
    </row>
    <row r="47" spans="1:26" ht="12" customHeight="1" x14ac:dyDescent="0.3">
      <c r="A47" s="263">
        <v>8</v>
      </c>
      <c r="B47" s="264" t="s">
        <v>132</v>
      </c>
      <c r="C47" s="264">
        <v>6</v>
      </c>
      <c r="D47" s="264">
        <v>8.4</v>
      </c>
      <c r="E47" s="265">
        <v>0</v>
      </c>
      <c r="F47" s="265">
        <v>0</v>
      </c>
      <c r="G47" s="265">
        <f t="shared" si="0"/>
        <v>0</v>
      </c>
      <c r="H47" s="266">
        <v>0</v>
      </c>
      <c r="I47" s="265">
        <v>0</v>
      </c>
      <c r="J47" s="265">
        <f t="shared" si="1"/>
        <v>0</v>
      </c>
      <c r="K47" s="265">
        <v>355</v>
      </c>
      <c r="L47" s="267">
        <v>0.75</v>
      </c>
      <c r="M47" s="267">
        <v>4</v>
      </c>
      <c r="N47" s="268">
        <v>1</v>
      </c>
      <c r="O47" s="268">
        <v>1.5</v>
      </c>
      <c r="P47" s="268">
        <v>1</v>
      </c>
      <c r="Q47" s="268">
        <f t="shared" si="2"/>
        <v>221.24607004934174</v>
      </c>
      <c r="R47" s="268">
        <v>0</v>
      </c>
      <c r="S47" s="268">
        <v>110</v>
      </c>
      <c r="T47" s="266">
        <f t="shared" si="7"/>
        <v>291.97572418315576</v>
      </c>
      <c r="U47" s="265">
        <f t="shared" si="9"/>
        <v>39.977013107352008</v>
      </c>
      <c r="V47" s="266">
        <f t="shared" si="3"/>
        <v>3.98004706603921</v>
      </c>
      <c r="W47" s="266">
        <f t="shared" si="10"/>
        <v>0</v>
      </c>
      <c r="X47" s="266">
        <f t="shared" si="5"/>
        <v>5.4800470660392104</v>
      </c>
      <c r="Y47" s="269" ph="1">
        <v>20</v>
      </c>
      <c r="Z47" s="270" t="str">
        <f t="shared" si="6"/>
        <v>OK</v>
      </c>
    </row>
    <row r="48" spans="1:26" ht="12" customHeight="1" x14ac:dyDescent="0.3">
      <c r="Y48" s="4" ph="1"/>
    </row>
    <row r="49" spans="25:25" ht="12" customHeight="1" x14ac:dyDescent="0.3">
      <c r="Y49" s="4" ph="1"/>
    </row>
    <row r="50" spans="25:25" ht="12" customHeight="1" x14ac:dyDescent="0.3">
      <c r="Y50" s="4" ph="1"/>
    </row>
    <row r="51" spans="25:25" ht="12" customHeight="1" x14ac:dyDescent="0.3">
      <c r="Y51" s="4" ph="1"/>
    </row>
    <row r="52" spans="25:25" ht="12" customHeight="1" x14ac:dyDescent="0.3">
      <c r="Y52" s="4" ph="1"/>
    </row>
    <row r="53" spans="25:25" ht="12" customHeight="1" x14ac:dyDescent="0.3">
      <c r="Y53" s="4" ph="1"/>
    </row>
    <row r="54" spans="25:25" ht="12" customHeight="1" x14ac:dyDescent="0.3">
      <c r="Y54" s="4" ph="1"/>
    </row>
    <row r="55" spans="25:25" ht="12" customHeight="1" x14ac:dyDescent="0.3">
      <c r="Y55" s="4" ph="1"/>
    </row>
    <row r="56" spans="25:25" ht="12" customHeight="1" x14ac:dyDescent="0.3">
      <c r="Y56" s="4" ph="1"/>
    </row>
    <row r="61" spans="25:25" ht="12" customHeight="1" x14ac:dyDescent="0.3">
      <c r="Y61" s="4" ph="1"/>
    </row>
    <row r="62" spans="25:25" ht="12" customHeight="1" x14ac:dyDescent="0.3">
      <c r="Y62" s="4" ph="1"/>
    </row>
    <row r="63" spans="25:25" ht="12" customHeight="1" x14ac:dyDescent="0.3">
      <c r="Y63" s="4" ph="1"/>
    </row>
    <row r="64" spans="25:25" ht="12" customHeight="1" x14ac:dyDescent="0.3">
      <c r="Y64" s="4" ph="1"/>
    </row>
    <row r="65" spans="25:25" ht="12" customHeight="1" x14ac:dyDescent="0.3">
      <c r="Y65" s="4" ph="1"/>
    </row>
    <row r="66" spans="25:25" ht="12" customHeight="1" x14ac:dyDescent="0.3">
      <c r="Y66" s="4" ph="1"/>
    </row>
    <row r="67" spans="25:25" ht="12" customHeight="1" x14ac:dyDescent="0.3">
      <c r="Y67" s="4" ph="1"/>
    </row>
    <row r="68" spans="25:25" ht="12" customHeight="1" x14ac:dyDescent="0.3">
      <c r="Y68" s="4" ph="1"/>
    </row>
    <row r="69" spans="25:25" ht="12" customHeight="1" x14ac:dyDescent="0.3">
      <c r="Y69" s="4" ph="1"/>
    </row>
    <row r="70" spans="25:25" ht="12" customHeight="1" x14ac:dyDescent="0.3">
      <c r="Y70" s="4" ph="1"/>
    </row>
    <row r="75" spans="25:25" ht="12" customHeight="1" x14ac:dyDescent="0.3">
      <c r="Y75" s="4" ph="1"/>
    </row>
    <row r="76" spans="25:25" ht="12" customHeight="1" x14ac:dyDescent="0.3">
      <c r="Y76" s="4" ph="1"/>
    </row>
    <row r="77" spans="25:25" ht="12" customHeight="1" x14ac:dyDescent="0.3">
      <c r="Y77" s="4" ph="1"/>
    </row>
    <row r="78" spans="25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28 Z42:Z47">
    <cfRule type="cellIs" dxfId="17" priority="2" operator="equal">
      <formula>"N.G"</formula>
    </cfRule>
  </conditionalFormatting>
  <conditionalFormatting sqref="Z29:Z41">
    <cfRule type="cellIs" dxfId="1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C724-057E-44D2-AF6A-CE89DE37AD59}">
  <sheetPr codeName="Sheet16"/>
  <dimension ref="A1:AC113"/>
  <sheetViews>
    <sheetView showGridLines="0" topLeftCell="A16" zoomScale="145" zoomScaleNormal="145" workbookViewId="0">
      <selection activeCell="C31" sqref="C31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7" width="5.33203125" style="4" customWidth="1"/>
    <col min="28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0">
        <f>'Global Strength'!C10</f>
        <v>1054200</v>
      </c>
      <c r="N11" s="320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1">
        <f>'Global Strength'!C6</f>
        <v>27.497900000000001</v>
      </c>
      <c r="N12" s="321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21">
        <f>'Global Strength'!C5</f>
        <v>5.92</v>
      </c>
      <c r="N13" s="321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20"/>
      <c r="N14" s="320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0">
        <f>'Global Strength'!C27</f>
        <v>21871.5</v>
      </c>
      <c r="N15" s="320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273</v>
      </c>
      <c r="D24" s="87"/>
      <c r="E24" s="303">
        <v>0.8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4">
        <f>J24*$F$18</f>
        <v>171.85427774999999</v>
      </c>
      <c r="M24" s="81" cm="1">
        <f t="array" ref="M24">Profile_SM(C24,P24*1000,'Plates(FR#0)'!Y24)/10^3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226.95784041690456</v>
      </c>
      <c r="T24" s="84">
        <v>0</v>
      </c>
      <c r="U24" s="84">
        <v>-20.2</v>
      </c>
      <c r="V24" s="84">
        <f>SQRT(S24^2+T24^2-S24*T24+3*U24^2)</f>
        <v>229.63880622992517</v>
      </c>
      <c r="W24" s="81">
        <f>(R24/$F$7-V24)</f>
        <v>93.088466497347525</v>
      </c>
      <c r="X24" s="81">
        <f>0.577*SQRT((R24/$F$7)^2-S24^2)</f>
        <v>132.38727939696463</v>
      </c>
      <c r="Y24" s="81">
        <f>O24^2*P24*L24*1000000/($F$8*W24*Q24)/10^3</f>
        <v>1846.1393147441834</v>
      </c>
      <c r="Z24" s="81">
        <f>O24*P24*L24*1000/(2*X24)</f>
        <v>1947.1766305585884</v>
      </c>
      <c r="AA24" s="89" t="str">
        <f t="shared" ref="AA24:AA36" si="2">IF(AND(M24&gt;=Y24,N24&gt;=Z24),"OK","N.G")</f>
        <v>OK</v>
      </c>
      <c r="AB24" s="297">
        <f t="shared" ref="AB24:AB36" si="3">M24/Y24</f>
        <v>1.0864989685135813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87">
        <v>1.7320000000000002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7" si="4">1.025*9.81*(($F$10+0.76)-F25)</f>
        <v>127.29946499999998</v>
      </c>
      <c r="K25" s="84">
        <v>0</v>
      </c>
      <c r="L25" s="84">
        <f>J25*$F$18</f>
        <v>171.85427774999999</v>
      </c>
      <c r="M25" s="81" cm="1">
        <f t="array" ref="M25">Profile_SM(C25,P25*1000,'Plates(FR#0)'!Y25)/10^3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5">$M$11/ABS(($M$12/(F25-$M$13)))/1000</f>
        <v>226.95784041690456</v>
      </c>
      <c r="T25" s="84">
        <v>0</v>
      </c>
      <c r="U25" s="84">
        <v>-14.7</v>
      </c>
      <c r="V25" s="84">
        <f t="shared" ref="V25:V36" si="6">SQRT(S25^2+T25^2-S25*T25+3*U25^2)</f>
        <v>228.38154769312058</v>
      </c>
      <c r="W25" s="81">
        <f t="shared" ref="W25:W36" si="7">(R25/$F$7-V25)</f>
        <v>94.34572503415211</v>
      </c>
      <c r="X25" s="81">
        <f t="shared" ref="X25:X36" si="8">0.577*SQRT((R25/$F$7)^2-S25^2)</f>
        <v>132.38727939696463</v>
      </c>
      <c r="Y25" s="81">
        <f t="shared" ref="Y25:Y36" si="9">O25^2*P25*L25*1000000/($F$8*W25*Q25)/10^3</f>
        <v>1821.5375173362722</v>
      </c>
      <c r="Z25" s="81">
        <f>O25*P25*L25*1000/(2*X25)</f>
        <v>1947.1766305585884</v>
      </c>
      <c r="AA25" s="89" t="str">
        <f t="shared" si="2"/>
        <v>OK</v>
      </c>
      <c r="AB25" s="297">
        <f t="shared" si="3"/>
        <v>1.1011732902076874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87">
        <v>2.5980000000000003</v>
      </c>
      <c r="F26" s="88">
        <v>0</v>
      </c>
      <c r="G26" s="84">
        <v>0</v>
      </c>
      <c r="H26" s="84">
        <v>0</v>
      </c>
      <c r="I26" s="84">
        <v>0</v>
      </c>
      <c r="J26" s="84">
        <f t="shared" si="4"/>
        <v>127.29946499999998</v>
      </c>
      <c r="K26" s="84">
        <v>0</v>
      </c>
      <c r="L26" s="84">
        <f t="shared" ref="L26:L67" si="10">J26*$F$18</f>
        <v>171.85427774999999</v>
      </c>
      <c r="M26" s="81" cm="1">
        <f t="array" ref="M26">Profile_SM(C26,P26*1000,'Plates(FR#0)'!Y26)/10^3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5"/>
        <v>226.95784041690456</v>
      </c>
      <c r="T26" s="84">
        <v>0</v>
      </c>
      <c r="U26" s="84">
        <v>-9.5</v>
      </c>
      <c r="V26" s="84">
        <f t="shared" si="6"/>
        <v>227.55353507846263</v>
      </c>
      <c r="W26" s="81">
        <f t="shared" si="7"/>
        <v>95.173737648810061</v>
      </c>
      <c r="X26" s="81">
        <f t="shared" si="8"/>
        <v>132.38727939696463</v>
      </c>
      <c r="Y26" s="81">
        <f t="shared" si="9"/>
        <v>1805.6901199377105</v>
      </c>
      <c r="Z26" s="81">
        <f t="shared" ref="Z26:Z36" si="11">O26*P26*L26*1000/(2*X26)</f>
        <v>1947.1766305585884</v>
      </c>
      <c r="AA26" s="89" t="str">
        <f t="shared" si="2"/>
        <v>OK</v>
      </c>
      <c r="AB26" s="297">
        <f t="shared" si="3"/>
        <v>1.110837590046247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87">
        <v>3.4640000000000004</v>
      </c>
      <c r="F27" s="88">
        <v>0</v>
      </c>
      <c r="G27" s="84">
        <v>0</v>
      </c>
      <c r="H27" s="84">
        <v>0</v>
      </c>
      <c r="I27" s="84">
        <v>0</v>
      </c>
      <c r="J27" s="84">
        <f t="shared" si="4"/>
        <v>127.29946499999998</v>
      </c>
      <c r="K27" s="84">
        <v>0</v>
      </c>
      <c r="L27" s="84">
        <f t="shared" si="10"/>
        <v>171.85427774999999</v>
      </c>
      <c r="M27" s="81" cm="1">
        <f t="array" ref="M27">Profile_SM(C27,P27*1000,'Plates(FR#0)'!Y27)/10^3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5"/>
        <v>226.95784041690456</v>
      </c>
      <c r="T27" s="84">
        <v>0</v>
      </c>
      <c r="U27" s="84">
        <v>-4.4000000000000004</v>
      </c>
      <c r="V27" s="84">
        <f t="shared" si="6"/>
        <v>227.0857576483059</v>
      </c>
      <c r="W27" s="81">
        <f t="shared" si="7"/>
        <v>95.64151507896679</v>
      </c>
      <c r="X27" s="81">
        <f t="shared" si="8"/>
        <v>132.38727939696463</v>
      </c>
      <c r="Y27" s="81">
        <f t="shared" si="9"/>
        <v>1796.8585881152956</v>
      </c>
      <c r="Z27" s="81">
        <f t="shared" si="11"/>
        <v>1947.1766305585884</v>
      </c>
      <c r="AA27" s="89" t="str">
        <f t="shared" si="2"/>
        <v>OK</v>
      </c>
      <c r="AB27" s="297">
        <f t="shared" si="3"/>
        <v>1.1162973394059994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87">
        <v>4.33</v>
      </c>
      <c r="F28" s="88">
        <v>0</v>
      </c>
      <c r="G28" s="84">
        <v>0</v>
      </c>
      <c r="H28" s="84">
        <v>0</v>
      </c>
      <c r="I28" s="84">
        <v>0</v>
      </c>
      <c r="J28" s="84">
        <f t="shared" si="4"/>
        <v>127.29946499999998</v>
      </c>
      <c r="K28" s="84">
        <v>0</v>
      </c>
      <c r="L28" s="84">
        <f t="shared" si="10"/>
        <v>171.85427774999999</v>
      </c>
      <c r="M28" s="81" cm="1">
        <f t="array" ref="M28">Profile_SM(C28,P28*1000,'Plates(FR#0)'!Y28)/10^3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5"/>
        <v>226.95784041690456</v>
      </c>
      <c r="T28" s="84">
        <v>0</v>
      </c>
      <c r="U28" s="84">
        <v>0.8</v>
      </c>
      <c r="V28" s="84">
        <f t="shared" si="6"/>
        <v>226.96207023796975</v>
      </c>
      <c r="W28" s="81">
        <f t="shared" si="7"/>
        <v>95.765202489302936</v>
      </c>
      <c r="X28" s="81">
        <f t="shared" si="8"/>
        <v>132.38727939696463</v>
      </c>
      <c r="Y28" s="81">
        <f t="shared" si="9"/>
        <v>1794.5378204488873</v>
      </c>
      <c r="Z28" s="81">
        <f t="shared" si="11"/>
        <v>1947.1766305585884</v>
      </c>
      <c r="AA28" s="89" t="str">
        <f t="shared" si="2"/>
        <v>OK</v>
      </c>
      <c r="AB28" s="297">
        <f t="shared" si="3"/>
        <v>1.1177409795131459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87">
        <v>5.1959999999999997</v>
      </c>
      <c r="F29" s="88">
        <v>0</v>
      </c>
      <c r="G29" s="84">
        <v>0</v>
      </c>
      <c r="H29" s="84">
        <v>0</v>
      </c>
      <c r="I29" s="84">
        <v>0</v>
      </c>
      <c r="J29" s="84">
        <f t="shared" si="4"/>
        <v>127.29946499999998</v>
      </c>
      <c r="K29" s="84">
        <v>0</v>
      </c>
      <c r="L29" s="84">
        <f t="shared" si="10"/>
        <v>171.85427774999999</v>
      </c>
      <c r="M29" s="81" cm="1">
        <f t="array" ref="M29">Profile_SM(C29,P29*1000,'Plates(FR#0)'!Y29)/10^3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5"/>
        <v>226.95784041690456</v>
      </c>
      <c r="T29" s="84">
        <v>0</v>
      </c>
      <c r="U29" s="84">
        <v>6</v>
      </c>
      <c r="V29" s="84">
        <f t="shared" si="6"/>
        <v>227.19564548359003</v>
      </c>
      <c r="W29" s="81">
        <f t="shared" si="7"/>
        <v>95.531627243682664</v>
      </c>
      <c r="X29" s="81">
        <f t="shared" si="8"/>
        <v>132.38727939696463</v>
      </c>
      <c r="Y29" s="81">
        <f t="shared" si="9"/>
        <v>1798.9254732533036</v>
      </c>
      <c r="Z29" s="81">
        <f t="shared" si="11"/>
        <v>1947.1766305585884</v>
      </c>
      <c r="AA29" s="89" t="str">
        <f t="shared" si="2"/>
        <v>OK</v>
      </c>
      <c r="AB29" s="297">
        <f t="shared" si="3"/>
        <v>1.1150147635490666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87">
        <v>7.1059999999999999</v>
      </c>
      <c r="F30" s="88">
        <v>0</v>
      </c>
      <c r="G30" s="84">
        <v>0</v>
      </c>
      <c r="H30" s="84">
        <v>0</v>
      </c>
      <c r="I30" s="84">
        <v>0</v>
      </c>
      <c r="J30" s="84">
        <f t="shared" si="4"/>
        <v>127.29946499999998</v>
      </c>
      <c r="K30" s="84">
        <v>0</v>
      </c>
      <c r="L30" s="84">
        <f t="shared" si="10"/>
        <v>171.85427774999999</v>
      </c>
      <c r="M30" s="81" cm="1">
        <f t="array" ref="M30">Profile_SM(C30,P30*1000,'Plates(FR#0)'!Y30)/10^3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226.95784041690456</v>
      </c>
      <c r="T30" s="84">
        <v>0</v>
      </c>
      <c r="U30" s="84">
        <v>15.3</v>
      </c>
      <c r="V30" s="84">
        <f t="shared" si="6"/>
        <v>228.49974032087019</v>
      </c>
      <c r="W30" s="81">
        <f t="shared" si="7"/>
        <v>94.227532406402503</v>
      </c>
      <c r="X30" s="81">
        <f t="shared" si="8"/>
        <v>132.38727939696463</v>
      </c>
      <c r="Y30" s="81">
        <f t="shared" si="9"/>
        <v>1823.8223304924727</v>
      </c>
      <c r="Z30" s="81">
        <f t="shared" si="11"/>
        <v>1947.1766305585884</v>
      </c>
      <c r="AA30" s="89" t="str">
        <f t="shared" si="2"/>
        <v>OK</v>
      </c>
      <c r="AB30" s="297">
        <f t="shared" si="3"/>
        <v>1.0997937834549414</v>
      </c>
    </row>
    <row r="31" spans="1:28" ht="12" customHeight="1" x14ac:dyDescent="0.45">
      <c r="A31" s="75">
        <v>8</v>
      </c>
      <c r="B31" s="75" t="s">
        <v>276</v>
      </c>
      <c r="C31" s="91" t="s">
        <v>279</v>
      </c>
      <c r="D31" s="91"/>
      <c r="E31" s="91">
        <v>7.8559999999999999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4"/>
        <v>120.26079</v>
      </c>
      <c r="K31" s="79">
        <v>0</v>
      </c>
      <c r="L31" s="79">
        <f t="shared" si="10"/>
        <v>162.35206650000001</v>
      </c>
      <c r="M31" s="76" cm="1">
        <f t="array" ref="M31">Profile_SM(C31,P31*1000,'Plates(FR#0)'!Y31)/10^3</f>
        <v>1992.3773678787725</v>
      </c>
      <c r="N31" s="76" cm="1">
        <f t="array" ref="N31">Profile_ShearArea(C31,P31,12)</f>
        <v>7500</v>
      </c>
      <c r="O31" s="92">
        <v>4.1500000000000004</v>
      </c>
      <c r="P31" s="92">
        <v>0.7</v>
      </c>
      <c r="Q31" s="79">
        <v>1</v>
      </c>
      <c r="R31" s="79">
        <v>355</v>
      </c>
      <c r="S31" s="308">
        <f t="shared" ref="S31:S36" si="12">$M$11/ABS(($M$12/(F31-$M$13)))/1000</f>
        <v>200.12160928652733</v>
      </c>
      <c r="T31" s="79">
        <v>0</v>
      </c>
      <c r="U31" s="79">
        <v>22.3</v>
      </c>
      <c r="V31" s="79">
        <f t="shared" si="6"/>
        <v>203.81493689970199</v>
      </c>
      <c r="W31" s="76">
        <f t="shared" si="7"/>
        <v>118.9123358275707</v>
      </c>
      <c r="X31" s="76">
        <f t="shared" si="8"/>
        <v>146.08955657705414</v>
      </c>
      <c r="Y31" s="76">
        <f>O31^2*P31*L31*1000000/($F$8*W31*Q31)/10^3</f>
        <v>1371.6518644356145</v>
      </c>
      <c r="Z31" s="76">
        <f t="shared" si="11"/>
        <v>1614.1905151643741</v>
      </c>
      <c r="AA31" s="94" t="str">
        <f t="shared" si="2"/>
        <v>OK</v>
      </c>
      <c r="AB31" s="298">
        <f t="shared" si="3"/>
        <v>1.4525386649028209</v>
      </c>
    </row>
    <row r="32" spans="1:28" ht="12" customHeight="1" x14ac:dyDescent="0.45">
      <c r="A32" s="75">
        <v>9</v>
      </c>
      <c r="B32" s="75" t="s">
        <v>276</v>
      </c>
      <c r="C32" s="91" t="s">
        <v>266</v>
      </c>
      <c r="D32" s="91"/>
      <c r="E32" s="91">
        <v>7.8559999999999999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4"/>
        <v>113.22211499999999</v>
      </c>
      <c r="K32" s="79">
        <v>0</v>
      </c>
      <c r="L32" s="79">
        <f t="shared" si="10"/>
        <v>152.84985524999999</v>
      </c>
      <c r="M32" s="76" cm="1">
        <f t="array" ref="M32">Profile_SM(C32,P32*1000,'Plates(FR#0)'!Y32)/10^3</f>
        <v>1243.2205522801714</v>
      </c>
      <c r="N32" s="76" cm="1">
        <f t="array" ref="N32">Profile_ShearArea(C32,P32,12)</f>
        <v>5200</v>
      </c>
      <c r="O32" s="92">
        <v>4.1500000000000004</v>
      </c>
      <c r="P32" s="92">
        <v>0.7</v>
      </c>
      <c r="Q32" s="79">
        <v>1</v>
      </c>
      <c r="R32" s="79">
        <v>355</v>
      </c>
      <c r="S32" s="308">
        <f t="shared" si="12"/>
        <v>173.28537815615007</v>
      </c>
      <c r="T32" s="79">
        <v>0</v>
      </c>
      <c r="U32" s="79">
        <v>25.7</v>
      </c>
      <c r="V32" s="79">
        <f t="shared" si="6"/>
        <v>178.91140903452728</v>
      </c>
      <c r="W32" s="76">
        <f t="shared" si="7"/>
        <v>143.81586369274541</v>
      </c>
      <c r="X32" s="76">
        <f t="shared" si="8"/>
        <v>157.0935565928944</v>
      </c>
      <c r="Y32" s="76">
        <f t="shared" si="9"/>
        <v>1067.7540450654872</v>
      </c>
      <c r="Z32" s="76">
        <f t="shared" si="11"/>
        <v>1413.2623868588832</v>
      </c>
      <c r="AA32" s="94" t="str">
        <f t="shared" si="2"/>
        <v>OK</v>
      </c>
      <c r="AB32" s="298">
        <f t="shared" si="3"/>
        <v>1.164332327304761</v>
      </c>
    </row>
    <row r="33" spans="1:28" ht="12" customHeight="1" x14ac:dyDescent="0.45">
      <c r="A33" s="75">
        <v>10</v>
      </c>
      <c r="B33" s="75" t="s">
        <v>276</v>
      </c>
      <c r="C33" s="91" t="s">
        <v>271</v>
      </c>
      <c r="D33" s="91"/>
      <c r="E33" s="91">
        <v>7.8559999999999999</v>
      </c>
      <c r="F33" s="92">
        <f t="shared" ref="F33:F43" si="13">F32+0.7</f>
        <v>2.0999999999999996</v>
      </c>
      <c r="G33" s="79">
        <v>0</v>
      </c>
      <c r="H33" s="79">
        <v>0</v>
      </c>
      <c r="I33" s="79">
        <v>0</v>
      </c>
      <c r="J33" s="79">
        <f t="shared" si="4"/>
        <v>106.18343999999999</v>
      </c>
      <c r="K33" s="79">
        <v>0</v>
      </c>
      <c r="L33" s="79">
        <f t="shared" si="10"/>
        <v>143.347644</v>
      </c>
      <c r="M33" s="76" cm="1">
        <f t="array" ref="M33">Profile_SM(C33,P33*1000,'Plates(FR#0)'!Y33)/10^3</f>
        <v>977.55540912280014</v>
      </c>
      <c r="N33" s="76" cm="1">
        <f t="array" ref="N33">Profile_ShearArea(C33,P33,12)</f>
        <v>4200</v>
      </c>
      <c r="O33" s="92">
        <v>4.1500000000000004</v>
      </c>
      <c r="P33" s="92">
        <v>0.7</v>
      </c>
      <c r="Q33" s="79">
        <v>1</v>
      </c>
      <c r="R33" s="79">
        <v>355</v>
      </c>
      <c r="S33" s="308">
        <f t="shared" si="12"/>
        <v>146.4491470257729</v>
      </c>
      <c r="T33" s="79">
        <v>0</v>
      </c>
      <c r="U33" s="79">
        <v>28.6</v>
      </c>
      <c r="V33" s="79">
        <f t="shared" si="6"/>
        <v>154.60023500815402</v>
      </c>
      <c r="W33" s="76">
        <f t="shared" si="7"/>
        <v>168.12703771911868</v>
      </c>
      <c r="X33" s="76">
        <f t="shared" si="8"/>
        <v>165.93695396898127</v>
      </c>
      <c r="Y33" s="76">
        <f t="shared" si="9"/>
        <v>856.57616535982913</v>
      </c>
      <c r="Z33" s="76">
        <f t="shared" si="11"/>
        <v>1254.7684402409927</v>
      </c>
      <c r="AA33" s="94" t="str">
        <f t="shared" si="2"/>
        <v>OK</v>
      </c>
      <c r="AB33" s="298">
        <f t="shared" si="3"/>
        <v>1.1412358277703774</v>
      </c>
    </row>
    <row r="34" spans="1:28" ht="12" customHeight="1" x14ac:dyDescent="0.45">
      <c r="A34" s="75">
        <v>11</v>
      </c>
      <c r="B34" s="75" t="s">
        <v>276</v>
      </c>
      <c r="C34" s="91" t="s">
        <v>285</v>
      </c>
      <c r="D34" s="91"/>
      <c r="E34" s="91">
        <v>7.8559999999999999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4"/>
        <v>99.144764999999992</v>
      </c>
      <c r="K34" s="79">
        <v>0</v>
      </c>
      <c r="L34" s="79">
        <f t="shared" si="10"/>
        <v>133.84543274999999</v>
      </c>
      <c r="M34" s="76" cm="1">
        <f t="array" ref="M34">Profile_SM(C34,P34*1000,'Plates(FR#0)'!Y34)/10^3</f>
        <v>720.70396771507433</v>
      </c>
      <c r="N34" s="76" cm="1">
        <f t="array" ref="N34">Profile_ShearArea(C34,P34,12)</f>
        <v>3300</v>
      </c>
      <c r="O34" s="92">
        <v>4.1500000000000004</v>
      </c>
      <c r="P34" s="92">
        <v>0.7</v>
      </c>
      <c r="Q34" s="79">
        <v>1</v>
      </c>
      <c r="R34" s="79">
        <v>355</v>
      </c>
      <c r="S34" s="308">
        <f t="shared" si="12"/>
        <v>119.61291589539564</v>
      </c>
      <c r="T34" s="79">
        <v>0</v>
      </c>
      <c r="U34" s="79">
        <v>30.7</v>
      </c>
      <c r="V34" s="79">
        <f t="shared" si="6"/>
        <v>130.89965488494991</v>
      </c>
      <c r="W34" s="76">
        <f t="shared" si="7"/>
        <v>191.82761784232278</v>
      </c>
      <c r="X34" s="76">
        <f t="shared" si="8"/>
        <v>172.9514962334151</v>
      </c>
      <c r="Y34" s="76">
        <f t="shared" si="9"/>
        <v>700.97964951800054</v>
      </c>
      <c r="Z34" s="76">
        <f t="shared" si="11"/>
        <v>1124.0752193724816</v>
      </c>
      <c r="AA34" s="94" t="str">
        <f t="shared" si="2"/>
        <v>OK</v>
      </c>
      <c r="AB34" s="298">
        <f t="shared" si="3"/>
        <v>1.0281382180076646</v>
      </c>
    </row>
    <row r="35" spans="1:28" ht="12" customHeight="1" x14ac:dyDescent="0.45">
      <c r="A35" s="75">
        <v>12</v>
      </c>
      <c r="B35" s="75" t="s">
        <v>276</v>
      </c>
      <c r="C35" s="91" t="s">
        <v>286</v>
      </c>
      <c r="D35" s="91"/>
      <c r="E35" s="91">
        <v>7.8559999999999999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4"/>
        <v>92.106089999999995</v>
      </c>
      <c r="K35" s="79">
        <v>0</v>
      </c>
      <c r="L35" s="79">
        <f t="shared" si="10"/>
        <v>124.3432215</v>
      </c>
      <c r="M35" s="76" cm="1">
        <f t="array" ref="M35">Profile_SM(C35,P35*1000,'Plates(FR#0)'!Y35)/10^3</f>
        <v>742.47996871311568</v>
      </c>
      <c r="N35" s="76" cm="1">
        <f t="array" ref="N35">Profile_ShearArea(C35,P35,12)</f>
        <v>3300</v>
      </c>
      <c r="O35" s="92">
        <v>4.1500000000000004</v>
      </c>
      <c r="P35" s="92">
        <v>0.7</v>
      </c>
      <c r="Q35" s="79">
        <v>1</v>
      </c>
      <c r="R35" s="79">
        <v>355</v>
      </c>
      <c r="S35" s="308">
        <f t="shared" si="12"/>
        <v>92.776684765018402</v>
      </c>
      <c r="T35" s="79">
        <v>0</v>
      </c>
      <c r="U35" s="79">
        <v>32.5</v>
      </c>
      <c r="V35" s="79">
        <f t="shared" si="6"/>
        <v>108.51849259913075</v>
      </c>
      <c r="W35" s="76">
        <f t="shared" si="7"/>
        <v>214.20878012814194</v>
      </c>
      <c r="X35" s="76">
        <f t="shared" si="8"/>
        <v>178.35309807688924</v>
      </c>
      <c r="Y35" s="76">
        <f t="shared" si="9"/>
        <v>583.173571636465</v>
      </c>
      <c r="Z35" s="76">
        <f t="shared" si="11"/>
        <v>1012.6458759403688</v>
      </c>
      <c r="AA35" s="94" t="str">
        <f t="shared" si="2"/>
        <v>OK</v>
      </c>
      <c r="AB35" s="298">
        <f t="shared" si="3"/>
        <v>1.2731714961458473</v>
      </c>
    </row>
    <row r="36" spans="1:28" ht="12" customHeight="1" x14ac:dyDescent="0.45">
      <c r="A36" s="75">
        <v>13</v>
      </c>
      <c r="B36" s="75" t="s">
        <v>276</v>
      </c>
      <c r="C36" s="91" t="s">
        <v>284</v>
      </c>
      <c r="D36" s="91"/>
      <c r="E36" s="91">
        <v>7.8559999999999999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4"/>
        <v>85.067414999999997</v>
      </c>
      <c r="K36" s="79">
        <v>0</v>
      </c>
      <c r="L36" s="79">
        <f t="shared" si="10"/>
        <v>114.84101025</v>
      </c>
      <c r="M36" s="76" cm="1">
        <f t="array" ref="M36">Profile_SM(C36,P36*1000,'Plates(FR#0)'!Y36)/10^3</f>
        <v>541.16827630868545</v>
      </c>
      <c r="N36" s="76" cm="1">
        <f t="array" ref="N36">Profile_ShearArea(C36,P36,12)</f>
        <v>3000</v>
      </c>
      <c r="O36" s="92">
        <v>4.1500000000000004</v>
      </c>
      <c r="P36" s="92">
        <v>0.7</v>
      </c>
      <c r="Q36" s="79">
        <v>1</v>
      </c>
      <c r="R36" s="79">
        <v>355</v>
      </c>
      <c r="S36" s="308">
        <f t="shared" si="12"/>
        <v>65.940453634641173</v>
      </c>
      <c r="T36" s="79">
        <v>0</v>
      </c>
      <c r="U36" s="79">
        <v>33.799999999999997</v>
      </c>
      <c r="V36" s="79">
        <f t="shared" si="6"/>
        <v>88.178588248748127</v>
      </c>
      <c r="W36" s="76">
        <f t="shared" si="7"/>
        <v>234.54868447852456</v>
      </c>
      <c r="X36" s="76">
        <f t="shared" si="8"/>
        <v>182.2852032537096</v>
      </c>
      <c r="Y36" s="76">
        <f t="shared" si="9"/>
        <v>491.90018993270843</v>
      </c>
      <c r="Z36" s="76">
        <f t="shared" si="11"/>
        <v>915.08561534728096</v>
      </c>
      <c r="AA36" s="94" t="str">
        <f t="shared" si="2"/>
        <v>OK</v>
      </c>
      <c r="AB36" s="298">
        <f t="shared" si="3"/>
        <v>1.1001587057380824</v>
      </c>
    </row>
    <row r="37" spans="1:28" ht="12" customHeight="1" x14ac:dyDescent="0.45">
      <c r="A37" s="75">
        <v>14</v>
      </c>
      <c r="B37" s="75" t="s">
        <v>276</v>
      </c>
      <c r="C37" s="91" t="s">
        <v>284</v>
      </c>
      <c r="D37" s="91"/>
      <c r="E37" s="91">
        <v>7.8559999999999999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4"/>
        <v>78.028739999999985</v>
      </c>
      <c r="K37" s="79">
        <v>0</v>
      </c>
      <c r="L37" s="79">
        <f t="shared" si="10"/>
        <v>105.33879899999998</v>
      </c>
      <c r="M37" s="76" cm="1">
        <f t="array" ref="M37">Profile_SM(C37,P37*1000,'Plates(FR#0)'!Y37)/10^3</f>
        <v>541.16827630868545</v>
      </c>
      <c r="N37" s="76" cm="1">
        <f t="array" ref="N37">Profile_ShearArea(C37,P37,12)</f>
        <v>3000</v>
      </c>
      <c r="O37" s="92">
        <v>4.1500000000000004</v>
      </c>
      <c r="P37" s="92">
        <v>0.7</v>
      </c>
      <c r="Q37" s="79">
        <v>1</v>
      </c>
      <c r="R37" s="79">
        <v>355</v>
      </c>
      <c r="S37" s="308">
        <f t="shared" ref="S37" si="14">$M$11/ABS(($M$12/(F37-$M$13)))/1000</f>
        <v>39.104222504263937</v>
      </c>
      <c r="T37" s="79">
        <v>0</v>
      </c>
      <c r="U37" s="79">
        <v>34.6</v>
      </c>
      <c r="V37" s="79">
        <f t="shared" ref="V37" si="15">SQRT(S37^2+T37^2-S37*T37+3*U37^2)</f>
        <v>71.558509051425759</v>
      </c>
      <c r="W37" s="76">
        <f t="shared" ref="W37" si="16">(R37/$F$7-V37)</f>
        <v>251.16876367584695</v>
      </c>
      <c r="X37" s="76">
        <f t="shared" ref="X37" si="17">0.577*SQRT((R37/$F$7)^2-S37^2)</f>
        <v>184.84161664582538</v>
      </c>
      <c r="Y37" s="76">
        <f t="shared" ref="Y37" si="18">O37^2*P37*L37*1000000/($F$8*W37*Q37)/10^3</f>
        <v>421.34294071800696</v>
      </c>
      <c r="Z37" s="76">
        <f t="shared" ref="Z37" si="19">O37*P37*L37*1000/(2*X37)</f>
        <v>827.760589438426</v>
      </c>
      <c r="AA37" s="94" t="str">
        <f t="shared" ref="AA37" si="20">IF(AND(M37&gt;=Y37,N37&gt;=Z37),"OK","N.G")</f>
        <v>OK</v>
      </c>
      <c r="AB37" s="298">
        <f t="shared" ref="AB37" si="21">M37/Y37</f>
        <v>1.2843890902419894</v>
      </c>
    </row>
    <row r="38" spans="1:28" ht="12" customHeight="1" x14ac:dyDescent="0.45">
      <c r="A38" s="75">
        <v>15</v>
      </c>
      <c r="B38" s="75" t="s">
        <v>276</v>
      </c>
      <c r="C38" s="91" t="s">
        <v>196</v>
      </c>
      <c r="D38" s="91"/>
      <c r="E38" s="91">
        <v>7.8559999999999999</v>
      </c>
      <c r="F38" s="92">
        <v>5.6</v>
      </c>
      <c r="G38" s="79"/>
      <c r="H38" s="79"/>
      <c r="I38" s="79"/>
      <c r="J38" s="79"/>
      <c r="K38" s="79"/>
      <c r="L38" s="79"/>
      <c r="M38" s="76"/>
      <c r="N38" s="76"/>
      <c r="O38" s="92"/>
      <c r="P38" s="92"/>
      <c r="Q38" s="79"/>
      <c r="R38" s="79"/>
      <c r="S38" s="93"/>
      <c r="T38" s="79"/>
      <c r="U38" s="79">
        <v>0</v>
      </c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276</v>
      </c>
      <c r="C39" s="91" t="s">
        <v>284</v>
      </c>
      <c r="D39" s="91"/>
      <c r="E39" s="91">
        <v>7.8559999999999999</v>
      </c>
      <c r="F39" s="92">
        <f t="shared" si="13"/>
        <v>6.3</v>
      </c>
      <c r="G39" s="79">
        <v>0</v>
      </c>
      <c r="H39" s="79">
        <v>0</v>
      </c>
      <c r="I39" s="79">
        <v>0</v>
      </c>
      <c r="J39" s="79">
        <f t="shared" si="4"/>
        <v>63.951389999999996</v>
      </c>
      <c r="K39" s="79">
        <v>0</v>
      </c>
      <c r="L39" s="79">
        <f t="shared" si="10"/>
        <v>86.334376500000005</v>
      </c>
      <c r="M39" s="76" cm="1">
        <f t="array" ref="M39">Profile_SM(C39,P39*1000,'Plates(FR#0)'!Y39)/10^3</f>
        <v>541.16827630868545</v>
      </c>
      <c r="N39" s="76" cm="1">
        <f t="array" ref="N39">Profile_ShearArea(C39,P39,12)</f>
        <v>3000</v>
      </c>
      <c r="O39" s="92">
        <v>4.1500000000000004</v>
      </c>
      <c r="P39" s="92">
        <v>0.7</v>
      </c>
      <c r="Q39" s="79">
        <v>1</v>
      </c>
      <c r="R39" s="79">
        <v>355</v>
      </c>
      <c r="S39" s="93">
        <f t="shared" ref="S39:S60" si="22">$M$11/ABS(($M$12/(F39-$M$13)))/1000</f>
        <v>14.568239756490492</v>
      </c>
      <c r="T39" s="79">
        <v>0</v>
      </c>
      <c r="U39" s="79">
        <v>34.9</v>
      </c>
      <c r="V39" s="79">
        <f t="shared" ref="V39:V50" si="23">SQRT(S39^2+T39^2-S39*T39+3*U39^2)</f>
        <v>62.179286017150353</v>
      </c>
      <c r="W39" s="76">
        <f t="shared" ref="W39:W50" si="24">(R39/$F$7-V39)</f>
        <v>260.54798671012236</v>
      </c>
      <c r="X39" s="76">
        <f t="shared" ref="X39:X60" si="25">0.577*SQRT((R39/$F$7)^2-S39^2)</f>
        <v>186.02381472369927</v>
      </c>
      <c r="Y39" s="76">
        <f t="shared" ref="Y39:Y60" si="26">O39^2*P39*L39*1000000/($F$8*W39*Q39)/10^3</f>
        <v>332.89634174243486</v>
      </c>
      <c r="Z39" s="76">
        <f t="shared" ref="Z39:Z60" si="27">O39*P39*L39*1000/(2*X39)</f>
        <v>674.11090377061316</v>
      </c>
      <c r="AA39" s="94" t="str">
        <f t="shared" ref="AA39:AA60" si="28">IF(AND(M39&gt;=Y39,N39&gt;=Z39),"OK","N.G")</f>
        <v>OK</v>
      </c>
      <c r="AB39" s="298">
        <f t="shared" ref="AB39:AB60" si="29">M39/Y39</f>
        <v>1.6256359967073253</v>
      </c>
    </row>
    <row r="40" spans="1:28" ht="12" customHeight="1" x14ac:dyDescent="0.45">
      <c r="A40" s="75">
        <v>17</v>
      </c>
      <c r="B40" s="75" t="s">
        <v>276</v>
      </c>
      <c r="C40" s="91" t="s">
        <v>284</v>
      </c>
      <c r="D40" s="91"/>
      <c r="E40" s="91">
        <v>7.8559999999999999</v>
      </c>
      <c r="F40" s="92">
        <f t="shared" si="13"/>
        <v>7</v>
      </c>
      <c r="G40" s="79">
        <v>0</v>
      </c>
      <c r="H40" s="79">
        <v>0</v>
      </c>
      <c r="I40" s="79">
        <v>0</v>
      </c>
      <c r="J40" s="79">
        <f t="shared" si="4"/>
        <v>56.912714999999999</v>
      </c>
      <c r="K40" s="79">
        <v>0</v>
      </c>
      <c r="L40" s="79">
        <f t="shared" si="10"/>
        <v>76.832165250000003</v>
      </c>
      <c r="M40" s="76" cm="1">
        <f t="array" ref="M40">Profile_SM(C40,P40*1000,'Plates(FR#0)'!Y40)/10^3</f>
        <v>541.16827630868545</v>
      </c>
      <c r="N40" s="76" cm="1">
        <f t="array" ref="N40">Profile_ShearArea(C40,P40,12)</f>
        <v>3000</v>
      </c>
      <c r="O40" s="92">
        <v>4.1500000000000004</v>
      </c>
      <c r="P40" s="92">
        <v>0.7</v>
      </c>
      <c r="Q40" s="79">
        <v>1</v>
      </c>
      <c r="R40" s="79">
        <v>355</v>
      </c>
      <c r="S40" s="93">
        <f t="shared" si="22"/>
        <v>41.404470886867728</v>
      </c>
      <c r="T40" s="79">
        <v>0</v>
      </c>
      <c r="U40" s="79">
        <v>34.4</v>
      </c>
      <c r="V40" s="79">
        <f t="shared" si="23"/>
        <v>72.556255480981633</v>
      </c>
      <c r="W40" s="76">
        <f t="shared" si="24"/>
        <v>250.17101724629106</v>
      </c>
      <c r="X40" s="76">
        <f t="shared" si="25"/>
        <v>184.67476309847021</v>
      </c>
      <c r="Y40" s="76">
        <f t="shared" si="26"/>
        <v>308.54539240410361</v>
      </c>
      <c r="Z40" s="76">
        <f t="shared" si="27"/>
        <v>604.29870412840103</v>
      </c>
      <c r="AA40" s="94" t="str">
        <f t="shared" si="28"/>
        <v>OK</v>
      </c>
      <c r="AB40" s="298">
        <f t="shared" si="29"/>
        <v>1.7539340713923686</v>
      </c>
    </row>
    <row r="41" spans="1:28" ht="12" customHeight="1" x14ac:dyDescent="0.45">
      <c r="A41" s="75">
        <v>18</v>
      </c>
      <c r="B41" s="75" t="s">
        <v>276</v>
      </c>
      <c r="C41" s="91" t="s">
        <v>284</v>
      </c>
      <c r="D41" s="91"/>
      <c r="E41" s="91">
        <v>7.8559999999999999</v>
      </c>
      <c r="F41" s="92">
        <f t="shared" si="13"/>
        <v>7.7</v>
      </c>
      <c r="G41" s="79">
        <v>0</v>
      </c>
      <c r="H41" s="79">
        <v>0</v>
      </c>
      <c r="I41" s="79">
        <v>0</v>
      </c>
      <c r="J41" s="79">
        <f t="shared" si="4"/>
        <v>49.874039999999994</v>
      </c>
      <c r="K41" s="79">
        <v>0</v>
      </c>
      <c r="L41" s="79">
        <f t="shared" si="10"/>
        <v>67.329954000000001</v>
      </c>
      <c r="M41" s="76" cm="1">
        <f t="array" ref="M41">Profile_SM(C41,P41*1000,'Plates(FR#0)'!Y41)/10^3</f>
        <v>541.16827630868545</v>
      </c>
      <c r="N41" s="76" cm="1">
        <f t="array" ref="N41">Profile_ShearArea(C41,P41,12)</f>
        <v>3000</v>
      </c>
      <c r="O41" s="92">
        <v>4.1500000000000004</v>
      </c>
      <c r="P41" s="92">
        <v>0.7</v>
      </c>
      <c r="Q41" s="79">
        <v>1</v>
      </c>
      <c r="R41" s="79">
        <v>355</v>
      </c>
      <c r="S41" s="93">
        <f t="shared" si="22"/>
        <v>68.240702017244956</v>
      </c>
      <c r="T41" s="79">
        <v>0</v>
      </c>
      <c r="U41" s="79">
        <v>33.4</v>
      </c>
      <c r="V41" s="79">
        <f t="shared" si="23"/>
        <v>89.462133955134448</v>
      </c>
      <c r="W41" s="76">
        <f t="shared" si="24"/>
        <v>233.26513877213824</v>
      </c>
      <c r="X41" s="76">
        <f t="shared" si="25"/>
        <v>182.00312303356029</v>
      </c>
      <c r="Y41" s="76">
        <f t="shared" si="26"/>
        <v>289.98228411104702</v>
      </c>
      <c r="Z41" s="76">
        <f t="shared" si="27"/>
        <v>537.33560476853393</v>
      </c>
      <c r="AA41" s="94" t="str">
        <f t="shared" si="28"/>
        <v>OK</v>
      </c>
      <c r="AB41" s="298">
        <f t="shared" si="29"/>
        <v>1.8662115100157231</v>
      </c>
    </row>
    <row r="42" spans="1:28" ht="12" customHeight="1" x14ac:dyDescent="0.45">
      <c r="A42" s="75">
        <v>19</v>
      </c>
      <c r="B42" s="75" t="s">
        <v>276</v>
      </c>
      <c r="C42" s="91" t="s">
        <v>284</v>
      </c>
      <c r="D42" s="91"/>
      <c r="E42" s="91">
        <v>7.8559999999999999</v>
      </c>
      <c r="F42" s="92">
        <f t="shared" si="13"/>
        <v>8.4</v>
      </c>
      <c r="G42" s="79">
        <v>0</v>
      </c>
      <c r="H42" s="79">
        <v>0</v>
      </c>
      <c r="I42" s="79">
        <v>0</v>
      </c>
      <c r="J42" s="79">
        <f t="shared" si="4"/>
        <v>42.835364999999996</v>
      </c>
      <c r="K42" s="79">
        <v>0</v>
      </c>
      <c r="L42" s="79">
        <f t="shared" si="10"/>
        <v>57.827742749999999</v>
      </c>
      <c r="M42" s="76" cm="1">
        <f t="array" ref="M42">Profile_SM(C42,P42*1000,'Plates(FR#0)'!Y42)/10^3</f>
        <v>541.16827630868545</v>
      </c>
      <c r="N42" s="76" cm="1">
        <f t="array" ref="N42">Profile_ShearArea(C42,P42,12)</f>
        <v>3000</v>
      </c>
      <c r="O42" s="92">
        <v>4.1500000000000004</v>
      </c>
      <c r="P42" s="92">
        <v>0.7</v>
      </c>
      <c r="Q42" s="79">
        <v>1</v>
      </c>
      <c r="R42" s="79">
        <v>355</v>
      </c>
      <c r="S42" s="93">
        <f t="shared" si="22"/>
        <v>95.076933147622199</v>
      </c>
      <c r="T42" s="79">
        <v>0</v>
      </c>
      <c r="U42" s="79">
        <v>32</v>
      </c>
      <c r="V42" s="79">
        <f t="shared" si="23"/>
        <v>110.05282012178253</v>
      </c>
      <c r="W42" s="76">
        <f t="shared" si="24"/>
        <v>212.67445260549016</v>
      </c>
      <c r="X42" s="76">
        <f t="shared" si="25"/>
        <v>177.94933450237107</v>
      </c>
      <c r="Y42" s="76">
        <f t="shared" si="26"/>
        <v>273.17056700095452</v>
      </c>
      <c r="Z42" s="76">
        <f t="shared" si="27"/>
        <v>472.01523163468659</v>
      </c>
      <c r="AA42" s="94" t="str">
        <f t="shared" si="28"/>
        <v>OK</v>
      </c>
      <c r="AB42" s="298">
        <f t="shared" si="29"/>
        <v>1.9810636345269015</v>
      </c>
    </row>
    <row r="43" spans="1:28" ht="12" customHeight="1" x14ac:dyDescent="0.45">
      <c r="A43" s="75">
        <v>20</v>
      </c>
      <c r="B43" s="75" t="s">
        <v>276</v>
      </c>
      <c r="C43" s="91" t="s">
        <v>284</v>
      </c>
      <c r="D43" s="91"/>
      <c r="E43" s="91">
        <v>7.8559999999999999</v>
      </c>
      <c r="F43" s="92">
        <f t="shared" si="13"/>
        <v>9.1</v>
      </c>
      <c r="G43" s="79">
        <v>0</v>
      </c>
      <c r="H43" s="79">
        <v>0</v>
      </c>
      <c r="I43" s="79">
        <v>0</v>
      </c>
      <c r="J43" s="79">
        <f t="shared" si="4"/>
        <v>35.796690000000005</v>
      </c>
      <c r="K43" s="79">
        <v>0</v>
      </c>
      <c r="L43" s="79">
        <f t="shared" si="10"/>
        <v>48.325531500000011</v>
      </c>
      <c r="M43" s="76" cm="1">
        <f t="array" ref="M43">Profile_SM(C43,P43*1000,'Plates(FR#0)'!Y43)/10^3</f>
        <v>541.16827630868545</v>
      </c>
      <c r="N43" s="76" cm="1">
        <f t="array" ref="N43">Profile_ShearArea(C43,P43,12)</f>
        <v>3000</v>
      </c>
      <c r="O43" s="92">
        <v>4.1500000000000004</v>
      </c>
      <c r="P43" s="92">
        <v>0.7</v>
      </c>
      <c r="Q43" s="79">
        <v>1</v>
      </c>
      <c r="R43" s="79">
        <v>355</v>
      </c>
      <c r="S43" s="93">
        <f t="shared" si="22"/>
        <v>121.91316427799939</v>
      </c>
      <c r="T43" s="79">
        <v>0</v>
      </c>
      <c r="U43" s="79">
        <v>30.1</v>
      </c>
      <c r="V43" s="79">
        <f t="shared" si="23"/>
        <v>132.5927962759458</v>
      </c>
      <c r="W43" s="76">
        <f t="shared" si="24"/>
        <v>190.13447645132689</v>
      </c>
      <c r="X43" s="76">
        <f t="shared" si="25"/>
        <v>172.41593514834557</v>
      </c>
      <c r="Y43" s="76">
        <f t="shared" si="26"/>
        <v>255.34582034375151</v>
      </c>
      <c r="Z43" s="76">
        <f t="shared" si="27"/>
        <v>407.11338220192096</v>
      </c>
      <c r="AA43" s="94" t="str">
        <f t="shared" si="28"/>
        <v>OK</v>
      </c>
      <c r="AB43" s="298">
        <f t="shared" si="29"/>
        <v>2.1193543547341176</v>
      </c>
    </row>
    <row r="44" spans="1:28" ht="12" customHeight="1" x14ac:dyDescent="0.45">
      <c r="A44" s="75">
        <v>21</v>
      </c>
      <c r="B44" s="75" t="s">
        <v>276</v>
      </c>
      <c r="C44" s="91" t="s">
        <v>284</v>
      </c>
      <c r="D44" s="91"/>
      <c r="E44" s="91">
        <v>7.8559999999999999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4"/>
        <v>28.758015000000011</v>
      </c>
      <c r="K44" s="79">
        <v>0</v>
      </c>
      <c r="L44" s="79">
        <f t="shared" si="10"/>
        <v>38.823320250000016</v>
      </c>
      <c r="M44" s="76" cm="1">
        <f t="array" ref="M44">Profile_SM(C44,P44*1000,'Plates(FR#0)'!Y44)/10^3</f>
        <v>541.16827630868545</v>
      </c>
      <c r="N44" s="76" cm="1">
        <f t="array" ref="N44">Profile_ShearArea(C44,P44,12)</f>
        <v>3000</v>
      </c>
      <c r="O44" s="92">
        <v>4.1500000000000004</v>
      </c>
      <c r="P44" s="92">
        <v>0.7</v>
      </c>
      <c r="Q44" s="79">
        <v>1</v>
      </c>
      <c r="R44" s="79">
        <v>355</v>
      </c>
      <c r="S44" s="93">
        <f t="shared" si="22"/>
        <v>148.74939540837659</v>
      </c>
      <c r="T44" s="79">
        <v>0</v>
      </c>
      <c r="U44" s="79">
        <v>27.7</v>
      </c>
      <c r="V44" s="79">
        <f t="shared" si="23"/>
        <v>156.2954018336994</v>
      </c>
      <c r="W44" s="76">
        <f t="shared" si="24"/>
        <v>166.43187089357329</v>
      </c>
      <c r="X44" s="76">
        <f t="shared" si="25"/>
        <v>165.25436128494329</v>
      </c>
      <c r="Y44" s="76">
        <f t="shared" si="26"/>
        <v>234.35227108796661</v>
      </c>
      <c r="Z44" s="76">
        <f t="shared" si="27"/>
        <v>341.23681955898212</v>
      </c>
      <c r="AA44" s="94" t="str">
        <f t="shared" si="28"/>
        <v>OK</v>
      </c>
      <c r="AB44" s="298">
        <f t="shared" si="29"/>
        <v>2.3092085849919166</v>
      </c>
    </row>
    <row r="45" spans="1:28" ht="12" customHeight="1" x14ac:dyDescent="0.45">
      <c r="A45" s="75">
        <v>22</v>
      </c>
      <c r="B45" s="75" t="s">
        <v>276</v>
      </c>
      <c r="C45" s="91" t="s">
        <v>284</v>
      </c>
      <c r="D45" s="91"/>
      <c r="E45" s="91">
        <v>7.8559999999999999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si="4"/>
        <v>21.719340000000017</v>
      </c>
      <c r="K45" s="79">
        <v>1</v>
      </c>
      <c r="L45" s="79">
        <f t="shared" si="10"/>
        <v>29.321109000000025</v>
      </c>
      <c r="M45" s="76" cm="1">
        <f t="array" ref="M45">Profile_SM(C45,P45*1000,'Plates(FR#0)'!Y45)/10^3</f>
        <v>541.16827630868545</v>
      </c>
      <c r="N45" s="76" cm="1">
        <f t="array" ref="N45">Profile_ShearArea(C45,P45,12)</f>
        <v>3000</v>
      </c>
      <c r="O45" s="92">
        <v>4.1500000000000004</v>
      </c>
      <c r="P45" s="92">
        <v>0.7</v>
      </c>
      <c r="Q45" s="79">
        <v>1</v>
      </c>
      <c r="R45" s="79">
        <v>355</v>
      </c>
      <c r="S45" s="93">
        <f t="shared" si="22"/>
        <v>175.58562653875381</v>
      </c>
      <c r="T45" s="79">
        <v>0</v>
      </c>
      <c r="U45" s="79">
        <v>25</v>
      </c>
      <c r="V45" s="79">
        <f t="shared" ref="V45:V46" si="30">SQRT(S45^2+T45^2-S45*T45+3*U45^2)</f>
        <v>180.846101000289</v>
      </c>
      <c r="W45" s="76">
        <f t="shared" ref="W45:W46" si="31">(R45/$F$7-V45)</f>
        <v>141.88117172698369</v>
      </c>
      <c r="X45" s="76">
        <f t="shared" ref="X45:X46" si="32">0.577*SQRT((R45/$F$7)^2-S45^2)</f>
        <v>156.2408824273752</v>
      </c>
      <c r="Y45" s="76">
        <f t="shared" ref="Y45:Y46" si="33">O45^2*P45*L45*1000000/($F$8*W45*Q45)/10^3</f>
        <v>207.61972590870687</v>
      </c>
      <c r="Z45" s="76">
        <f t="shared" ref="Z45:Z46" si="34">O45*P45*L45*1000/(2*X45)</f>
        <v>272.58493526684009</v>
      </c>
      <c r="AA45" s="94" t="str">
        <f t="shared" ref="AA45:AA46" si="35">IF(AND(M45&gt;=Y45,N45&gt;=Z45),"OK","N.G")</f>
        <v>OK</v>
      </c>
      <c r="AB45" s="298">
        <f t="shared" ref="AB45:AB46" si="36">M45/Y45</f>
        <v>2.6065359345799552</v>
      </c>
    </row>
    <row r="46" spans="1:28" ht="12" customHeight="1" x14ac:dyDescent="0.45">
      <c r="A46" s="75">
        <v>23</v>
      </c>
      <c r="B46" s="75" t="s">
        <v>276</v>
      </c>
      <c r="C46" s="91" t="s">
        <v>284</v>
      </c>
      <c r="D46" s="91"/>
      <c r="E46" s="91">
        <v>7.8559999999999999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4"/>
        <v>14.680665000000026</v>
      </c>
      <c r="K46" s="79">
        <v>2</v>
      </c>
      <c r="L46" s="79">
        <f t="shared" si="10"/>
        <v>19.818897750000037</v>
      </c>
      <c r="M46" s="76" cm="1">
        <f t="array" ref="M46">Profile_SM(C46,P46*1000,'Plates(FR#0)'!Y46)/10^3</f>
        <v>541.16827630868545</v>
      </c>
      <c r="N46" s="76" cm="1">
        <f t="array" ref="N46">Profile_ShearArea(C46,P46,12)</f>
        <v>3000</v>
      </c>
      <c r="O46" s="92">
        <v>4.1500000000000004</v>
      </c>
      <c r="P46" s="92">
        <v>0.7</v>
      </c>
      <c r="Q46" s="79">
        <v>1</v>
      </c>
      <c r="R46" s="79">
        <v>355</v>
      </c>
      <c r="S46" s="93">
        <f t="shared" si="22"/>
        <v>202.42185766913099</v>
      </c>
      <c r="T46" s="79">
        <v>0</v>
      </c>
      <c r="U46" s="79">
        <v>17.100000000000001</v>
      </c>
      <c r="V46" s="79">
        <f t="shared" si="30"/>
        <v>204.57721882512217</v>
      </c>
      <c r="W46" s="76">
        <f t="shared" si="31"/>
        <v>118.15005390215052</v>
      </c>
      <c r="X46" s="76">
        <f t="shared" si="32"/>
        <v>145.03062761723643</v>
      </c>
      <c r="Y46" s="76">
        <f t="shared" si="33"/>
        <v>168.52275888326534</v>
      </c>
      <c r="Z46" s="76">
        <f t="shared" si="34"/>
        <v>198.48875685658149</v>
      </c>
      <c r="AA46" s="94" t="str">
        <f t="shared" si="35"/>
        <v>OK</v>
      </c>
      <c r="AB46" s="298">
        <f t="shared" si="36"/>
        <v>3.2112474296931568</v>
      </c>
    </row>
    <row r="47" spans="1:28" ht="12" customHeight="1" x14ac:dyDescent="0.45">
      <c r="A47" s="96">
        <v>1</v>
      </c>
      <c r="B47" s="96" t="s">
        <v>277</v>
      </c>
      <c r="C47" s="104" t="s">
        <v>197</v>
      </c>
      <c r="D47" s="97"/>
      <c r="E47" s="97">
        <v>0.8</v>
      </c>
      <c r="F47" s="98">
        <v>11.9</v>
      </c>
      <c r="G47" s="99">
        <v>0</v>
      </c>
      <c r="H47" s="99">
        <v>0</v>
      </c>
      <c r="I47" s="99">
        <v>0</v>
      </c>
      <c r="J47" s="99">
        <f>1.025*9.81*(($F$10+0.76)-F47)</f>
        <v>7.6419899999999972</v>
      </c>
      <c r="K47" s="99">
        <v>0</v>
      </c>
      <c r="L47" s="99">
        <f>J47*$F$18</f>
        <v>10.316686499999998</v>
      </c>
      <c r="M47" s="100" cm="1">
        <f t="array" ref="M47">Profile_SM(C47,P47*1000,'Plates(FR#0)'!Y49)/10^3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01">
        <f t="shared" si="22"/>
        <v>229.25808879950833</v>
      </c>
      <c r="T47" s="99">
        <v>0</v>
      </c>
      <c r="U47" s="99">
        <v>-20.2</v>
      </c>
      <c r="V47" s="99">
        <f t="shared" si="23"/>
        <v>231.91246469304588</v>
      </c>
      <c r="W47" s="100">
        <f t="shared" si="24"/>
        <v>90.814808034226814</v>
      </c>
      <c r="X47" s="100">
        <f t="shared" si="25"/>
        <v>131.06110307710821</v>
      </c>
      <c r="Y47" s="100">
        <f t="shared" si="26"/>
        <v>113.60136880002858</v>
      </c>
      <c r="Z47" s="100">
        <f t="shared" si="27"/>
        <v>118.07492373153194</v>
      </c>
      <c r="AA47" s="102" t="str">
        <f t="shared" si="28"/>
        <v>OK</v>
      </c>
      <c r="AB47" s="299">
        <f t="shared" si="29"/>
        <v>8.5841307152376416</v>
      </c>
    </row>
    <row r="48" spans="1:28" ht="12" customHeight="1" x14ac:dyDescent="0.45">
      <c r="A48" s="96">
        <v>2</v>
      </c>
      <c r="B48" s="96" t="s">
        <v>277</v>
      </c>
      <c r="C48" s="104" t="s">
        <v>197</v>
      </c>
      <c r="D48" s="97"/>
      <c r="E48" s="97">
        <v>1.7320000000000002</v>
      </c>
      <c r="F48" s="98">
        <v>11.9</v>
      </c>
      <c r="G48" s="99">
        <v>0</v>
      </c>
      <c r="H48" s="99">
        <v>0</v>
      </c>
      <c r="I48" s="99">
        <v>0</v>
      </c>
      <c r="J48" s="99">
        <f t="shared" si="4"/>
        <v>7.6419899999999972</v>
      </c>
      <c r="K48" s="99">
        <v>0</v>
      </c>
      <c r="L48" s="99">
        <f t="shared" si="10"/>
        <v>10.316686499999998</v>
      </c>
      <c r="M48" s="100" cm="1">
        <f t="array" ref="M48">Profile_SM(C48,P48*1000,'Plates(FR#0)'!Y50)/10^3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01">
        <f t="shared" si="22"/>
        <v>229.25808879950833</v>
      </c>
      <c r="T48" s="99">
        <v>0</v>
      </c>
      <c r="U48" s="99">
        <v>-14.4</v>
      </c>
      <c r="V48" s="99">
        <f t="shared" si="23"/>
        <v>230.61082212247379</v>
      </c>
      <c r="W48" s="100">
        <f t="shared" si="24"/>
        <v>92.116450604798899</v>
      </c>
      <c r="X48" s="100">
        <f t="shared" si="25"/>
        <v>131.06110307710821</v>
      </c>
      <c r="Y48" s="100">
        <f t="shared" si="26"/>
        <v>111.9961356767967</v>
      </c>
      <c r="Z48" s="100">
        <f t="shared" si="27"/>
        <v>118.07492373153194</v>
      </c>
      <c r="AA48" s="102" t="str">
        <f t="shared" si="28"/>
        <v>OK</v>
      </c>
      <c r="AB48" s="299">
        <f t="shared" si="29"/>
        <v>8.7071664867397693</v>
      </c>
    </row>
    <row r="49" spans="1:28" ht="12" customHeight="1" x14ac:dyDescent="0.45">
      <c r="A49" s="96">
        <v>3</v>
      </c>
      <c r="B49" s="96" t="s">
        <v>277</v>
      </c>
      <c r="C49" s="104" t="s">
        <v>197</v>
      </c>
      <c r="D49" s="97"/>
      <c r="E49" s="97">
        <v>2.5980000000000003</v>
      </c>
      <c r="F49" s="98">
        <v>11.9</v>
      </c>
      <c r="G49" s="99">
        <v>0</v>
      </c>
      <c r="H49" s="99">
        <v>0</v>
      </c>
      <c r="I49" s="99">
        <v>0</v>
      </c>
      <c r="J49" s="99">
        <f t="shared" si="4"/>
        <v>7.6419899999999972</v>
      </c>
      <c r="K49" s="99">
        <v>0</v>
      </c>
      <c r="L49" s="99">
        <f t="shared" si="10"/>
        <v>10.316686499999998</v>
      </c>
      <c r="M49" s="100" cm="1">
        <f t="array" ref="M49">Profile_SM(C49,P49*1000,'Plates(FR#0)'!Y51)/10^3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01">
        <f t="shared" si="22"/>
        <v>229.25808879950833</v>
      </c>
      <c r="T49" s="99">
        <v>0</v>
      </c>
      <c r="U49" s="99">
        <v>-9.5</v>
      </c>
      <c r="V49" s="99">
        <f t="shared" si="23"/>
        <v>229.84782200404521</v>
      </c>
      <c r="W49" s="100">
        <f t="shared" si="24"/>
        <v>92.879450723227478</v>
      </c>
      <c r="X49" s="100">
        <f t="shared" si="25"/>
        <v>131.06110307710821</v>
      </c>
      <c r="Y49" s="100">
        <f t="shared" si="26"/>
        <v>111.07609293193184</v>
      </c>
      <c r="Z49" s="100">
        <f t="shared" si="27"/>
        <v>118.07492373153194</v>
      </c>
      <c r="AA49" s="102" t="str">
        <f t="shared" si="28"/>
        <v>OK</v>
      </c>
      <c r="AB49" s="299">
        <f t="shared" si="29"/>
        <v>8.7792879049765862</v>
      </c>
    </row>
    <row r="50" spans="1:28" ht="12" customHeight="1" x14ac:dyDescent="0.45">
      <c r="A50" s="96">
        <v>4</v>
      </c>
      <c r="B50" s="96" t="s">
        <v>277</v>
      </c>
      <c r="C50" s="104" t="s">
        <v>197</v>
      </c>
      <c r="D50" s="97"/>
      <c r="E50" s="97">
        <v>3.4640000000000004</v>
      </c>
      <c r="F50" s="98">
        <v>11.9</v>
      </c>
      <c r="G50" s="99">
        <v>0</v>
      </c>
      <c r="H50" s="99">
        <v>0</v>
      </c>
      <c r="I50" s="99">
        <v>0</v>
      </c>
      <c r="J50" s="99">
        <f t="shared" si="4"/>
        <v>7.6419899999999972</v>
      </c>
      <c r="K50" s="99">
        <v>0</v>
      </c>
      <c r="L50" s="99">
        <f t="shared" si="10"/>
        <v>10.316686499999998</v>
      </c>
      <c r="M50" s="100" cm="1">
        <f t="array" ref="M50">Profile_SM(C50,P50*1000,'Plates(FR#0)'!Y52)/10^3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01">
        <f t="shared" si="22"/>
        <v>229.25808879950833</v>
      </c>
      <c r="T50" s="99">
        <v>0</v>
      </c>
      <c r="U50" s="99">
        <v>-4.8</v>
      </c>
      <c r="V50" s="99">
        <f t="shared" si="23"/>
        <v>229.40878640541047</v>
      </c>
      <c r="W50" s="100">
        <f t="shared" si="24"/>
        <v>93.318486321862224</v>
      </c>
      <c r="X50" s="100">
        <f t="shared" si="25"/>
        <v>131.06110307710821</v>
      </c>
      <c r="Y50" s="100">
        <f t="shared" si="26"/>
        <v>110.55351309939812</v>
      </c>
      <c r="Z50" s="100">
        <f t="shared" si="27"/>
        <v>118.07492373153194</v>
      </c>
      <c r="AA50" s="102" t="str">
        <f t="shared" si="28"/>
        <v>OK</v>
      </c>
      <c r="AB50" s="299">
        <f t="shared" si="29"/>
        <v>8.8207870728865476</v>
      </c>
    </row>
    <row r="51" spans="1:28" ht="12" customHeight="1" x14ac:dyDescent="0.45">
      <c r="A51" s="96">
        <v>5</v>
      </c>
      <c r="B51" s="96" t="s">
        <v>277</v>
      </c>
      <c r="C51" s="104" t="s">
        <v>197</v>
      </c>
      <c r="D51" s="97"/>
      <c r="E51" s="97">
        <v>4.33</v>
      </c>
      <c r="F51" s="98">
        <v>11.9</v>
      </c>
      <c r="G51" s="99">
        <v>0</v>
      </c>
      <c r="H51" s="99">
        <v>0</v>
      </c>
      <c r="I51" s="99">
        <v>0</v>
      </c>
      <c r="J51" s="99">
        <f t="shared" si="4"/>
        <v>7.6419899999999972</v>
      </c>
      <c r="K51" s="99">
        <v>0</v>
      </c>
      <c r="L51" s="99">
        <f t="shared" si="10"/>
        <v>10.316686499999998</v>
      </c>
      <c r="M51" s="100" cm="1">
        <f t="array" ref="M51">Profile_SM(C51,P51*1000,'Plates(FR#0)'!Y53)/10^3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01">
        <f t="shared" si="22"/>
        <v>229.25808879950833</v>
      </c>
      <c r="T51" s="99">
        <v>0</v>
      </c>
      <c r="U51" s="99">
        <v>-0.11</v>
      </c>
      <c r="V51" s="99">
        <f>SQRT(S51^2+T51^2-S51*T51+3*U51^2)</f>
        <v>229.25816796791176</v>
      </c>
      <c r="W51" s="100">
        <f>(R51/$F$7-V51)</f>
        <v>93.469104759360931</v>
      </c>
      <c r="X51" s="100">
        <f t="shared" si="25"/>
        <v>131.06110307710821</v>
      </c>
      <c r="Y51" s="100">
        <f t="shared" si="26"/>
        <v>110.37536442186563</v>
      </c>
      <c r="Z51" s="100">
        <f t="shared" si="27"/>
        <v>118.07492373153194</v>
      </c>
      <c r="AA51" s="102" t="str">
        <f t="shared" si="28"/>
        <v>OK</v>
      </c>
      <c r="AB51" s="299">
        <f t="shared" si="29"/>
        <v>8.8350240501328869</v>
      </c>
    </row>
    <row r="52" spans="1:28" ht="12" customHeight="1" x14ac:dyDescent="0.45">
      <c r="A52" s="96">
        <v>6</v>
      </c>
      <c r="B52" s="96" t="s">
        <v>277</v>
      </c>
      <c r="C52" s="104" t="s">
        <v>197</v>
      </c>
      <c r="D52" s="97"/>
      <c r="E52" s="97">
        <v>5.1959999999999997</v>
      </c>
      <c r="F52" s="98">
        <v>11.9</v>
      </c>
      <c r="G52" s="99">
        <v>0</v>
      </c>
      <c r="H52" s="99">
        <v>0</v>
      </c>
      <c r="I52" s="99">
        <v>0</v>
      </c>
      <c r="J52" s="99">
        <f t="shared" si="4"/>
        <v>7.6419899999999972</v>
      </c>
      <c r="K52" s="99">
        <v>0</v>
      </c>
      <c r="L52" s="99">
        <f t="shared" si="10"/>
        <v>10.316686499999998</v>
      </c>
      <c r="M52" s="100" cm="1">
        <f t="array" ref="M52">Profile_SM(C52,P52*1000,'Plates(FR#0)'!Y54)/10^3</f>
        <v>975.16899920936453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101">
        <f t="shared" si="22"/>
        <v>229.25808879950833</v>
      </c>
      <c r="T52" s="99">
        <v>0</v>
      </c>
      <c r="U52" s="99">
        <v>4.3</v>
      </c>
      <c r="V52" s="99">
        <f>SQRT(S52^2+T52^2)</f>
        <v>229.25808879950833</v>
      </c>
      <c r="W52" s="100">
        <f t="shared" ref="W52:W60" si="37">(R52/$F$7-V52)</f>
        <v>93.469183927764362</v>
      </c>
      <c r="X52" s="100">
        <f t="shared" si="25"/>
        <v>131.06110307710821</v>
      </c>
      <c r="Y52" s="100">
        <f t="shared" si="26"/>
        <v>110.37527093392649</v>
      </c>
      <c r="Z52" s="100">
        <f t="shared" si="27"/>
        <v>118.07492373153194</v>
      </c>
      <c r="AA52" s="102" t="str">
        <f t="shared" si="28"/>
        <v>OK</v>
      </c>
      <c r="AB52" s="299">
        <f t="shared" si="29"/>
        <v>8.8350315334050329</v>
      </c>
    </row>
    <row r="53" spans="1:28" ht="12" customHeight="1" x14ac:dyDescent="0.45">
      <c r="A53" s="96">
        <v>7</v>
      </c>
      <c r="B53" s="96" t="s">
        <v>277</v>
      </c>
      <c r="C53" s="104" t="s">
        <v>197</v>
      </c>
      <c r="D53" s="97"/>
      <c r="E53" s="97">
        <v>7.1059999999999999</v>
      </c>
      <c r="F53" s="98">
        <v>11.9</v>
      </c>
      <c r="G53" s="99">
        <v>0</v>
      </c>
      <c r="H53" s="99">
        <v>0</v>
      </c>
      <c r="I53" s="99">
        <v>0</v>
      </c>
      <c r="J53" s="99">
        <f t="shared" si="4"/>
        <v>7.6419899999999972</v>
      </c>
      <c r="K53" s="99">
        <v>0</v>
      </c>
      <c r="L53" s="99">
        <f t="shared" si="10"/>
        <v>10.316686499999998</v>
      </c>
      <c r="M53" s="100" cm="1">
        <f t="array" ref="M53">Profile_SM(C53,P53*1000,'Plates(FR#0)'!Y55)/10^3</f>
        <v>975.16899920936453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101">
        <f t="shared" si="22"/>
        <v>229.25808879950833</v>
      </c>
      <c r="T53" s="99">
        <v>0</v>
      </c>
      <c r="U53" s="99">
        <v>15.3</v>
      </c>
      <c r="V53" s="99">
        <f>SQRT(S53^2+T53^2)</f>
        <v>229.25808879950833</v>
      </c>
      <c r="W53" s="100">
        <f t="shared" si="37"/>
        <v>93.469183927764362</v>
      </c>
      <c r="X53" s="100">
        <f t="shared" si="25"/>
        <v>131.06110307710821</v>
      </c>
      <c r="Y53" s="100">
        <f t="shared" si="26"/>
        <v>110.37527093392649</v>
      </c>
      <c r="Z53" s="100">
        <f t="shared" si="27"/>
        <v>118.07492373153194</v>
      </c>
      <c r="AA53" s="102" t="str">
        <f t="shared" si="28"/>
        <v>OK</v>
      </c>
      <c r="AB53" s="299">
        <f t="shared" si="29"/>
        <v>8.8350315334050329</v>
      </c>
    </row>
    <row r="54" spans="1:28" ht="12" customHeight="1" x14ac:dyDescent="0.45">
      <c r="A54" s="105"/>
      <c r="B54" s="105"/>
      <c r="C54" s="301"/>
      <c r="D54" s="132"/>
      <c r="E54" s="301"/>
      <c r="F54" s="107"/>
      <c r="G54" s="108"/>
      <c r="H54" s="108"/>
      <c r="I54" s="108"/>
      <c r="J54" s="108"/>
      <c r="K54" s="108"/>
      <c r="L54" s="109"/>
      <c r="M54" s="109"/>
      <c r="N54" s="109"/>
      <c r="O54" s="107"/>
      <c r="P54" s="107"/>
      <c r="Q54" s="108"/>
      <c r="R54" s="108"/>
      <c r="S54" s="110"/>
      <c r="T54" s="108"/>
      <c r="U54" s="108"/>
      <c r="V54" s="108"/>
      <c r="W54" s="109"/>
      <c r="X54" s="109"/>
      <c r="Y54" s="109"/>
      <c r="Z54" s="109"/>
      <c r="AA54" s="111"/>
      <c r="AB54" s="300"/>
    </row>
    <row r="55" spans="1:28" ht="12" customHeight="1" x14ac:dyDescent="0.45">
      <c r="A55" s="105"/>
      <c r="B55" s="105"/>
      <c r="C55" s="302"/>
      <c r="D55" s="132"/>
      <c r="E55" s="301"/>
      <c r="F55" s="107"/>
      <c r="G55" s="108"/>
      <c r="H55" s="108"/>
      <c r="I55" s="108"/>
      <c r="J55" s="108"/>
      <c r="K55" s="108"/>
      <c r="L55" s="109"/>
      <c r="M55" s="109"/>
      <c r="N55" s="109"/>
      <c r="O55" s="107"/>
      <c r="P55" s="107"/>
      <c r="Q55" s="108"/>
      <c r="R55" s="108"/>
      <c r="S55" s="110"/>
      <c r="T55" s="108"/>
      <c r="U55" s="108"/>
      <c r="V55" s="108"/>
      <c r="W55" s="109"/>
      <c r="X55" s="109"/>
      <c r="Y55" s="109"/>
      <c r="Z55" s="109"/>
      <c r="AA55" s="111"/>
      <c r="AB55" s="300"/>
    </row>
    <row r="56" spans="1:28" ht="12" customHeight="1" x14ac:dyDescent="0.45">
      <c r="A56" s="105"/>
      <c r="B56" s="105"/>
      <c r="C56" s="302"/>
      <c r="D56" s="132"/>
      <c r="E56" s="301"/>
      <c r="F56" s="107"/>
      <c r="G56" s="108"/>
      <c r="H56" s="108"/>
      <c r="I56" s="108"/>
      <c r="J56" s="108"/>
      <c r="K56" s="108"/>
      <c r="L56" s="109"/>
      <c r="M56" s="109"/>
      <c r="N56" s="109"/>
      <c r="O56" s="107"/>
      <c r="P56" s="107"/>
      <c r="Q56" s="108"/>
      <c r="R56" s="108"/>
      <c r="S56" s="110"/>
      <c r="T56" s="108"/>
      <c r="U56" s="108"/>
      <c r="V56" s="108"/>
      <c r="W56" s="109"/>
      <c r="X56" s="109"/>
      <c r="Y56" s="109"/>
      <c r="Z56" s="109"/>
      <c r="AA56" s="111"/>
      <c r="AB56" s="300"/>
    </row>
    <row r="57" spans="1:28" ht="12" customHeight="1" x14ac:dyDescent="0.45">
      <c r="A57" s="105"/>
      <c r="B57" s="105"/>
      <c r="C57" s="302"/>
      <c r="D57" s="132"/>
      <c r="E57" s="301"/>
      <c r="F57" s="107"/>
      <c r="G57" s="108"/>
      <c r="H57" s="108"/>
      <c r="I57" s="108"/>
      <c r="J57" s="108"/>
      <c r="K57" s="108"/>
      <c r="L57" s="109"/>
      <c r="M57" s="109"/>
      <c r="N57" s="109"/>
      <c r="O57" s="107"/>
      <c r="P57" s="107"/>
      <c r="Q57" s="108"/>
      <c r="R57" s="108"/>
      <c r="S57" s="110"/>
      <c r="T57" s="108"/>
      <c r="U57" s="108"/>
      <c r="V57" s="108"/>
      <c r="W57" s="109"/>
      <c r="X57" s="109"/>
      <c r="Y57" s="109"/>
      <c r="Z57" s="109"/>
      <c r="AA57" s="111"/>
      <c r="AB57" s="300"/>
    </row>
    <row r="58" spans="1:28" ht="12" customHeight="1" x14ac:dyDescent="0.45">
      <c r="A58" s="105"/>
      <c r="B58" s="105"/>
      <c r="C58" s="302"/>
      <c r="D58" s="132"/>
      <c r="E58" s="301"/>
      <c r="F58" s="107"/>
      <c r="G58" s="108"/>
      <c r="H58" s="108"/>
      <c r="I58" s="108"/>
      <c r="J58" s="108"/>
      <c r="K58" s="108"/>
      <c r="L58" s="109"/>
      <c r="M58" s="109"/>
      <c r="N58" s="109"/>
      <c r="O58" s="107"/>
      <c r="P58" s="107"/>
      <c r="Q58" s="108"/>
      <c r="R58" s="108"/>
      <c r="S58" s="110"/>
      <c r="T58" s="108"/>
      <c r="U58" s="108"/>
      <c r="V58" s="108"/>
      <c r="W58" s="109"/>
      <c r="X58" s="109"/>
      <c r="Y58" s="109"/>
      <c r="Z58" s="109"/>
      <c r="AA58" s="111"/>
      <c r="AB58" s="300"/>
    </row>
    <row r="59" spans="1:28" ht="12" customHeight="1" x14ac:dyDescent="0.45">
      <c r="A59" s="105"/>
      <c r="B59" s="105"/>
      <c r="C59" s="302"/>
      <c r="D59" s="132"/>
      <c r="E59" s="301"/>
      <c r="F59" s="107"/>
      <c r="G59" s="108"/>
      <c r="H59" s="108"/>
      <c r="I59" s="108"/>
      <c r="J59" s="108"/>
      <c r="K59" s="108"/>
      <c r="L59" s="109"/>
      <c r="M59" s="109"/>
      <c r="N59" s="109"/>
      <c r="O59" s="107"/>
      <c r="P59" s="107"/>
      <c r="Q59" s="108"/>
      <c r="R59" s="108"/>
      <c r="S59" s="110"/>
      <c r="T59" s="108"/>
      <c r="U59" s="108"/>
      <c r="V59" s="108"/>
      <c r="W59" s="109"/>
      <c r="X59" s="109"/>
      <c r="Y59" s="109"/>
      <c r="Z59" s="109"/>
      <c r="AA59" s="111"/>
      <c r="AB59" s="300"/>
    </row>
    <row r="60" spans="1:28" ht="12" customHeight="1" x14ac:dyDescent="0.45">
      <c r="A60" s="105"/>
      <c r="B60" s="105"/>
      <c r="C60" s="302"/>
      <c r="D60" s="106"/>
      <c r="E60" s="106"/>
      <c r="F60" s="107"/>
      <c r="G60" s="108"/>
      <c r="H60" s="108"/>
      <c r="I60" s="108"/>
      <c r="J60" s="108"/>
      <c r="K60" s="108"/>
      <c r="L60" s="109"/>
      <c r="M60" s="109"/>
      <c r="N60" s="109"/>
      <c r="O60" s="107"/>
      <c r="P60" s="107"/>
      <c r="Q60" s="108"/>
      <c r="R60" s="108"/>
      <c r="S60" s="110"/>
      <c r="T60" s="108"/>
      <c r="U60" s="108"/>
      <c r="V60" s="108"/>
      <c r="W60" s="109"/>
      <c r="X60" s="109"/>
      <c r="Y60" s="109"/>
      <c r="Z60" s="109"/>
      <c r="AA60" s="111"/>
      <c r="AB60" s="300"/>
    </row>
    <row r="61" spans="1:28" ht="12" customHeight="1" x14ac:dyDescent="0.45">
      <c r="A61" s="105"/>
      <c r="B61" s="105"/>
      <c r="C61" s="326"/>
      <c r="D61" s="327"/>
      <c r="E61" s="106"/>
      <c r="F61" s="107"/>
      <c r="G61" s="108"/>
      <c r="H61" s="108"/>
      <c r="I61" s="108"/>
      <c r="J61" s="108"/>
      <c r="K61" s="108"/>
      <c r="L61" s="109"/>
      <c r="M61" s="109"/>
      <c r="N61" s="109"/>
      <c r="O61" s="107"/>
      <c r="P61" s="107"/>
      <c r="Q61" s="108"/>
      <c r="R61" s="108"/>
      <c r="S61" s="110"/>
      <c r="T61" s="108"/>
      <c r="U61" s="108"/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/>
      <c r="B62" s="105"/>
      <c r="C62" s="106"/>
      <c r="D62" s="106"/>
      <c r="E62" s="106"/>
      <c r="F62" s="107"/>
      <c r="G62" s="108"/>
      <c r="H62" s="108"/>
      <c r="I62" s="108"/>
      <c r="J62" s="108"/>
      <c r="K62" s="108"/>
      <c r="L62" s="109"/>
      <c r="M62" s="109"/>
      <c r="N62" s="109"/>
      <c r="O62" s="107"/>
      <c r="P62" s="107"/>
      <c r="Q62" s="108"/>
      <c r="R62" s="108"/>
      <c r="S62" s="110"/>
      <c r="T62" s="108"/>
      <c r="U62" s="108"/>
      <c r="V62" s="108"/>
      <c r="W62" s="109"/>
      <c r="X62" s="109"/>
      <c r="Y62" s="109"/>
      <c r="Z62" s="109"/>
      <c r="AA62" s="111"/>
      <c r="AB62" s="300"/>
    </row>
    <row r="63" spans="1:28" ht="12" customHeight="1" x14ac:dyDescent="0.45">
      <c r="A63" s="105"/>
      <c r="B63" s="105"/>
      <c r="C63" s="106"/>
      <c r="D63" s="106"/>
      <c r="E63" s="106"/>
      <c r="F63" s="107"/>
      <c r="G63" s="108"/>
      <c r="H63" s="108"/>
      <c r="I63" s="108"/>
      <c r="J63" s="108"/>
      <c r="K63" s="108"/>
      <c r="L63" s="109"/>
      <c r="M63" s="109"/>
      <c r="N63" s="109"/>
      <c r="O63" s="107"/>
      <c r="P63" s="107"/>
      <c r="Q63" s="108"/>
      <c r="R63" s="108"/>
      <c r="S63" s="110"/>
      <c r="T63" s="108"/>
      <c r="U63" s="108"/>
      <c r="V63" s="108"/>
      <c r="W63" s="109"/>
      <c r="X63" s="109"/>
      <c r="Y63" s="109"/>
      <c r="Z63" s="109"/>
      <c r="AA63" s="111"/>
      <c r="AB63" s="300"/>
    </row>
    <row r="64" spans="1:28" ht="12" customHeight="1" x14ac:dyDescent="0.45">
      <c r="A64" s="105"/>
      <c r="B64" s="105"/>
      <c r="C64" s="106"/>
      <c r="D64" s="106"/>
      <c r="E64" s="106"/>
      <c r="F64" s="107"/>
      <c r="G64" s="108"/>
      <c r="H64" s="108"/>
      <c r="I64" s="108"/>
      <c r="J64" s="108"/>
      <c r="K64" s="108"/>
      <c r="L64" s="109"/>
      <c r="M64" s="109"/>
      <c r="N64" s="109"/>
      <c r="O64" s="107"/>
      <c r="P64" s="107"/>
      <c r="Q64" s="108"/>
      <c r="R64" s="108"/>
      <c r="S64" s="110"/>
      <c r="T64" s="108"/>
      <c r="U64" s="108"/>
      <c r="V64" s="108"/>
      <c r="W64" s="109"/>
      <c r="X64" s="109"/>
      <c r="Y64" s="109"/>
      <c r="Z64" s="109"/>
      <c r="AA64" s="111"/>
      <c r="AB64" s="300"/>
    </row>
    <row r="65" spans="1:28" ht="12" customHeight="1" x14ac:dyDescent="0.45">
      <c r="A65" s="105"/>
      <c r="B65" s="105"/>
      <c r="C65" s="106"/>
      <c r="D65" s="106"/>
      <c r="E65" s="106"/>
      <c r="F65" s="107"/>
      <c r="G65" s="108"/>
      <c r="H65" s="108"/>
      <c r="I65" s="108"/>
      <c r="J65" s="108"/>
      <c r="K65" s="108"/>
      <c r="L65" s="109"/>
      <c r="M65" s="109"/>
      <c r="N65" s="109"/>
      <c r="O65" s="107"/>
      <c r="P65" s="107"/>
      <c r="Q65" s="108"/>
      <c r="R65" s="108"/>
      <c r="S65" s="110"/>
      <c r="T65" s="108"/>
      <c r="U65" s="108"/>
      <c r="V65" s="108"/>
      <c r="W65" s="109"/>
      <c r="X65" s="109"/>
      <c r="Y65" s="109"/>
      <c r="Z65" s="109"/>
      <c r="AA65" s="111"/>
      <c r="AB65" s="300"/>
    </row>
    <row r="66" spans="1:28" ht="12" customHeight="1" x14ac:dyDescent="0.45">
      <c r="A66" s="105"/>
      <c r="B66" s="105"/>
      <c r="C66" s="106"/>
      <c r="D66" s="106"/>
      <c r="E66" s="106"/>
      <c r="F66" s="107"/>
      <c r="G66" s="108"/>
      <c r="H66" s="108"/>
      <c r="I66" s="108"/>
      <c r="J66" s="108"/>
      <c r="K66" s="108"/>
      <c r="L66" s="109"/>
      <c r="M66" s="109"/>
      <c r="N66" s="109"/>
      <c r="O66" s="107"/>
      <c r="P66" s="107"/>
      <c r="Q66" s="108"/>
      <c r="R66" s="108"/>
      <c r="S66" s="110"/>
      <c r="T66" s="108"/>
      <c r="U66" s="108"/>
      <c r="V66" s="108"/>
      <c r="W66" s="109"/>
      <c r="X66" s="109"/>
      <c r="Y66" s="109"/>
      <c r="Z66" s="109"/>
      <c r="AA66" s="111"/>
      <c r="AB66" s="300"/>
    </row>
    <row r="67" spans="1:28" ht="12" customHeight="1" x14ac:dyDescent="0.45">
      <c r="A67" s="105"/>
      <c r="B67" s="105"/>
      <c r="C67" s="106"/>
      <c r="D67" s="106"/>
      <c r="E67" s="106"/>
      <c r="F67" s="107"/>
      <c r="G67" s="108"/>
      <c r="H67" s="108"/>
      <c r="I67" s="108"/>
      <c r="J67" s="108"/>
      <c r="K67" s="108"/>
      <c r="L67" s="109"/>
      <c r="M67" s="109"/>
      <c r="N67" s="109"/>
      <c r="O67" s="107"/>
      <c r="P67" s="107"/>
      <c r="Q67" s="108"/>
      <c r="R67" s="108"/>
      <c r="S67" s="110"/>
      <c r="T67" s="108"/>
      <c r="U67" s="108"/>
      <c r="V67" s="108"/>
      <c r="W67" s="109"/>
      <c r="X67" s="109"/>
      <c r="Y67" s="109"/>
      <c r="Z67" s="109"/>
      <c r="AA67" s="111"/>
      <c r="AB67" s="300"/>
    </row>
    <row r="68" spans="1:28" ht="12" customHeight="1" x14ac:dyDescent="0.45">
      <c r="A68" s="105"/>
      <c r="B68" s="105"/>
      <c r="C68" s="106"/>
      <c r="D68" s="106"/>
      <c r="E68" s="106"/>
      <c r="F68" s="107"/>
      <c r="G68" s="108"/>
      <c r="H68" s="108"/>
      <c r="I68" s="108"/>
      <c r="J68" s="108"/>
      <c r="K68" s="108"/>
      <c r="L68" s="109"/>
      <c r="M68" s="109"/>
      <c r="N68" s="109"/>
      <c r="O68" s="107"/>
      <c r="P68" s="107"/>
      <c r="Q68" s="108"/>
      <c r="R68" s="108"/>
      <c r="S68" s="110"/>
      <c r="T68" s="108"/>
      <c r="U68" s="108"/>
      <c r="V68" s="108"/>
      <c r="W68" s="109"/>
      <c r="X68" s="109"/>
      <c r="Y68" s="109"/>
      <c r="Z68" s="109"/>
      <c r="AA68" s="111"/>
      <c r="AB68" s="300"/>
    </row>
    <row r="69" spans="1:28" ht="12" customHeight="1" x14ac:dyDescent="0.45">
      <c r="A69" s="105"/>
      <c r="B69" s="105"/>
      <c r="C69" s="106"/>
      <c r="D69" s="106"/>
      <c r="E69" s="106"/>
      <c r="F69" s="107"/>
      <c r="G69" s="108"/>
      <c r="H69" s="108"/>
      <c r="I69" s="108"/>
      <c r="J69" s="108"/>
      <c r="K69" s="108"/>
      <c r="L69" s="109"/>
      <c r="M69" s="109"/>
      <c r="N69" s="109"/>
      <c r="O69" s="107"/>
      <c r="P69" s="107"/>
      <c r="Q69" s="108"/>
      <c r="R69" s="108"/>
      <c r="S69" s="110"/>
      <c r="T69" s="108"/>
      <c r="U69" s="108"/>
      <c r="V69" s="108"/>
      <c r="W69" s="109"/>
      <c r="X69" s="109"/>
      <c r="Y69" s="109"/>
      <c r="Z69" s="109"/>
      <c r="AA69" s="111"/>
      <c r="AB69" s="300"/>
    </row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  <row r="113" ht="15" customHeight="1" x14ac:dyDescent="0.45"/>
  </sheetData>
  <mergeCells count="13">
    <mergeCell ref="AB22:AB23"/>
    <mergeCell ref="C61:D61"/>
    <mergeCell ref="F4:N5"/>
    <mergeCell ref="AA22:AA23"/>
    <mergeCell ref="M11:N11"/>
    <mergeCell ref="M12:N12"/>
    <mergeCell ref="M13:N13"/>
    <mergeCell ref="M14:N14"/>
    <mergeCell ref="M15:N15"/>
    <mergeCell ref="A22:A23"/>
    <mergeCell ref="B22:B23"/>
    <mergeCell ref="C22:D23"/>
    <mergeCell ref="Q22:Q23"/>
  </mergeCells>
  <phoneticPr fontId="5" type="noConversion"/>
  <conditionalFormatting sqref="AA24:AA69">
    <cfRule type="cellIs" dxfId="15" priority="2" operator="equal">
      <formula>"N.G"</formula>
    </cfRule>
  </conditionalFormatting>
  <conditionalFormatting sqref="Z24:Z30">
    <cfRule type="cellIs" dxfId="1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10" zoomScale="145" zoomScaleNormal="145" workbookViewId="0">
      <selection activeCell="C46" sqref="C46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7" width="5.33203125" style="4"/>
    <col min="28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2">
        <f>'Global Strength'!D10</f>
        <v>855120</v>
      </c>
      <c r="N11" s="322" t="s">
        <v>79</v>
      </c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3">
        <f>'Global Strength'!D6</f>
        <v>29.331</v>
      </c>
      <c r="N12" s="323" t="s">
        <v>83</v>
      </c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23">
        <f>'Global Strength'!D5</f>
        <v>6.0910000000000002</v>
      </c>
      <c r="N13" s="323" t="s">
        <v>87</v>
      </c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22"/>
      <c r="N14" s="322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2">
        <f>'Global Strength'!D27</f>
        <v>27825</v>
      </c>
      <c r="N15" s="322" t="s">
        <v>92</v>
      </c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279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Profile_SM(C24,P24*1000,12)/10^3</f>
        <v>1936.0000491714611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59" si="2">$M$11/ABS(($M$12/(F24-$M$13)))/1000</f>
        <v>177.57785005625448</v>
      </c>
      <c r="T24" s="84">
        <v>0</v>
      </c>
      <c r="U24" s="84">
        <v>-13.5</v>
      </c>
      <c r="V24" s="84">
        <f>SQRT(S24^2+T24^2-S24*T24+3*U24^2)</f>
        <v>179.11069993331387</v>
      </c>
      <c r="W24" s="81">
        <f t="shared" ref="W24:W29" si="3">(R24/$F$7-V24)</f>
        <v>143.61657279395882</v>
      </c>
      <c r="X24" s="81">
        <f>0.577*SQRT((R24/$F$7)^2-S24^2)</f>
        <v>155.48945611059685</v>
      </c>
      <c r="Y24" s="81">
        <f t="shared" ref="Y24:Y36" si="4">O24^2*P24*L24*1000000/($F$8*W24*Q24)/10^3</f>
        <v>1196.6187077625973</v>
      </c>
      <c r="Z24" s="81">
        <f>O24*P24*L24*1000/(2*X24)</f>
        <v>1657.8707204535126</v>
      </c>
      <c r="AA24" s="89" t="str">
        <f t="shared" ref="AA24:AA36" si="5">IF(AND(M24&gt;=Y24,N24&gt;=Z24),"OK","N.G")</f>
        <v>OK</v>
      </c>
      <c r="AB24" s="297">
        <f t="shared" ref="AB24:AB36" si="6">M24/Y24</f>
        <v>1.6178921795325576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30" si="7">1.025*9.81*(($F$10+0.76)-F25)</f>
        <v>127.29946499999998</v>
      </c>
      <c r="K25" s="84">
        <v>0</v>
      </c>
      <c r="L25" s="81">
        <f t="shared" ref="L25:L30" si="8">J25*$F$18</f>
        <v>171.85427774999999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42" si="9">$M$11/ABS(($M$12/(F25-$M$13)))/1000</f>
        <v>177.57785005625448</v>
      </c>
      <c r="T25" s="84">
        <v>0</v>
      </c>
      <c r="U25" s="84">
        <v>-6.4</v>
      </c>
      <c r="V25" s="84">
        <f t="shared" ref="V25:V50" si="10">SQRT(S25^2+T25^2-S25*T25+3*U25^2)</f>
        <v>177.92350274936024</v>
      </c>
      <c r="W25" s="81">
        <f t="shared" si="3"/>
        <v>144.80376997791245</v>
      </c>
      <c r="X25" s="81">
        <f t="shared" ref="X25:X42" si="11">0.577*SQRT((R25/$F$7)^2-S25^2)</f>
        <v>155.48945611059685</v>
      </c>
      <c r="Y25" s="81">
        <f t="shared" si="4"/>
        <v>1186.8080352895074</v>
      </c>
      <c r="Z25" s="81">
        <f t="shared" ref="Z25:Z30" si="12">O25*P25*L25*1000/(2*X25)</f>
        <v>1657.8707204535126</v>
      </c>
      <c r="AA25" s="89" t="str">
        <f t="shared" si="5"/>
        <v>OK</v>
      </c>
      <c r="AB25" s="297">
        <f t="shared" si="6"/>
        <v>1.6312663814238479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177.57785005625448</v>
      </c>
      <c r="T26" s="84">
        <v>0</v>
      </c>
      <c r="U26" s="84">
        <v>0.60000000000000797</v>
      </c>
      <c r="V26" s="84">
        <f t="shared" si="10"/>
        <v>177.58089095001637</v>
      </c>
      <c r="W26" s="81">
        <f t="shared" si="3"/>
        <v>145.14638177725632</v>
      </c>
      <c r="X26" s="81">
        <f t="shared" si="11"/>
        <v>155.48945611059685</v>
      </c>
      <c r="Y26" s="81">
        <f t="shared" si="4"/>
        <v>1184.0066259021876</v>
      </c>
      <c r="Z26" s="81">
        <f t="shared" si="12"/>
        <v>1657.8707204535126</v>
      </c>
      <c r="AA26" s="89" t="str">
        <f t="shared" si="5"/>
        <v>OK</v>
      </c>
      <c r="AB26" s="297">
        <f t="shared" si="6"/>
        <v>1.6351260261709015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177.57785005625448</v>
      </c>
      <c r="T27" s="84">
        <v>0</v>
      </c>
      <c r="U27" s="84">
        <v>7.6</v>
      </c>
      <c r="V27" s="84">
        <f t="shared" si="10"/>
        <v>178.06508032346375</v>
      </c>
      <c r="W27" s="81">
        <f t="shared" si="3"/>
        <v>144.66219240380894</v>
      </c>
      <c r="X27" s="81">
        <f t="shared" si="11"/>
        <v>155.48945611059685</v>
      </c>
      <c r="Y27" s="81">
        <f t="shared" si="4"/>
        <v>1187.9695371288672</v>
      </c>
      <c r="Z27" s="81">
        <f t="shared" si="12"/>
        <v>1657.8707204535126</v>
      </c>
      <c r="AA27" s="89" t="str">
        <f t="shared" si="5"/>
        <v>OK</v>
      </c>
      <c r="AB27" s="297">
        <f t="shared" si="6"/>
        <v>1.629671459295551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177.57785005625448</v>
      </c>
      <c r="T28" s="84">
        <v>0</v>
      </c>
      <c r="U28" s="84">
        <v>14.7</v>
      </c>
      <c r="V28" s="84">
        <f t="shared" si="10"/>
        <v>179.3938762349529</v>
      </c>
      <c r="W28" s="81">
        <f t="shared" si="3"/>
        <v>143.33339649231979</v>
      </c>
      <c r="X28" s="81">
        <f t="shared" si="11"/>
        <v>155.48945611059685</v>
      </c>
      <c r="Y28" s="81">
        <f t="shared" si="4"/>
        <v>1198.9828048148463</v>
      </c>
      <c r="Z28" s="81">
        <f t="shared" si="12"/>
        <v>1657.8707204535126</v>
      </c>
      <c r="AA28" s="89" t="str">
        <f t="shared" si="5"/>
        <v>OK</v>
      </c>
      <c r="AB28" s="297">
        <f t="shared" si="6"/>
        <v>1.6147020969749679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177.57785005625448</v>
      </c>
      <c r="T29" s="84">
        <v>0</v>
      </c>
      <c r="U29" s="84">
        <v>21.7</v>
      </c>
      <c r="V29" s="84">
        <f t="shared" si="10"/>
        <v>181.51188068719247</v>
      </c>
      <c r="W29" s="81">
        <f t="shared" si="3"/>
        <v>141.21539204008022</v>
      </c>
      <c r="X29" s="81">
        <f t="shared" si="11"/>
        <v>155.48945611059685</v>
      </c>
      <c r="Y29" s="81">
        <f t="shared" si="4"/>
        <v>1216.9656244074567</v>
      </c>
      <c r="Z29" s="81">
        <f t="shared" si="12"/>
        <v>1657.8707204535126</v>
      </c>
      <c r="AA29" s="89" t="str">
        <f t="shared" si="5"/>
        <v>OK</v>
      </c>
      <c r="AB29" s="297">
        <f t="shared" si="6"/>
        <v>1.5908420175090021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177.57785005625448</v>
      </c>
      <c r="T30" s="84">
        <v>0</v>
      </c>
      <c r="U30" s="84">
        <v>28.8</v>
      </c>
      <c r="V30" s="84">
        <f t="shared" si="10"/>
        <v>184.45111230513521</v>
      </c>
      <c r="W30" s="81">
        <f t="shared" ref="W30:W53" si="13">(R30/$F$7-V30)</f>
        <v>138.27616042213748</v>
      </c>
      <c r="X30" s="81">
        <f t="shared" si="11"/>
        <v>155.48945611059685</v>
      </c>
      <c r="Y30" s="81">
        <f t="shared" si="4"/>
        <v>1242.833741010405</v>
      </c>
      <c r="Z30" s="81">
        <f t="shared" si="12"/>
        <v>1657.8707204535126</v>
      </c>
      <c r="AA30" s="89" t="str">
        <f t="shared" si="5"/>
        <v>OK</v>
      </c>
      <c r="AB30" s="297">
        <f t="shared" si="6"/>
        <v>1.5577305196087792</v>
      </c>
    </row>
    <row r="31" spans="1:28" ht="12" customHeight="1" x14ac:dyDescent="0.45">
      <c r="A31" s="75">
        <v>8</v>
      </c>
      <c r="B31" s="75" t="s">
        <v>276</v>
      </c>
      <c r="C31" s="91" t="s">
        <v>195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ref="J25:J42" si="14">1.025*9.81*(($F$10+0.76)-F31)+25</f>
        <v>145.26078999999999</v>
      </c>
      <c r="K31" s="79">
        <v>0</v>
      </c>
      <c r="L31" s="76">
        <f t="shared" ref="L29:L42" si="15">J31*$F$19+K31*$F$18</f>
        <v>159.786869</v>
      </c>
      <c r="M31" s="76" cm="1">
        <f t="array" ref="M31">Profile_SM(C31,P31*1000,12)/10^3</f>
        <v>482.64811540310143</v>
      </c>
      <c r="N31" s="76" cm="1">
        <f t="array" ref="N31">Profile_ShearArea(C31,P31,12)</f>
        <v>2500</v>
      </c>
      <c r="O31" s="92">
        <v>2.5099999999999998</v>
      </c>
      <c r="P31" s="92">
        <v>0.7</v>
      </c>
      <c r="Q31" s="79">
        <v>1</v>
      </c>
      <c r="R31" s="79">
        <v>355</v>
      </c>
      <c r="S31" s="308">
        <f t="shared" si="9"/>
        <v>157.16995397361151</v>
      </c>
      <c r="T31" s="79">
        <v>0</v>
      </c>
      <c r="U31" s="79">
        <v>39.1</v>
      </c>
      <c r="V31" s="79">
        <f t="shared" si="10"/>
        <v>171.13978039037903</v>
      </c>
      <c r="W31" s="76">
        <f t="shared" si="13"/>
        <v>151.58749233689366</v>
      </c>
      <c r="X31" s="76">
        <f t="shared" si="11"/>
        <v>162.63878655442218</v>
      </c>
      <c r="Y31" s="76">
        <f t="shared" si="4"/>
        <v>387.38424616895071</v>
      </c>
      <c r="Z31" s="76">
        <f t="shared" ref="Z31:Z69" si="16">O31*P31*L31*1000/(2*X31)</f>
        <v>863.09525169464075</v>
      </c>
      <c r="AA31" s="94" t="str">
        <f t="shared" si="5"/>
        <v>OK</v>
      </c>
      <c r="AB31" s="298">
        <f t="shared" si="6"/>
        <v>1.2459157030164905</v>
      </c>
    </row>
    <row r="32" spans="1:28" ht="12" customHeight="1" x14ac:dyDescent="0.45">
      <c r="A32" s="75">
        <v>9</v>
      </c>
      <c r="B32" s="75" t="s">
        <v>276</v>
      </c>
      <c r="C32" s="91" t="s">
        <v>195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14"/>
        <v>138.22211499999997</v>
      </c>
      <c r="K32" s="79">
        <v>0</v>
      </c>
      <c r="L32" s="76">
        <f t="shared" si="15"/>
        <v>152.04432649999998</v>
      </c>
      <c r="M32" s="76" cm="1">
        <f t="array" ref="M32">Profile_SM(C32,P32*1000,12)/10^3</f>
        <v>482.64811540310143</v>
      </c>
      <c r="N32" s="76" cm="1">
        <f t="array" ref="N32">Profile_ShearArea(C32,P32,12)</f>
        <v>2500</v>
      </c>
      <c r="O32" s="92">
        <v>2.5099999999999998</v>
      </c>
      <c r="P32" s="92">
        <v>0.7</v>
      </c>
      <c r="Q32" s="79">
        <v>1</v>
      </c>
      <c r="R32" s="79">
        <v>355</v>
      </c>
      <c r="S32" s="308">
        <f t="shared" si="9"/>
        <v>136.76205789096863</v>
      </c>
      <c r="T32" s="79">
        <v>0</v>
      </c>
      <c r="U32" s="79">
        <v>44.2</v>
      </c>
      <c r="V32" s="79">
        <f t="shared" si="10"/>
        <v>156.7315554653008</v>
      </c>
      <c r="W32" s="76">
        <f t="shared" si="13"/>
        <v>165.99571726197189</v>
      </c>
      <c r="X32" s="76">
        <f t="shared" si="11"/>
        <v>168.66671515891292</v>
      </c>
      <c r="Y32" s="76">
        <f t="shared" si="4"/>
        <v>336.61818410533687</v>
      </c>
      <c r="Z32" s="76">
        <f t="shared" si="16"/>
        <v>791.92234641199514</v>
      </c>
      <c r="AA32" s="94" t="str">
        <f t="shared" si="5"/>
        <v>OK</v>
      </c>
      <c r="AB32" s="298">
        <f t="shared" si="6"/>
        <v>1.4338147438050104</v>
      </c>
    </row>
    <row r="33" spans="1:28" ht="12" customHeight="1" x14ac:dyDescent="0.45">
      <c r="A33" s="75">
        <v>10</v>
      </c>
      <c r="B33" s="75" t="s">
        <v>276</v>
      </c>
      <c r="C33" s="91" t="s">
        <v>195</v>
      </c>
      <c r="D33" s="91"/>
      <c r="E33" s="304">
        <v>6</v>
      </c>
      <c r="F33" s="92">
        <f t="shared" ref="F33:F43" si="17">F32+0.7</f>
        <v>2.0999999999999996</v>
      </c>
      <c r="G33" s="79">
        <v>0</v>
      </c>
      <c r="H33" s="79">
        <v>0</v>
      </c>
      <c r="I33" s="79">
        <v>0</v>
      </c>
      <c r="J33" s="79">
        <f t="shared" si="14"/>
        <v>131.18343999999999</v>
      </c>
      <c r="K33" s="79">
        <v>0</v>
      </c>
      <c r="L33" s="76">
        <f t="shared" si="15"/>
        <v>144.301784</v>
      </c>
      <c r="M33" s="76" cm="1">
        <f t="array" ref="M33">Profile_SM(C33,P33*1000,12)/10^3</f>
        <v>482.64811540310143</v>
      </c>
      <c r="N33" s="76" cm="1">
        <f t="array" ref="N33">Profile_ShearArea(C33,P33,12)</f>
        <v>2500</v>
      </c>
      <c r="O33" s="92">
        <v>2.5099999999999998</v>
      </c>
      <c r="P33" s="92">
        <v>0.7</v>
      </c>
      <c r="Q33" s="79">
        <v>1</v>
      </c>
      <c r="R33" s="79">
        <v>355</v>
      </c>
      <c r="S33" s="308">
        <f t="shared" si="9"/>
        <v>116.35416180832569</v>
      </c>
      <c r="T33" s="79">
        <v>0</v>
      </c>
      <c r="U33" s="79">
        <v>48.6</v>
      </c>
      <c r="V33" s="79">
        <f t="shared" si="10"/>
        <v>143.61117982287465</v>
      </c>
      <c r="W33" s="76">
        <f t="shared" si="13"/>
        <v>179.11609290439804</v>
      </c>
      <c r="X33" s="76">
        <f t="shared" si="11"/>
        <v>173.69003625245219</v>
      </c>
      <c r="Y33" s="76">
        <f t="shared" si="4"/>
        <v>296.07472182140532</v>
      </c>
      <c r="Z33" s="76">
        <f t="shared" si="16"/>
        <v>729.85831530224129</v>
      </c>
      <c r="AA33" s="94" t="str">
        <f t="shared" si="5"/>
        <v>OK</v>
      </c>
      <c r="AB33" s="298">
        <f t="shared" si="6"/>
        <v>1.6301564430557456</v>
      </c>
    </row>
    <row r="34" spans="1:28" ht="12" customHeight="1" x14ac:dyDescent="0.45">
      <c r="A34" s="75">
        <v>11</v>
      </c>
      <c r="B34" s="75" t="s">
        <v>276</v>
      </c>
      <c r="C34" s="91" t="s">
        <v>195</v>
      </c>
      <c r="D34" s="91"/>
      <c r="E34" s="304">
        <v>6</v>
      </c>
      <c r="F34" s="92">
        <f t="shared" si="17"/>
        <v>2.8</v>
      </c>
      <c r="G34" s="79">
        <v>0</v>
      </c>
      <c r="H34" s="79">
        <v>0</v>
      </c>
      <c r="I34" s="79">
        <v>0</v>
      </c>
      <c r="J34" s="79">
        <f t="shared" si="14"/>
        <v>124.14476499999999</v>
      </c>
      <c r="K34" s="79">
        <v>0</v>
      </c>
      <c r="L34" s="76">
        <f t="shared" si="15"/>
        <v>136.55924150000001</v>
      </c>
      <c r="M34" s="76" cm="1">
        <f t="array" ref="M34">Profile_SM(C34,P34*1000,12)/10^3</f>
        <v>482.64811540310143</v>
      </c>
      <c r="N34" s="76" cm="1">
        <f t="array" ref="N34">Profile_ShearArea(C34,P34,12)</f>
        <v>2500</v>
      </c>
      <c r="O34" s="92">
        <v>2.5099999999999998</v>
      </c>
      <c r="P34" s="92">
        <v>0.7</v>
      </c>
      <c r="Q34" s="79">
        <v>1</v>
      </c>
      <c r="R34" s="79">
        <v>355</v>
      </c>
      <c r="S34" s="308">
        <f t="shared" si="9"/>
        <v>95.946265725682721</v>
      </c>
      <c r="T34" s="79">
        <v>0</v>
      </c>
      <c r="U34" s="79">
        <v>52</v>
      </c>
      <c r="V34" s="79">
        <f t="shared" si="10"/>
        <v>131.59667893493102</v>
      </c>
      <c r="W34" s="76">
        <f t="shared" si="13"/>
        <v>191.13059379234167</v>
      </c>
      <c r="X34" s="76">
        <f t="shared" si="11"/>
        <v>177.79392161864183</v>
      </c>
      <c r="Y34" s="76">
        <f t="shared" si="4"/>
        <v>262.57605782019124</v>
      </c>
      <c r="Z34" s="76">
        <f t="shared" si="16"/>
        <v>674.75475294972807</v>
      </c>
      <c r="AA34" s="94" t="str">
        <f t="shared" si="5"/>
        <v>OK</v>
      </c>
      <c r="AB34" s="298">
        <f t="shared" si="6"/>
        <v>1.8381269008677583</v>
      </c>
    </row>
    <row r="35" spans="1:28" ht="12" customHeight="1" x14ac:dyDescent="0.45">
      <c r="A35" s="75">
        <v>12</v>
      </c>
      <c r="B35" s="75" t="s">
        <v>276</v>
      </c>
      <c r="C35" s="91" t="s">
        <v>195</v>
      </c>
      <c r="D35" s="91"/>
      <c r="E35" s="304">
        <v>6</v>
      </c>
      <c r="F35" s="92">
        <f t="shared" si="17"/>
        <v>3.5</v>
      </c>
      <c r="G35" s="79">
        <v>0</v>
      </c>
      <c r="H35" s="79">
        <v>0</v>
      </c>
      <c r="I35" s="79">
        <v>0</v>
      </c>
      <c r="J35" s="79">
        <f t="shared" si="14"/>
        <v>117.10608999999999</v>
      </c>
      <c r="K35" s="79">
        <v>0</v>
      </c>
      <c r="L35" s="76">
        <f t="shared" si="15"/>
        <v>128.816699</v>
      </c>
      <c r="M35" s="76" cm="1">
        <f t="array" ref="M35">Profile_SM(C35,P35*1000,12)/10^3</f>
        <v>482.64811540310143</v>
      </c>
      <c r="N35" s="76" cm="1">
        <f t="array" ref="N35">Profile_ShearArea(C35,P35,12)</f>
        <v>2500</v>
      </c>
      <c r="O35" s="92">
        <v>2.5099999999999998</v>
      </c>
      <c r="P35" s="92">
        <v>0.7</v>
      </c>
      <c r="Q35" s="79">
        <v>1</v>
      </c>
      <c r="R35" s="79">
        <v>355</v>
      </c>
      <c r="S35" s="308">
        <f t="shared" si="9"/>
        <v>75.5383696430398</v>
      </c>
      <c r="T35" s="79">
        <v>0</v>
      </c>
      <c r="U35" s="79">
        <v>54.7</v>
      </c>
      <c r="V35" s="79">
        <f t="shared" si="10"/>
        <v>121.17060406026091</v>
      </c>
      <c r="W35" s="76">
        <f t="shared" si="13"/>
        <v>201.55666866701176</v>
      </c>
      <c r="X35" s="76">
        <f t="shared" si="11"/>
        <v>181.04090812844112</v>
      </c>
      <c r="Y35" s="76">
        <f t="shared" si="4"/>
        <v>234.87631853776665</v>
      </c>
      <c r="Z35" s="76">
        <f t="shared" si="16"/>
        <v>625.08231560136517</v>
      </c>
      <c r="AA35" s="94" t="str">
        <f t="shared" si="5"/>
        <v>OK</v>
      </c>
      <c r="AB35" s="298">
        <f t="shared" si="6"/>
        <v>2.0549032716786839</v>
      </c>
    </row>
    <row r="36" spans="1:28" ht="12" customHeight="1" x14ac:dyDescent="0.45">
      <c r="A36" s="75">
        <v>13</v>
      </c>
      <c r="B36" s="75" t="s">
        <v>276</v>
      </c>
      <c r="C36" s="91" t="s">
        <v>195</v>
      </c>
      <c r="D36" s="91"/>
      <c r="E36" s="304">
        <v>6</v>
      </c>
      <c r="F36" s="92">
        <f t="shared" si="17"/>
        <v>4.2</v>
      </c>
      <c r="G36" s="79">
        <v>0</v>
      </c>
      <c r="H36" s="79">
        <v>0</v>
      </c>
      <c r="I36" s="79">
        <v>0</v>
      </c>
      <c r="J36" s="79">
        <f t="shared" si="14"/>
        <v>110.067415</v>
      </c>
      <c r="K36" s="79">
        <v>0</v>
      </c>
      <c r="L36" s="76">
        <f t="shared" si="15"/>
        <v>121.0741565</v>
      </c>
      <c r="M36" s="76" cm="1">
        <f t="array" ref="M36">Profile_SM(C36,P36*1000,12)/10^3</f>
        <v>482.64811540310143</v>
      </c>
      <c r="N36" s="76" cm="1">
        <f t="array" ref="N36">Profile_ShearArea(C36,P36,12)</f>
        <v>2500</v>
      </c>
      <c r="O36" s="92">
        <v>2.5099999999999998</v>
      </c>
      <c r="P36" s="92">
        <v>0.7</v>
      </c>
      <c r="Q36" s="79">
        <v>1</v>
      </c>
      <c r="R36" s="79">
        <v>355</v>
      </c>
      <c r="S36" s="308">
        <f t="shared" si="9"/>
        <v>55.130473560396851</v>
      </c>
      <c r="T36" s="79">
        <v>0</v>
      </c>
      <c r="U36" s="79">
        <v>56.700000000000102</v>
      </c>
      <c r="V36" s="79">
        <f t="shared" si="10"/>
        <v>112.62343945641889</v>
      </c>
      <c r="W36" s="76">
        <f t="shared" si="13"/>
        <v>210.10383327085378</v>
      </c>
      <c r="X36" s="76">
        <f t="shared" si="11"/>
        <v>183.47649508229352</v>
      </c>
      <c r="Y36" s="76">
        <f t="shared" si="4"/>
        <v>211.77842444360311</v>
      </c>
      <c r="Z36" s="76">
        <f t="shared" si="16"/>
        <v>579.71265713105868</v>
      </c>
      <c r="AA36" s="94" t="str">
        <f t="shared" si="5"/>
        <v>OK</v>
      </c>
      <c r="AB36" s="298">
        <f t="shared" si="6"/>
        <v>2.2790240161203545</v>
      </c>
    </row>
    <row r="37" spans="1:28" ht="12" customHeight="1" x14ac:dyDescent="0.45">
      <c r="A37" s="75">
        <v>14</v>
      </c>
      <c r="B37" s="75" t="s">
        <v>276</v>
      </c>
      <c r="C37" s="330" t="s">
        <v>196</v>
      </c>
      <c r="D37" s="331"/>
      <c r="E37" s="304">
        <v>6</v>
      </c>
      <c r="F37" s="92">
        <f t="shared" si="17"/>
        <v>4.9000000000000004</v>
      </c>
      <c r="G37" s="79">
        <v>0</v>
      </c>
      <c r="H37" s="79">
        <v>0</v>
      </c>
      <c r="I37" s="79">
        <v>0</v>
      </c>
      <c r="J37" s="79">
        <f t="shared" si="14"/>
        <v>103.02873999999998</v>
      </c>
      <c r="K37" s="79">
        <v>0</v>
      </c>
      <c r="L37" s="76">
        <f t="shared" si="15"/>
        <v>113.33161399999999</v>
      </c>
      <c r="M37" s="76"/>
      <c r="N37" s="76"/>
      <c r="O37" s="92"/>
      <c r="P37" s="92"/>
      <c r="Q37" s="79"/>
      <c r="R37" s="79"/>
      <c r="S37" s="308"/>
      <c r="T37" s="79"/>
      <c r="U37" s="79"/>
      <c r="V37" s="79"/>
      <c r="W37" s="76"/>
      <c r="X37" s="76"/>
      <c r="Y37" s="76"/>
      <c r="Z37" s="76"/>
      <c r="AA37" s="94"/>
      <c r="AB37" s="298"/>
    </row>
    <row r="38" spans="1:28" ht="12" customHeight="1" x14ac:dyDescent="0.45">
      <c r="A38" s="75">
        <v>15</v>
      </c>
      <c r="B38" s="75" t="s">
        <v>276</v>
      </c>
      <c r="C38" s="91" t="s">
        <v>195</v>
      </c>
      <c r="D38" s="91"/>
      <c r="E38" s="304">
        <v>6</v>
      </c>
      <c r="F38" s="92">
        <f t="shared" si="17"/>
        <v>5.6000000000000005</v>
      </c>
      <c r="G38" s="79">
        <v>0</v>
      </c>
      <c r="H38" s="79">
        <v>0</v>
      </c>
      <c r="I38" s="79">
        <v>0</v>
      </c>
      <c r="J38" s="79">
        <f t="shared" si="14"/>
        <v>95.990064999999987</v>
      </c>
      <c r="K38" s="79">
        <v>0</v>
      </c>
      <c r="L38" s="76">
        <f t="shared" si="15"/>
        <v>105.58907149999999</v>
      </c>
      <c r="M38" s="76" cm="1">
        <f t="array" ref="M38">Profile_SM(C38,P38*1000,12)/10^3</f>
        <v>482.64811540310143</v>
      </c>
      <c r="N38" s="76" cm="1">
        <f t="array" ref="N38">Profile_ShearArea(C38,P38,12)</f>
        <v>2500</v>
      </c>
      <c r="O38" s="92">
        <v>2.5099999999999998</v>
      </c>
      <c r="P38" s="92">
        <v>0.7</v>
      </c>
      <c r="Q38" s="79">
        <v>1</v>
      </c>
      <c r="R38" s="79">
        <v>355</v>
      </c>
      <c r="S38" s="308">
        <f t="shared" si="9"/>
        <v>14.314681395110963</v>
      </c>
      <c r="T38" s="79">
        <v>0</v>
      </c>
      <c r="U38" s="79">
        <v>59.2</v>
      </c>
      <c r="V38" s="79">
        <f t="shared" si="10"/>
        <v>103.53178305932694</v>
      </c>
      <c r="W38" s="76">
        <f t="shared" si="13"/>
        <v>219.19548966794576</v>
      </c>
      <c r="X38" s="76">
        <f t="shared" si="11"/>
        <v>186.03036809064059</v>
      </c>
      <c r="Y38" s="76">
        <f t="shared" ref="Y38:Y59" si="18">O38^2*P38*L38*1000000/($F$8*W38*Q38)/10^3</f>
        <v>177.0319260276961</v>
      </c>
      <c r="Z38" s="76">
        <f t="shared" si="16"/>
        <v>498.62826303474282</v>
      </c>
      <c r="AA38" s="94" t="str">
        <f t="shared" ref="AA38:AA59" si="19">IF(AND(M38&gt;=Y38,N38&gt;=Z38),"OK","N.G")</f>
        <v>OK</v>
      </c>
      <c r="AB38" s="298">
        <f t="shared" ref="AB38:AB59" si="20">M38/Y38</f>
        <v>2.7263337536506982</v>
      </c>
    </row>
    <row r="39" spans="1:28" ht="12" customHeight="1" x14ac:dyDescent="0.45">
      <c r="A39" s="75">
        <v>16</v>
      </c>
      <c r="B39" s="75" t="s">
        <v>276</v>
      </c>
      <c r="C39" s="91" t="s">
        <v>195</v>
      </c>
      <c r="D39" s="91"/>
      <c r="E39" s="304">
        <v>6</v>
      </c>
      <c r="F39" s="92">
        <f t="shared" si="17"/>
        <v>6.3000000000000007</v>
      </c>
      <c r="G39" s="79">
        <v>0</v>
      </c>
      <c r="H39" s="79">
        <v>0</v>
      </c>
      <c r="I39" s="79">
        <v>0</v>
      </c>
      <c r="J39" s="79">
        <f t="shared" si="14"/>
        <v>88.951389999999989</v>
      </c>
      <c r="K39" s="79">
        <v>0</v>
      </c>
      <c r="L39" s="76">
        <f t="shared" si="15"/>
        <v>97.84652899999999</v>
      </c>
      <c r="M39" s="76" cm="1">
        <f t="array" ref="M39">Profile_SM(C39,P39*1000,12)/10^3</f>
        <v>482.64811540310143</v>
      </c>
      <c r="N39" s="76" cm="1">
        <f t="array" ref="N39">Profile_ShearArea(C39,P39,12)</f>
        <v>2500</v>
      </c>
      <c r="O39" s="92">
        <v>2.5099999999999998</v>
      </c>
      <c r="P39" s="92">
        <v>0.7</v>
      </c>
      <c r="Q39" s="79">
        <v>1</v>
      </c>
      <c r="R39" s="79">
        <v>355</v>
      </c>
      <c r="S39" s="308">
        <f t="shared" si="9"/>
        <v>6.0932146875319786</v>
      </c>
      <c r="T39" s="79">
        <v>0</v>
      </c>
      <c r="U39" s="79">
        <v>59.2</v>
      </c>
      <c r="V39" s="79">
        <f t="shared" si="10"/>
        <v>102.71829080172799</v>
      </c>
      <c r="W39" s="76">
        <f t="shared" si="13"/>
        <v>220.0089819255447</v>
      </c>
      <c r="X39" s="76">
        <f t="shared" si="11"/>
        <v>186.18044372189948</v>
      </c>
      <c r="Y39" s="76">
        <f t="shared" si="18"/>
        <v>163.44410061898486</v>
      </c>
      <c r="Z39" s="76">
        <f t="shared" si="16"/>
        <v>461.69282878548188</v>
      </c>
      <c r="AA39" s="94" t="str">
        <f t="shared" si="19"/>
        <v>OK</v>
      </c>
      <c r="AB39" s="298">
        <f t="shared" si="20"/>
        <v>2.9529858439383734</v>
      </c>
    </row>
    <row r="40" spans="1:28" ht="12" customHeight="1" x14ac:dyDescent="0.45">
      <c r="A40" s="75">
        <v>17</v>
      </c>
      <c r="B40" s="75" t="s">
        <v>276</v>
      </c>
      <c r="C40" s="91" t="s">
        <v>195</v>
      </c>
      <c r="D40" s="91"/>
      <c r="E40" s="304">
        <v>6</v>
      </c>
      <c r="F40" s="92">
        <f t="shared" si="17"/>
        <v>7.0000000000000009</v>
      </c>
      <c r="G40" s="79">
        <v>0</v>
      </c>
      <c r="H40" s="79">
        <v>0</v>
      </c>
      <c r="I40" s="79">
        <v>0</v>
      </c>
      <c r="J40" s="79">
        <f t="shared" si="14"/>
        <v>81.912714999999992</v>
      </c>
      <c r="K40" s="79">
        <v>0</v>
      </c>
      <c r="L40" s="76">
        <f t="shared" si="15"/>
        <v>90.103986500000005</v>
      </c>
      <c r="M40" s="76" cm="1">
        <f t="array" ref="M40">Profile_SM(C40,P40*1000,12)/10^3</f>
        <v>482.64811540310143</v>
      </c>
      <c r="N40" s="76" cm="1">
        <f t="array" ref="N40">Profile_ShearArea(C40,P40,12)</f>
        <v>2500</v>
      </c>
      <c r="O40" s="92">
        <v>2.5099999999999998</v>
      </c>
      <c r="P40" s="92">
        <v>0.7</v>
      </c>
      <c r="Q40" s="79">
        <v>1</v>
      </c>
      <c r="R40" s="79">
        <v>355</v>
      </c>
      <c r="S40" s="308">
        <f t="shared" si="9"/>
        <v>26.501110770174925</v>
      </c>
      <c r="T40" s="79">
        <v>0</v>
      </c>
      <c r="U40" s="79">
        <v>58.700000000000102</v>
      </c>
      <c r="V40" s="79">
        <f t="shared" si="10"/>
        <v>105.06844850883218</v>
      </c>
      <c r="W40" s="76">
        <f t="shared" si="13"/>
        <v>217.65882421844051</v>
      </c>
      <c r="X40" s="76">
        <f t="shared" si="11"/>
        <v>185.58474985112548</v>
      </c>
      <c r="Y40" s="76">
        <f t="shared" si="18"/>
        <v>152.1359897272313</v>
      </c>
      <c r="Z40" s="76">
        <f t="shared" si="16"/>
        <v>426.52401236496291</v>
      </c>
      <c r="AA40" s="94" t="str">
        <f t="shared" si="19"/>
        <v>OK</v>
      </c>
      <c r="AB40" s="298">
        <f t="shared" si="20"/>
        <v>3.1724782299602756</v>
      </c>
    </row>
    <row r="41" spans="1:28" ht="12" customHeight="1" x14ac:dyDescent="0.45">
      <c r="A41" s="75">
        <v>18</v>
      </c>
      <c r="B41" s="75" t="s">
        <v>276</v>
      </c>
      <c r="C41" s="91" t="s">
        <v>195</v>
      </c>
      <c r="D41" s="91"/>
      <c r="E41" s="304">
        <v>6</v>
      </c>
      <c r="F41" s="92">
        <f t="shared" si="17"/>
        <v>7.7000000000000011</v>
      </c>
      <c r="G41" s="79">
        <v>0</v>
      </c>
      <c r="H41" s="79">
        <v>0</v>
      </c>
      <c r="I41" s="79">
        <v>0</v>
      </c>
      <c r="J41" s="79">
        <f t="shared" si="14"/>
        <v>74.874039999999979</v>
      </c>
      <c r="K41" s="79">
        <v>0</v>
      </c>
      <c r="L41" s="76">
        <f t="shared" si="15"/>
        <v>82.361443999999977</v>
      </c>
      <c r="M41" s="76" cm="1">
        <f t="array" ref="M41">Profile_SM(C41,P41*1000,12)/10^3</f>
        <v>482.64811540310143</v>
      </c>
      <c r="N41" s="76" cm="1">
        <f t="array" ref="N41">Profile_ShearArea(C41,P41,12)</f>
        <v>2500</v>
      </c>
      <c r="O41" s="92">
        <v>2.5099999999999998</v>
      </c>
      <c r="P41" s="92">
        <v>0.7</v>
      </c>
      <c r="Q41" s="79">
        <v>1</v>
      </c>
      <c r="R41" s="79">
        <v>355</v>
      </c>
      <c r="S41" s="308">
        <f t="shared" si="9"/>
        <v>46.909006852817861</v>
      </c>
      <c r="T41" s="79">
        <v>0</v>
      </c>
      <c r="U41" s="79">
        <v>57.4</v>
      </c>
      <c r="V41" s="79">
        <f t="shared" si="10"/>
        <v>109.93059139255875</v>
      </c>
      <c r="W41" s="76">
        <f t="shared" si="13"/>
        <v>212.79668133471392</v>
      </c>
      <c r="X41" s="76">
        <f t="shared" si="11"/>
        <v>184.23605268894465</v>
      </c>
      <c r="Y41" s="76">
        <f t="shared" si="18"/>
        <v>142.24052237049111</v>
      </c>
      <c r="Z41" s="76">
        <f t="shared" si="16"/>
        <v>392.72730552993283</v>
      </c>
      <c r="AA41" s="94" t="str">
        <f t="shared" si="19"/>
        <v>OK</v>
      </c>
      <c r="AB41" s="298">
        <f t="shared" si="20"/>
        <v>3.393182950678129</v>
      </c>
    </row>
    <row r="42" spans="1:28" ht="12" customHeight="1" x14ac:dyDescent="0.45">
      <c r="A42" s="75">
        <v>19</v>
      </c>
      <c r="B42" s="75" t="s">
        <v>276</v>
      </c>
      <c r="C42" s="91" t="s">
        <v>195</v>
      </c>
      <c r="D42" s="91"/>
      <c r="E42" s="304">
        <v>6</v>
      </c>
      <c r="F42" s="92">
        <f t="shared" si="17"/>
        <v>8.4</v>
      </c>
      <c r="G42" s="79">
        <v>0</v>
      </c>
      <c r="H42" s="79">
        <v>0</v>
      </c>
      <c r="I42" s="79">
        <v>0</v>
      </c>
      <c r="J42" s="79">
        <f t="shared" si="14"/>
        <v>67.835364999999996</v>
      </c>
      <c r="K42" s="79">
        <v>0</v>
      </c>
      <c r="L42" s="76">
        <f t="shared" si="15"/>
        <v>74.618901500000007</v>
      </c>
      <c r="M42" s="76" cm="1">
        <f t="array" ref="M42">Profile_SM(C42,P42*1000,12)/10^3</f>
        <v>482.64811540310143</v>
      </c>
      <c r="N42" s="76" cm="1">
        <f t="array" ref="N42">Profile_ShearArea(C42,P42,12)</f>
        <v>2500</v>
      </c>
      <c r="O42" s="92">
        <v>2.5099999999999998</v>
      </c>
      <c r="P42" s="92">
        <v>0.7</v>
      </c>
      <c r="Q42" s="79">
        <v>1</v>
      </c>
      <c r="R42" s="79">
        <v>355</v>
      </c>
      <c r="S42" s="308">
        <f t="shared" si="9"/>
        <v>67.316902935460774</v>
      </c>
      <c r="T42" s="79">
        <v>0</v>
      </c>
      <c r="U42" s="79">
        <v>55.6</v>
      </c>
      <c r="V42" s="79">
        <f t="shared" si="10"/>
        <v>117.49742729448269</v>
      </c>
      <c r="W42" s="76">
        <f t="shared" si="13"/>
        <v>205.22984543279</v>
      </c>
      <c r="X42" s="76">
        <f t="shared" si="11"/>
        <v>182.11762359469677</v>
      </c>
      <c r="Y42" s="76">
        <f t="shared" si="18"/>
        <v>133.62033928518468</v>
      </c>
      <c r="Z42" s="76">
        <f t="shared" si="16"/>
        <v>359.94706977748456</v>
      </c>
      <c r="AA42" s="94" t="str">
        <f t="shared" si="19"/>
        <v>OK</v>
      </c>
      <c r="AB42" s="298">
        <f t="shared" si="20"/>
        <v>3.6120856898364098</v>
      </c>
    </row>
    <row r="43" spans="1:28" ht="12" customHeight="1" x14ac:dyDescent="0.45">
      <c r="A43" s="75">
        <v>20</v>
      </c>
      <c r="B43" s="75" t="s">
        <v>276</v>
      </c>
      <c r="C43" s="91" t="s">
        <v>195</v>
      </c>
      <c r="D43" s="91"/>
      <c r="E43" s="304">
        <v>6</v>
      </c>
      <c r="F43" s="92">
        <f t="shared" si="17"/>
        <v>9.1</v>
      </c>
      <c r="G43" s="79">
        <v>0</v>
      </c>
      <c r="H43" s="79">
        <v>0</v>
      </c>
      <c r="I43" s="79">
        <v>0</v>
      </c>
      <c r="J43" s="79">
        <f t="shared" ref="J43:J65" si="21">1.025*9.81*(($F$10+0.76)-F43)+25</f>
        <v>60.796690000000005</v>
      </c>
      <c r="K43" s="79">
        <v>0</v>
      </c>
      <c r="L43" s="76">
        <f t="shared" ref="L43:L65" si="22">J43*$F$19+K43*$F$18</f>
        <v>66.876359000000008</v>
      </c>
      <c r="M43" s="76" cm="1">
        <f t="array" ref="M43">Profile_SM(C43,P43*1000,12)/10^3</f>
        <v>482.64811540310143</v>
      </c>
      <c r="N43" s="76" cm="1">
        <f t="array" ref="N43">Profile_ShearArea(C43,P43,12)</f>
        <v>2500</v>
      </c>
      <c r="O43" s="92">
        <v>2.5099999999999998</v>
      </c>
      <c r="P43" s="92">
        <v>0.7</v>
      </c>
      <c r="Q43" s="79">
        <v>1</v>
      </c>
      <c r="R43" s="79">
        <v>355</v>
      </c>
      <c r="S43" s="308">
        <f t="shared" si="2"/>
        <v>87.724799018103695</v>
      </c>
      <c r="T43" s="79">
        <v>0</v>
      </c>
      <c r="U43" s="79">
        <v>52.999999999999901</v>
      </c>
      <c r="V43" s="79">
        <f t="shared" si="10"/>
        <v>126.97495958954528</v>
      </c>
      <c r="W43" s="76">
        <f t="shared" si="13"/>
        <v>195.75231313772741</v>
      </c>
      <c r="X43" s="76">
        <f t="shared" ref="X43:X53" si="23">0.577*SQRT((R43/$F$7)^2-S43^2)</f>
        <v>179.20216660920434</v>
      </c>
      <c r="Y43" s="76">
        <f t="shared" si="18"/>
        <v>125.55382692873705</v>
      </c>
      <c r="Z43" s="76">
        <f t="shared" si="16"/>
        <v>327.84693674837735</v>
      </c>
      <c r="AA43" s="94" t="str">
        <f t="shared" si="19"/>
        <v>OK</v>
      </c>
      <c r="AB43" s="298">
        <f t="shared" si="20"/>
        <v>3.8441529598062121</v>
      </c>
    </row>
    <row r="44" spans="1:28" ht="12" customHeight="1" x14ac:dyDescent="0.45">
      <c r="A44" s="75">
        <v>21</v>
      </c>
      <c r="B44" s="75" t="s">
        <v>276</v>
      </c>
      <c r="C44" s="91" t="s">
        <v>195</v>
      </c>
      <c r="D44" s="91"/>
      <c r="E44" s="304">
        <v>6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21"/>
        <v>53.758015000000015</v>
      </c>
      <c r="K44" s="79">
        <v>0</v>
      </c>
      <c r="L44" s="76">
        <f t="shared" si="22"/>
        <v>59.133816500000023</v>
      </c>
      <c r="M44" s="76" cm="1">
        <f t="array" ref="M44">Profile_SM(C44,P44*1000,12)/10^3</f>
        <v>482.64811540310143</v>
      </c>
      <c r="N44" s="76" cm="1">
        <f t="array" ref="N44">Profile_ShearArea(C44,P44,12)</f>
        <v>2500</v>
      </c>
      <c r="O44" s="92">
        <v>2.5099999999999998</v>
      </c>
      <c r="P44" s="92">
        <v>0.7</v>
      </c>
      <c r="Q44" s="79">
        <v>1</v>
      </c>
      <c r="R44" s="79">
        <v>355</v>
      </c>
      <c r="S44" s="308">
        <f t="shared" si="2"/>
        <v>108.13269510074662</v>
      </c>
      <c r="T44" s="79">
        <v>0</v>
      </c>
      <c r="U44" s="79">
        <v>49.9</v>
      </c>
      <c r="V44" s="79">
        <f t="shared" si="10"/>
        <v>138.42943960643282</v>
      </c>
      <c r="W44" s="76">
        <f t="shared" si="13"/>
        <v>184.29783312083987</v>
      </c>
      <c r="X44" s="76">
        <f t="shared" si="23"/>
        <v>175.44995352340143</v>
      </c>
      <c r="Y44" s="76">
        <f t="shared" si="18"/>
        <v>117.91794913163048</v>
      </c>
      <c r="Z44" s="76">
        <f t="shared" si="16"/>
        <v>296.09046199217755</v>
      </c>
      <c r="AA44" s="94" t="str">
        <f t="shared" si="19"/>
        <v>OK</v>
      </c>
      <c r="AB44" s="298">
        <f t="shared" si="20"/>
        <v>4.0930843773777541</v>
      </c>
    </row>
    <row r="45" spans="1:28" ht="12" customHeight="1" x14ac:dyDescent="0.45">
      <c r="A45" s="75">
        <v>22</v>
      </c>
      <c r="B45" s="75" t="s">
        <v>276</v>
      </c>
      <c r="C45" s="91" t="s">
        <v>195</v>
      </c>
      <c r="D45" s="91"/>
      <c r="E45" s="304">
        <v>6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ref="J45:J46" si="24">1.025*9.81*(($F$10+0.76)-F45)</f>
        <v>21.719340000000017</v>
      </c>
      <c r="K45" s="79">
        <v>1</v>
      </c>
      <c r="L45" s="76">
        <f t="shared" ref="L45:L46" si="25">J45*$F$18</f>
        <v>29.321109000000025</v>
      </c>
      <c r="M45" s="76" cm="1">
        <f t="array" ref="M45">Profile_SM(C45,P45*1000,12)/10^3</f>
        <v>482.64811540310143</v>
      </c>
      <c r="N45" s="76" cm="1">
        <f t="array" ref="N45">Profile_ShearArea(C45,P45,12)</f>
        <v>2500</v>
      </c>
      <c r="O45" s="92">
        <v>2.5099999999999998</v>
      </c>
      <c r="P45" s="92">
        <v>0.7</v>
      </c>
      <c r="Q45" s="79">
        <v>1</v>
      </c>
      <c r="R45" s="79">
        <v>355</v>
      </c>
      <c r="S45" s="308">
        <f t="shared" si="2"/>
        <v>128.54059118338952</v>
      </c>
      <c r="T45" s="79">
        <v>0</v>
      </c>
      <c r="U45" s="79">
        <v>46.1</v>
      </c>
      <c r="V45" s="79">
        <f t="shared" si="10"/>
        <v>151.32188731897074</v>
      </c>
      <c r="W45" s="76">
        <f t="shared" si="13"/>
        <v>171.40538540830195</v>
      </c>
      <c r="X45" s="76">
        <f t="shared" si="23"/>
        <v>170.80584839393447</v>
      </c>
      <c r="Y45" s="76">
        <f t="shared" si="18"/>
        <v>62.866627974575813</v>
      </c>
      <c r="Z45" s="76">
        <f t="shared" si="16"/>
        <v>150.80627799753219</v>
      </c>
      <c r="AA45" s="94" t="str">
        <f t="shared" si="19"/>
        <v>OK</v>
      </c>
      <c r="AB45" s="298">
        <f t="shared" si="20"/>
        <v>7.6773342384180587</v>
      </c>
    </row>
    <row r="46" spans="1:28" ht="12" customHeight="1" x14ac:dyDescent="0.45">
      <c r="A46" s="75">
        <v>23</v>
      </c>
      <c r="B46" s="75" t="s">
        <v>276</v>
      </c>
      <c r="C46" s="91" t="s">
        <v>264</v>
      </c>
      <c r="D46" s="91"/>
      <c r="E46" s="304">
        <v>6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24"/>
        <v>14.680665000000026</v>
      </c>
      <c r="K46" s="79">
        <v>2</v>
      </c>
      <c r="L46" s="76">
        <f t="shared" si="25"/>
        <v>19.818897750000037</v>
      </c>
      <c r="M46" s="76" cm="1">
        <f t="array" ref="M46">Profile_SM(C46,P46*1000,12)/10^3</f>
        <v>921.80062112577377</v>
      </c>
      <c r="N46" s="76" cm="1">
        <f t="array" ref="N46">Profile_ShearArea(C46,P46,12)</f>
        <v>4200</v>
      </c>
      <c r="O46" s="92">
        <v>2.5099999999999998</v>
      </c>
      <c r="P46" s="92">
        <v>0.7</v>
      </c>
      <c r="Q46" s="79">
        <v>1</v>
      </c>
      <c r="R46" s="79">
        <v>355</v>
      </c>
      <c r="S46" s="308">
        <f t="shared" si="2"/>
        <v>148.94848726603243</v>
      </c>
      <c r="T46" s="79">
        <v>0</v>
      </c>
      <c r="U46" s="79">
        <v>32.299999999999997</v>
      </c>
      <c r="V46" s="79">
        <f t="shared" si="10"/>
        <v>159.10852226967424</v>
      </c>
      <c r="W46" s="76">
        <f t="shared" si="13"/>
        <v>163.61875045759845</v>
      </c>
      <c r="X46" s="76">
        <f t="shared" si="23"/>
        <v>165.19464725001544</v>
      </c>
      <c r="Y46" s="76">
        <f t="shared" si="18"/>
        <v>44.515439171804516</v>
      </c>
      <c r="Z46" s="76">
        <f t="shared" si="16"/>
        <v>105.39628228403994</v>
      </c>
      <c r="AA46" s="94" t="str">
        <f t="shared" si="19"/>
        <v>OK</v>
      </c>
      <c r="AB46" s="298">
        <f t="shared" si="20"/>
        <v>20.707436302450994</v>
      </c>
    </row>
    <row r="47" spans="1:28" ht="12" customHeight="1" x14ac:dyDescent="0.45">
      <c r="A47" s="96">
        <v>1</v>
      </c>
      <c r="B47" s="96" t="s">
        <v>277</v>
      </c>
      <c r="C47" s="104" t="s">
        <v>197</v>
      </c>
      <c r="D47" s="97"/>
      <c r="E47" s="305">
        <v>0.75</v>
      </c>
      <c r="F47" s="98">
        <f t="shared" ref="F47" si="26">F44+0.7</f>
        <v>10.499999999999998</v>
      </c>
      <c r="G47" s="99">
        <v>0</v>
      </c>
      <c r="H47" s="99">
        <v>0</v>
      </c>
      <c r="I47" s="99">
        <v>0</v>
      </c>
      <c r="J47" s="99">
        <f t="shared" si="21"/>
        <v>46.719340000000017</v>
      </c>
      <c r="K47" s="99">
        <v>0</v>
      </c>
      <c r="L47" s="100">
        <f>J47*$F$19+K47*$F$18</f>
        <v>51.391274000000024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309">
        <f t="shared" si="2"/>
        <v>128.54059118338952</v>
      </c>
      <c r="T47" s="99">
        <v>0</v>
      </c>
      <c r="U47" s="99">
        <v>-12.6</v>
      </c>
      <c r="V47" s="99">
        <f t="shared" si="10"/>
        <v>130.38007356101343</v>
      </c>
      <c r="W47" s="100">
        <f t="shared" si="13"/>
        <v>192.34719916625926</v>
      </c>
      <c r="X47" s="100">
        <f t="shared" si="23"/>
        <v>170.80584839393447</v>
      </c>
      <c r="Y47" s="100">
        <f t="shared" si="18"/>
        <v>267.17973655326756</v>
      </c>
      <c r="Z47" s="100">
        <f t="shared" si="16"/>
        <v>451.31306524242814</v>
      </c>
      <c r="AA47" s="102" t="str">
        <f t="shared" si="19"/>
        <v>OK</v>
      </c>
      <c r="AB47" s="299">
        <f t="shared" si="20"/>
        <v>3.4693179935535214</v>
      </c>
    </row>
    <row r="48" spans="1:28" ht="12" customHeight="1" x14ac:dyDescent="0.45">
      <c r="A48" s="96">
        <v>2</v>
      </c>
      <c r="B48" s="96" t="s">
        <v>277</v>
      </c>
      <c r="C48" s="104" t="s">
        <v>197</v>
      </c>
      <c r="D48" s="97"/>
      <c r="E48" s="305">
        <v>1.5</v>
      </c>
      <c r="F48" s="98">
        <v>10.5</v>
      </c>
      <c r="G48" s="99">
        <v>0</v>
      </c>
      <c r="H48" s="99">
        <v>0</v>
      </c>
      <c r="I48" s="99">
        <v>0</v>
      </c>
      <c r="J48" s="99">
        <f t="shared" si="21"/>
        <v>46.719340000000003</v>
      </c>
      <c r="K48" s="99">
        <v>0</v>
      </c>
      <c r="L48" s="100">
        <f t="shared" si="22"/>
        <v>51.39127400000001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309">
        <f t="shared" si="2"/>
        <v>128.54059118338961</v>
      </c>
      <c r="T48" s="99">
        <v>0</v>
      </c>
      <c r="U48" s="99">
        <v>-6.7</v>
      </c>
      <c r="V48" s="99">
        <f t="shared" si="10"/>
        <v>129.06337041072226</v>
      </c>
      <c r="W48" s="100">
        <f t="shared" si="13"/>
        <v>193.66390231655043</v>
      </c>
      <c r="X48" s="100">
        <f t="shared" si="23"/>
        <v>170.80584839393444</v>
      </c>
      <c r="Y48" s="100">
        <f t="shared" si="18"/>
        <v>265.36320597319769</v>
      </c>
      <c r="Z48" s="100">
        <f t="shared" si="16"/>
        <v>451.31306524242814</v>
      </c>
      <c r="AA48" s="102" t="str">
        <f t="shared" si="19"/>
        <v>OK</v>
      </c>
      <c r="AB48" s="299">
        <f t="shared" si="20"/>
        <v>3.493067036696726</v>
      </c>
    </row>
    <row r="49" spans="1:28" ht="12" customHeight="1" x14ac:dyDescent="0.45">
      <c r="A49" s="96">
        <v>3</v>
      </c>
      <c r="B49" s="96" t="s">
        <v>277</v>
      </c>
      <c r="C49" s="104" t="s">
        <v>197</v>
      </c>
      <c r="D49" s="97"/>
      <c r="E49" s="305">
        <v>2.25</v>
      </c>
      <c r="F49" s="98">
        <v>10.5</v>
      </c>
      <c r="G49" s="99">
        <v>0</v>
      </c>
      <c r="H49" s="99">
        <v>0</v>
      </c>
      <c r="I49" s="99">
        <v>0</v>
      </c>
      <c r="J49" s="99">
        <f t="shared" si="21"/>
        <v>46.719340000000003</v>
      </c>
      <c r="K49" s="99">
        <v>0</v>
      </c>
      <c r="L49" s="100">
        <f t="shared" si="22"/>
        <v>51.39127400000001</v>
      </c>
      <c r="M49" s="100" cm="1">
        <f t="array" ref="M49">Profile_SM(C49,P49*1000,12)/10^3</f>
        <v>926.93146753714063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309">
        <f t="shared" si="2"/>
        <v>128.54059118338961</v>
      </c>
      <c r="T49" s="99">
        <v>0</v>
      </c>
      <c r="U49" s="99">
        <v>-0.8</v>
      </c>
      <c r="V49" s="99">
        <f t="shared" si="10"/>
        <v>128.54805942438531</v>
      </c>
      <c r="W49" s="100">
        <f t="shared" si="13"/>
        <v>194.17921330288738</v>
      </c>
      <c r="X49" s="100">
        <f t="shared" si="23"/>
        <v>170.80584839393444</v>
      </c>
      <c r="Y49" s="100">
        <f t="shared" si="18"/>
        <v>264.6589875706116</v>
      </c>
      <c r="Z49" s="100">
        <f t="shared" si="16"/>
        <v>451.31306524242814</v>
      </c>
      <c r="AA49" s="102" t="str">
        <f t="shared" si="19"/>
        <v>OK</v>
      </c>
      <c r="AB49" s="299">
        <f t="shared" si="20"/>
        <v>3.502361571189164</v>
      </c>
    </row>
    <row r="50" spans="1:28" ht="12" customHeight="1" x14ac:dyDescent="0.45">
      <c r="A50" s="96">
        <v>4</v>
      </c>
      <c r="B50" s="96" t="s">
        <v>277</v>
      </c>
      <c r="C50" s="104" t="s">
        <v>197</v>
      </c>
      <c r="D50" s="97"/>
      <c r="E50" s="305">
        <v>3</v>
      </c>
      <c r="F50" s="98">
        <v>10.5</v>
      </c>
      <c r="G50" s="99">
        <v>0</v>
      </c>
      <c r="H50" s="99">
        <v>0</v>
      </c>
      <c r="I50" s="99">
        <v>0</v>
      </c>
      <c r="J50" s="99">
        <f t="shared" si="21"/>
        <v>46.719340000000003</v>
      </c>
      <c r="K50" s="99">
        <v>0</v>
      </c>
      <c r="L50" s="100">
        <f t="shared" si="22"/>
        <v>51.39127400000001</v>
      </c>
      <c r="M50" s="100" cm="1">
        <f t="array" ref="M50">Profile_SM(C50,P50*1000,12)/10^3</f>
        <v>926.93146753714063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309">
        <f t="shared" si="2"/>
        <v>128.54059118338961</v>
      </c>
      <c r="T50" s="99">
        <v>0</v>
      </c>
      <c r="U50" s="99">
        <v>5.0999999999999996</v>
      </c>
      <c r="V50" s="99">
        <f t="shared" si="10"/>
        <v>128.84375647184189</v>
      </c>
      <c r="W50" s="100">
        <f t="shared" si="13"/>
        <v>193.88351625543081</v>
      </c>
      <c r="X50" s="100">
        <f t="shared" si="23"/>
        <v>170.80584839393444</v>
      </c>
      <c r="Y50" s="100">
        <f t="shared" si="18"/>
        <v>265.06262622292678</v>
      </c>
      <c r="Z50" s="100">
        <f t="shared" si="16"/>
        <v>451.31306524242814</v>
      </c>
      <c r="AA50" s="102" t="str">
        <f t="shared" si="19"/>
        <v>OK</v>
      </c>
      <c r="AB50" s="299">
        <f t="shared" si="20"/>
        <v>3.4970281580080602</v>
      </c>
    </row>
    <row r="51" spans="1:28" ht="12" customHeight="1" x14ac:dyDescent="0.45">
      <c r="A51" s="96">
        <v>5</v>
      </c>
      <c r="B51" s="96" t="s">
        <v>277</v>
      </c>
      <c r="C51" s="104" t="s">
        <v>197</v>
      </c>
      <c r="D51" s="97"/>
      <c r="E51" s="305">
        <v>3.75</v>
      </c>
      <c r="F51" s="98">
        <v>10.5</v>
      </c>
      <c r="G51" s="99">
        <v>0</v>
      </c>
      <c r="H51" s="99">
        <v>0</v>
      </c>
      <c r="I51" s="99">
        <v>0</v>
      </c>
      <c r="J51" s="99">
        <f t="shared" si="21"/>
        <v>46.719340000000003</v>
      </c>
      <c r="K51" s="99">
        <v>0</v>
      </c>
      <c r="L51" s="100">
        <f t="shared" si="22"/>
        <v>51.39127400000001</v>
      </c>
      <c r="M51" s="100" cm="1">
        <f t="array" ref="M51">Profile_SM(C51,P51*1000,12)/10^3</f>
        <v>926.93146753714063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309">
        <f t="shared" si="2"/>
        <v>128.54059118338961</v>
      </c>
      <c r="T51" s="99">
        <v>0</v>
      </c>
      <c r="U51" s="99">
        <v>10.9</v>
      </c>
      <c r="V51" s="99">
        <f>SQRT(S51^2+T51^2-S51*T51+3*U51^2)</f>
        <v>129.91964278651361</v>
      </c>
      <c r="W51" s="100">
        <f>(R51/$F$7-V51)</f>
        <v>192.80762994075909</v>
      </c>
      <c r="X51" s="100">
        <f t="shared" si="23"/>
        <v>170.80584839393444</v>
      </c>
      <c r="Y51" s="100">
        <f t="shared" si="18"/>
        <v>266.54170281430345</v>
      </c>
      <c r="Z51" s="100">
        <f t="shared" si="16"/>
        <v>451.31306524242814</v>
      </c>
      <c r="AA51" s="102" t="str">
        <f t="shared" si="19"/>
        <v>OK</v>
      </c>
      <c r="AB51" s="299">
        <f t="shared" si="20"/>
        <v>3.4776226674852571</v>
      </c>
    </row>
    <row r="52" spans="1:28" ht="12" customHeight="1" x14ac:dyDescent="0.45">
      <c r="A52" s="96">
        <v>6</v>
      </c>
      <c r="B52" s="96" t="s">
        <v>277</v>
      </c>
      <c r="C52" s="104" t="s">
        <v>197</v>
      </c>
      <c r="D52" s="97"/>
      <c r="E52" s="305">
        <v>4.5</v>
      </c>
      <c r="F52" s="98">
        <v>10.5</v>
      </c>
      <c r="G52" s="99">
        <v>0</v>
      </c>
      <c r="H52" s="99">
        <v>0</v>
      </c>
      <c r="I52" s="99">
        <v>0</v>
      </c>
      <c r="J52" s="99">
        <f t="shared" si="21"/>
        <v>46.719340000000003</v>
      </c>
      <c r="K52" s="99">
        <v>0</v>
      </c>
      <c r="L52" s="100">
        <f t="shared" si="22"/>
        <v>51.39127400000001</v>
      </c>
      <c r="M52" s="100" cm="1">
        <f t="array" ref="M52">Profile_SM(C52,P52*1000,12)/10^3</f>
        <v>926.93146753714063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309">
        <f t="shared" si="2"/>
        <v>128.54059118338961</v>
      </c>
      <c r="T52" s="99">
        <v>0</v>
      </c>
      <c r="U52" s="99">
        <v>16.8</v>
      </c>
      <c r="V52" s="99">
        <f>SQRT(S52^2+T52^2)</f>
        <v>128.54059118338961</v>
      </c>
      <c r="W52" s="100">
        <f t="shared" si="13"/>
        <v>194.18668154388308</v>
      </c>
      <c r="X52" s="100">
        <f t="shared" si="23"/>
        <v>170.80584839393444</v>
      </c>
      <c r="Y52" s="100">
        <f t="shared" si="18"/>
        <v>264.6488090296059</v>
      </c>
      <c r="Z52" s="100">
        <f t="shared" si="16"/>
        <v>451.31306524242814</v>
      </c>
      <c r="AA52" s="102" t="str">
        <f t="shared" si="19"/>
        <v>OK</v>
      </c>
      <c r="AB52" s="299">
        <f t="shared" si="20"/>
        <v>3.5024962739713144</v>
      </c>
    </row>
    <row r="53" spans="1:28" ht="12" customHeight="1" x14ac:dyDescent="0.45">
      <c r="A53" s="96">
        <v>7</v>
      </c>
      <c r="B53" s="96" t="s">
        <v>277</v>
      </c>
      <c r="C53" s="104" t="s">
        <v>197</v>
      </c>
      <c r="D53" s="97"/>
      <c r="E53" s="305">
        <v>5.25</v>
      </c>
      <c r="F53" s="98">
        <v>10.5</v>
      </c>
      <c r="G53" s="99">
        <v>0</v>
      </c>
      <c r="H53" s="99">
        <v>0</v>
      </c>
      <c r="I53" s="99">
        <v>0</v>
      </c>
      <c r="J53" s="99">
        <f t="shared" si="21"/>
        <v>46.719340000000003</v>
      </c>
      <c r="K53" s="99">
        <v>0</v>
      </c>
      <c r="L53" s="100">
        <f t="shared" si="22"/>
        <v>51.39127400000001</v>
      </c>
      <c r="M53" s="100" cm="1">
        <f t="array" ref="M53">Profile_SM(C53,P53*1000,12)/10^3</f>
        <v>926.93146753714063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309">
        <f t="shared" si="2"/>
        <v>128.54059118338961</v>
      </c>
      <c r="T53" s="99">
        <v>0</v>
      </c>
      <c r="U53" s="99">
        <v>22.7</v>
      </c>
      <c r="V53" s="99">
        <f>SQRT(S53^2+T53^2)</f>
        <v>128.54059118338961</v>
      </c>
      <c r="W53" s="100">
        <f t="shared" si="13"/>
        <v>194.18668154388308</v>
      </c>
      <c r="X53" s="100">
        <f t="shared" si="23"/>
        <v>170.80584839393444</v>
      </c>
      <c r="Y53" s="100">
        <f t="shared" si="18"/>
        <v>264.6488090296059</v>
      </c>
      <c r="Z53" s="100">
        <f t="shared" si="16"/>
        <v>451.31306524242814</v>
      </c>
      <c r="AA53" s="102" t="str">
        <f t="shared" si="19"/>
        <v>OK</v>
      </c>
      <c r="AB53" s="299">
        <f t="shared" si="20"/>
        <v>3.5024962739713144</v>
      </c>
    </row>
    <row r="54" spans="1:28" ht="12" customHeight="1" x14ac:dyDescent="0.45">
      <c r="A54" s="105">
        <v>8</v>
      </c>
      <c r="B54" s="105" t="s">
        <v>278</v>
      </c>
      <c r="C54" s="307" t="s">
        <v>198</v>
      </c>
      <c r="D54" s="307"/>
      <c r="E54" s="306">
        <v>0</v>
      </c>
      <c r="F54" s="107">
        <v>0.7</v>
      </c>
      <c r="G54" s="108">
        <v>0</v>
      </c>
      <c r="H54" s="108">
        <v>0</v>
      </c>
      <c r="I54" s="108">
        <v>0</v>
      </c>
      <c r="J54" s="108">
        <f t="shared" si="21"/>
        <v>145.26078999999999</v>
      </c>
      <c r="K54" s="108">
        <v>0</v>
      </c>
      <c r="L54" s="109">
        <f t="shared" si="22"/>
        <v>159.786869</v>
      </c>
      <c r="M54" s="109" cm="1">
        <f t="array" ref="M54">Profile_SM(C54,P54*1000,12)/10^3</f>
        <v>1173.9558953306662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310">
        <f t="shared" si="2"/>
        <v>157.16995397361151</v>
      </c>
      <c r="T54" s="108">
        <v>0</v>
      </c>
      <c r="U54" s="108">
        <v>-44.9709996922522</v>
      </c>
      <c r="V54" s="108">
        <f t="shared" ref="V54:V59" si="27">SQRT(S54^2+T54^2-S54*T54+3*U54^2)</f>
        <v>175.41256189916618</v>
      </c>
      <c r="W54" s="109">
        <f t="shared" ref="W54:W59" si="28">(R54/$F$7-V54)</f>
        <v>147.31471082810651</v>
      </c>
      <c r="X54" s="109">
        <f t="shared" ref="X54:X59" si="29">0.577*SQRT((R54/$F$7)^2-S54^2)</f>
        <v>162.63878655442218</v>
      </c>
      <c r="Y54" s="109">
        <f t="shared" si="18"/>
        <v>1012.3524679126136</v>
      </c>
      <c r="Z54" s="109">
        <f t="shared" si="16"/>
        <v>1375.4506003101849</v>
      </c>
      <c r="AA54" s="111" t="str">
        <f t="shared" si="19"/>
        <v>OK</v>
      </c>
      <c r="AB54" s="300">
        <f t="shared" si="20"/>
        <v>1.1596315834061879</v>
      </c>
    </row>
    <row r="55" spans="1:28" ht="12" customHeight="1" x14ac:dyDescent="0.45">
      <c r="A55" s="105">
        <v>9</v>
      </c>
      <c r="B55" s="105" t="s">
        <v>278</v>
      </c>
      <c r="C55" s="307" t="s">
        <v>198</v>
      </c>
      <c r="D55" s="307"/>
      <c r="E55" s="306">
        <v>0</v>
      </c>
      <c r="F55" s="107">
        <f>F54+0.7</f>
        <v>1.4</v>
      </c>
      <c r="G55" s="108">
        <v>0</v>
      </c>
      <c r="H55" s="108">
        <v>0</v>
      </c>
      <c r="I55" s="108">
        <v>0</v>
      </c>
      <c r="J55" s="108">
        <f t="shared" si="21"/>
        <v>138.22211499999997</v>
      </c>
      <c r="K55" s="108">
        <v>0</v>
      </c>
      <c r="L55" s="109">
        <f t="shared" si="22"/>
        <v>152.04432649999998</v>
      </c>
      <c r="M55" s="109" cm="1">
        <f t="array" ref="M55">Profile_SM(C55,P55*1000,12)/10^3</f>
        <v>1173.9558953306662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310">
        <f t="shared" si="2"/>
        <v>136.76205789096863</v>
      </c>
      <c r="T55" s="108">
        <v>0</v>
      </c>
      <c r="U55" s="108">
        <v>-50.325999431170104</v>
      </c>
      <c r="V55" s="108">
        <f t="shared" si="27"/>
        <v>162.17884922150316</v>
      </c>
      <c r="W55" s="109">
        <f t="shared" si="28"/>
        <v>160.54842350576953</v>
      </c>
      <c r="X55" s="109">
        <f t="shared" si="29"/>
        <v>168.66671515891292</v>
      </c>
      <c r="Y55" s="109">
        <f t="shared" si="18"/>
        <v>883.89555604429199</v>
      </c>
      <c r="Z55" s="109">
        <f t="shared" si="16"/>
        <v>1262.0276436844545</v>
      </c>
      <c r="AA55" s="111" t="str">
        <f t="shared" si="19"/>
        <v>OK</v>
      </c>
      <c r="AB55" s="300">
        <f t="shared" si="20"/>
        <v>1.3281613277755175</v>
      </c>
    </row>
    <row r="56" spans="1:28" ht="12" customHeight="1" x14ac:dyDescent="0.45">
      <c r="A56" s="105">
        <v>10</v>
      </c>
      <c r="B56" s="105" t="s">
        <v>278</v>
      </c>
      <c r="C56" s="307" t="s">
        <v>197</v>
      </c>
      <c r="D56" s="307"/>
      <c r="E56" s="306">
        <v>0</v>
      </c>
      <c r="F56" s="107">
        <f t="shared" ref="F56:F66" si="30">F55+0.7</f>
        <v>2.0999999999999996</v>
      </c>
      <c r="G56" s="108">
        <v>0</v>
      </c>
      <c r="H56" s="108">
        <v>0</v>
      </c>
      <c r="I56" s="108">
        <v>0</v>
      </c>
      <c r="J56" s="108">
        <f t="shared" si="21"/>
        <v>131.18343999999999</v>
      </c>
      <c r="K56" s="108">
        <v>0</v>
      </c>
      <c r="L56" s="109">
        <f t="shared" si="22"/>
        <v>144.301784</v>
      </c>
      <c r="M56" s="109" cm="1">
        <f t="array" ref="M56">Profile_SM(C56,P56*1000,12)/10^3</f>
        <v>921.80062112577377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310">
        <f t="shared" si="2"/>
        <v>116.35416180832569</v>
      </c>
      <c r="T56" s="108">
        <v>0</v>
      </c>
      <c r="U56" s="108">
        <v>-54.572244909442198</v>
      </c>
      <c r="V56" s="108">
        <f t="shared" si="27"/>
        <v>149.90890805247852</v>
      </c>
      <c r="W56" s="109">
        <f t="shared" si="28"/>
        <v>172.81836467479417</v>
      </c>
      <c r="X56" s="109">
        <f t="shared" si="29"/>
        <v>173.69003625245219</v>
      </c>
      <c r="Y56" s="109">
        <f t="shared" si="18"/>
        <v>779.32495959042126</v>
      </c>
      <c r="Z56" s="109">
        <f t="shared" si="16"/>
        <v>1163.120821198791</v>
      </c>
      <c r="AA56" s="111" t="str">
        <f t="shared" si="19"/>
        <v>OK</v>
      </c>
      <c r="AB56" s="300">
        <f t="shared" si="20"/>
        <v>1.1828193230333999</v>
      </c>
    </row>
    <row r="57" spans="1:28" ht="12" customHeight="1" x14ac:dyDescent="0.45">
      <c r="A57" s="105">
        <v>11</v>
      </c>
      <c r="B57" s="105" t="s">
        <v>278</v>
      </c>
      <c r="C57" s="307" t="s">
        <v>199</v>
      </c>
      <c r="D57" s="307"/>
      <c r="E57" s="306">
        <v>0</v>
      </c>
      <c r="F57" s="107">
        <f t="shared" si="30"/>
        <v>2.8</v>
      </c>
      <c r="G57" s="108">
        <v>0</v>
      </c>
      <c r="H57" s="108">
        <v>0</v>
      </c>
      <c r="I57" s="108">
        <v>0</v>
      </c>
      <c r="J57" s="108">
        <f t="shared" si="21"/>
        <v>124.14476499999999</v>
      </c>
      <c r="K57" s="108">
        <v>0</v>
      </c>
      <c r="L57" s="109">
        <f t="shared" si="22"/>
        <v>136.55924150000001</v>
      </c>
      <c r="M57" s="109" cm="1">
        <f t="array" ref="M57">Profile_SM(C57,P57*1000,12)/10^3</f>
        <v>714.81266231145048</v>
      </c>
      <c r="N57" s="109" cm="1">
        <f t="array" ref="N57">Profile_ShearArea(C57,P57,12)</f>
        <v>3900</v>
      </c>
      <c r="O57" s="107">
        <v>4</v>
      </c>
      <c r="P57" s="107">
        <v>0.7</v>
      </c>
      <c r="Q57" s="108">
        <v>1</v>
      </c>
      <c r="R57" s="108">
        <v>355</v>
      </c>
      <c r="S57" s="310">
        <f t="shared" si="2"/>
        <v>95.946265725682721</v>
      </c>
      <c r="T57" s="108">
        <v>0</v>
      </c>
      <c r="U57" s="108">
        <v>-56.247812153950598</v>
      </c>
      <c r="V57" s="108">
        <f t="shared" si="27"/>
        <v>136.73746751721583</v>
      </c>
      <c r="W57" s="109">
        <f t="shared" si="28"/>
        <v>185.98980521005686</v>
      </c>
      <c r="X57" s="109">
        <f t="shared" si="29"/>
        <v>177.79392161864183</v>
      </c>
      <c r="Y57" s="109">
        <f t="shared" si="18"/>
        <v>685.28106646877052</v>
      </c>
      <c r="Z57" s="109">
        <f t="shared" si="16"/>
        <v>1075.306379202754</v>
      </c>
      <c r="AA57" s="111" t="str">
        <f t="shared" si="19"/>
        <v>OK</v>
      </c>
      <c r="AB57" s="300">
        <f t="shared" si="20"/>
        <v>1.0430941365341599</v>
      </c>
    </row>
    <row r="58" spans="1:28" ht="12" customHeight="1" x14ac:dyDescent="0.45">
      <c r="A58" s="105">
        <v>12</v>
      </c>
      <c r="B58" s="105" t="s">
        <v>278</v>
      </c>
      <c r="C58" s="307" t="s">
        <v>200</v>
      </c>
      <c r="D58" s="307"/>
      <c r="E58" s="306">
        <v>0</v>
      </c>
      <c r="F58" s="107">
        <f t="shared" si="30"/>
        <v>3.5</v>
      </c>
      <c r="G58" s="108">
        <v>0</v>
      </c>
      <c r="H58" s="108">
        <v>0</v>
      </c>
      <c r="I58" s="108">
        <v>0</v>
      </c>
      <c r="J58" s="108">
        <f t="shared" si="21"/>
        <v>117.10608999999999</v>
      </c>
      <c r="K58" s="108">
        <v>0</v>
      </c>
      <c r="L58" s="109">
        <f t="shared" si="22"/>
        <v>128.816699</v>
      </c>
      <c r="M58" s="109" cm="1">
        <f t="array" ref="M58">Profile_SM(C58,P58*1000,12)/10^3</f>
        <v>658.37622081916322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310">
        <f t="shared" si="2"/>
        <v>75.5383696430398</v>
      </c>
      <c r="T58" s="108">
        <v>0</v>
      </c>
      <c r="U58" s="108">
        <v>-58.062572283693299</v>
      </c>
      <c r="V58" s="108">
        <f t="shared" si="27"/>
        <v>125.77691437193808</v>
      </c>
      <c r="W58" s="109">
        <f t="shared" si="28"/>
        <v>196.95035835533463</v>
      </c>
      <c r="X58" s="109">
        <f t="shared" si="29"/>
        <v>181.04090812844112</v>
      </c>
      <c r="Y58" s="109">
        <f t="shared" si="18"/>
        <v>610.45290839101506</v>
      </c>
      <c r="Z58" s="109">
        <f t="shared" si="16"/>
        <v>996.1471164961996</v>
      </c>
      <c r="AA58" s="111" t="str">
        <f t="shared" si="19"/>
        <v>OK</v>
      </c>
      <c r="AB58" s="300">
        <f t="shared" si="20"/>
        <v>1.0785045197908234</v>
      </c>
    </row>
    <row r="59" spans="1:28" ht="12" customHeight="1" x14ac:dyDescent="0.45">
      <c r="A59" s="105">
        <v>13</v>
      </c>
      <c r="B59" s="105" t="s">
        <v>278</v>
      </c>
      <c r="C59" s="307" t="s">
        <v>200</v>
      </c>
      <c r="D59" s="307"/>
      <c r="E59" s="306">
        <v>0</v>
      </c>
      <c r="F59" s="107">
        <f t="shared" si="30"/>
        <v>4.2</v>
      </c>
      <c r="G59" s="108">
        <v>0</v>
      </c>
      <c r="H59" s="108">
        <v>0</v>
      </c>
      <c r="I59" s="108">
        <v>0</v>
      </c>
      <c r="J59" s="108">
        <f t="shared" si="21"/>
        <v>110.067415</v>
      </c>
      <c r="K59" s="108">
        <v>0</v>
      </c>
      <c r="L59" s="109">
        <f t="shared" si="22"/>
        <v>121.0741565</v>
      </c>
      <c r="M59" s="109" cm="1">
        <f t="array" ref="M59">Profile_SM(C59,P59*1000,12)/10^3</f>
        <v>658.37622081916322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310">
        <f t="shared" si="2"/>
        <v>55.130473560396851</v>
      </c>
      <c r="T59" s="108">
        <v>0</v>
      </c>
      <c r="U59" s="108">
        <v>-59.831287085059103</v>
      </c>
      <c r="V59" s="108">
        <f t="shared" si="27"/>
        <v>117.38278348104502</v>
      </c>
      <c r="W59" s="109">
        <f t="shared" si="28"/>
        <v>205.34448924622768</v>
      </c>
      <c r="X59" s="109">
        <f t="shared" si="29"/>
        <v>183.47649508229352</v>
      </c>
      <c r="Y59" s="109">
        <f t="shared" si="18"/>
        <v>550.30717640133889</v>
      </c>
      <c r="Z59" s="109">
        <f t="shared" si="16"/>
        <v>923.84487192200584</v>
      </c>
      <c r="AA59" s="111" t="str">
        <f t="shared" si="19"/>
        <v>OK</v>
      </c>
      <c r="AB59" s="300">
        <f t="shared" si="20"/>
        <v>1.1963794932214542</v>
      </c>
    </row>
    <row r="60" spans="1:28" ht="12" customHeight="1" x14ac:dyDescent="0.45">
      <c r="A60" s="105">
        <v>14</v>
      </c>
      <c r="B60" s="105" t="s">
        <v>278</v>
      </c>
      <c r="C60" s="328" t="s">
        <v>200</v>
      </c>
      <c r="D60" s="329"/>
      <c r="E60" s="306">
        <v>0</v>
      </c>
      <c r="F60" s="107">
        <f t="shared" si="30"/>
        <v>4.9000000000000004</v>
      </c>
      <c r="G60" s="108">
        <v>0</v>
      </c>
      <c r="H60" s="108">
        <v>0</v>
      </c>
      <c r="I60" s="108">
        <v>0</v>
      </c>
      <c r="J60" s="108">
        <f t="shared" ref="J60" si="31">1.025*9.81*(($F$10+0.76)-F60)+25</f>
        <v>103.02873999999998</v>
      </c>
      <c r="K60" s="108">
        <v>1</v>
      </c>
      <c r="L60" s="109">
        <f t="shared" ref="L60" si="32">J60*$F$19+K60*$F$18</f>
        <v>114.68161399999998</v>
      </c>
      <c r="M60" s="109" cm="1">
        <f t="array" ref="M60">Profile_SM(C60,P60*1000,12)/10^3</f>
        <v>658.37622081916322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310">
        <f t="shared" ref="S60" si="33">$M$11/ABS(($M$12/(F60-$M$13)))/1000</f>
        <v>34.722577477753902</v>
      </c>
      <c r="T60" s="108">
        <v>0</v>
      </c>
      <c r="U60" s="108">
        <v>-61.368718344436601</v>
      </c>
      <c r="V60" s="108">
        <f t="shared" ref="V60" si="34">SQRT(S60^2+T60^2-S60*T60+3*U60^2)</f>
        <v>111.82135824794381</v>
      </c>
      <c r="W60" s="109">
        <f t="shared" ref="W60" si="35">(R60/$F$7-V60)</f>
        <v>210.90591447932889</v>
      </c>
      <c r="X60" s="109">
        <f t="shared" ref="X60" si="36">0.577*SQRT((R60/$F$7)^2-S60^2)</f>
        <v>185.13270931867334</v>
      </c>
      <c r="Y60" s="109">
        <f t="shared" ref="Y60" si="37">O60^2*P60*L60*1000000/($F$8*W60*Q60)/10^3</f>
        <v>507.50673982240255</v>
      </c>
      <c r="Z60" s="109">
        <f t="shared" ref="Z60" si="38">O60*P60*L60*1000/(2*X60)</f>
        <v>867.23875100663111</v>
      </c>
      <c r="AA60" s="111" t="str">
        <f t="shared" ref="AA60" si="39">IF(AND(M60&gt;=Y60,N60&gt;=Z60),"OK","N.G")</f>
        <v>OK</v>
      </c>
      <c r="AB60" s="300">
        <f t="shared" ref="AB60" si="40">M60/Y60</f>
        <v>1.2972758175577257</v>
      </c>
    </row>
    <row r="61" spans="1:28" ht="12" customHeight="1" x14ac:dyDescent="0.45">
      <c r="A61" s="105">
        <v>15</v>
      </c>
      <c r="B61" s="105" t="s">
        <v>278</v>
      </c>
      <c r="C61" s="328" t="s">
        <v>196</v>
      </c>
      <c r="D61" s="329"/>
      <c r="E61" s="306">
        <v>0</v>
      </c>
      <c r="F61" s="107">
        <f t="shared" si="30"/>
        <v>5.6000000000000005</v>
      </c>
      <c r="G61" s="108"/>
      <c r="H61" s="108"/>
      <c r="I61" s="108"/>
      <c r="J61" s="108"/>
      <c r="K61" s="108"/>
      <c r="L61" s="109"/>
      <c r="M61" s="109"/>
      <c r="N61" s="109"/>
      <c r="O61" s="107"/>
      <c r="P61" s="107"/>
      <c r="Q61" s="108"/>
      <c r="R61" s="108"/>
      <c r="S61" s="310"/>
      <c r="T61" s="108"/>
      <c r="U61" s="108">
        <v>-62.489627848214496</v>
      </c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>
        <v>16</v>
      </c>
      <c r="B62" s="105" t="s">
        <v>278</v>
      </c>
      <c r="C62" s="106" t="s">
        <v>201</v>
      </c>
      <c r="D62" s="106"/>
      <c r="E62" s="306">
        <v>0</v>
      </c>
      <c r="F62" s="107">
        <f t="shared" si="30"/>
        <v>6.3000000000000007</v>
      </c>
      <c r="G62" s="108">
        <v>0</v>
      </c>
      <c r="H62" s="108">
        <v>0</v>
      </c>
      <c r="I62" s="108">
        <v>0</v>
      </c>
      <c r="J62" s="108">
        <f t="shared" si="21"/>
        <v>88.951389999999989</v>
      </c>
      <c r="K62" s="108">
        <v>0</v>
      </c>
      <c r="L62" s="109">
        <f t="shared" si="22"/>
        <v>97.84652899999999</v>
      </c>
      <c r="M62" s="109" cm="1">
        <f t="array" ref="M62">Profile_SM(C62,P62*1000,12)/10^3</f>
        <v>482.64811540310143</v>
      </c>
      <c r="N62" s="109" cm="1">
        <f t="array" ref="N62">Profile_ShearArea(C62,P62,12)</f>
        <v>2500</v>
      </c>
      <c r="O62" s="107">
        <v>4</v>
      </c>
      <c r="P62" s="107">
        <v>0.7</v>
      </c>
      <c r="Q62" s="108">
        <v>1</v>
      </c>
      <c r="R62" s="108">
        <v>355</v>
      </c>
      <c r="S62" s="310">
        <f t="shared" ref="S62:S69" si="41">$M$11/ABS(($M$12/(F62-$M$13)))/1000</f>
        <v>6.0932146875319786</v>
      </c>
      <c r="T62" s="108">
        <v>0</v>
      </c>
      <c r="U62" s="108">
        <v>-63.013316577077603</v>
      </c>
      <c r="V62" s="108">
        <f t="shared" ref="V62:V69" si="42">SQRT(S62^2+T62^2-S62*T62+3*U62^2)</f>
        <v>109.31222010076168</v>
      </c>
      <c r="W62" s="109">
        <f t="shared" ref="W62:W69" si="43">(R62/$F$7-V62)</f>
        <v>213.415052626511</v>
      </c>
      <c r="X62" s="109">
        <f t="shared" ref="X62:X65" si="44">0.577*SQRT((R62/$F$7)^2-S62^2)</f>
        <v>186.18044372189948</v>
      </c>
      <c r="Y62" s="109">
        <f t="shared" ref="Y62:Y69" si="45">O62^2*P62*L62*1000000/($F$8*W62*Q62)/10^3</f>
        <v>427.91464773803023</v>
      </c>
      <c r="Z62" s="109">
        <f t="shared" si="16"/>
        <v>735.76546419997101</v>
      </c>
      <c r="AA62" s="111" t="str">
        <f t="shared" ref="AA62:AA69" si="46">IF(AND(M62&gt;=Y62,N62&gt;=Z62),"OK","N.G")</f>
        <v>OK</v>
      </c>
      <c r="AB62" s="300">
        <f t="shared" ref="AB62:AB69" si="47">M62/Y62</f>
        <v>1.1279074412488423</v>
      </c>
    </row>
    <row r="63" spans="1:28" ht="12" customHeight="1" x14ac:dyDescent="0.45">
      <c r="A63" s="105">
        <v>17</v>
      </c>
      <c r="B63" s="105" t="s">
        <v>278</v>
      </c>
      <c r="C63" s="106" t="s">
        <v>195</v>
      </c>
      <c r="D63" s="106"/>
      <c r="E63" s="306">
        <v>0</v>
      </c>
      <c r="F63" s="107">
        <f t="shared" si="30"/>
        <v>7.0000000000000009</v>
      </c>
      <c r="G63" s="108">
        <v>0</v>
      </c>
      <c r="H63" s="108">
        <v>0</v>
      </c>
      <c r="I63" s="108">
        <v>0</v>
      </c>
      <c r="J63" s="108">
        <f t="shared" si="21"/>
        <v>81.912714999999992</v>
      </c>
      <c r="K63" s="108">
        <v>0</v>
      </c>
      <c r="L63" s="109">
        <f t="shared" si="22"/>
        <v>90.103986500000005</v>
      </c>
      <c r="M63" s="109" cm="1">
        <f t="array" ref="M63">Profile_SM(C63,P63*1000,12)/10^3</f>
        <v>482.64811540310143</v>
      </c>
      <c r="N63" s="109" cm="1">
        <f t="array" ref="N63">Profile_ShearArea(C63,P63,12)</f>
        <v>2500</v>
      </c>
      <c r="O63" s="107">
        <v>4</v>
      </c>
      <c r="P63" s="107">
        <v>0.7</v>
      </c>
      <c r="Q63" s="108">
        <v>1</v>
      </c>
      <c r="R63" s="108">
        <v>355</v>
      </c>
      <c r="S63" s="310">
        <f t="shared" si="41"/>
        <v>26.501110770174925</v>
      </c>
      <c r="T63" s="108">
        <v>0</v>
      </c>
      <c r="U63" s="108">
        <v>-62.863486980527497</v>
      </c>
      <c r="V63" s="108">
        <f t="shared" si="42"/>
        <v>112.06142448722456</v>
      </c>
      <c r="W63" s="109">
        <f t="shared" si="43"/>
        <v>210.66584824004815</v>
      </c>
      <c r="X63" s="109">
        <f t="shared" si="44"/>
        <v>185.58474985112548</v>
      </c>
      <c r="Y63" s="109">
        <f t="shared" si="45"/>
        <v>399.19642775149913</v>
      </c>
      <c r="Z63" s="109">
        <f t="shared" si="16"/>
        <v>679.71954161747078</v>
      </c>
      <c r="AA63" s="111" t="str">
        <f t="shared" si="46"/>
        <v>OK</v>
      </c>
      <c r="AB63" s="300">
        <f t="shared" si="47"/>
        <v>1.2090491844369691</v>
      </c>
    </row>
    <row r="64" spans="1:28" ht="12" customHeight="1" x14ac:dyDescent="0.45">
      <c r="A64" s="105">
        <v>18</v>
      </c>
      <c r="B64" s="105" t="s">
        <v>278</v>
      </c>
      <c r="C64" s="106" t="s">
        <v>195</v>
      </c>
      <c r="D64" s="106"/>
      <c r="E64" s="306">
        <v>0</v>
      </c>
      <c r="F64" s="107">
        <f t="shared" si="30"/>
        <v>7.7000000000000011</v>
      </c>
      <c r="G64" s="108">
        <v>0</v>
      </c>
      <c r="H64" s="108">
        <v>0</v>
      </c>
      <c r="I64" s="108">
        <v>0</v>
      </c>
      <c r="J64" s="108">
        <f t="shared" si="21"/>
        <v>74.874039999999979</v>
      </c>
      <c r="K64" s="108">
        <v>0</v>
      </c>
      <c r="L64" s="109">
        <f t="shared" si="22"/>
        <v>82.361443999999977</v>
      </c>
      <c r="M64" s="109" cm="1">
        <f t="array" ref="M64">Profile_SM(C64,P64*1000,12)/10^3</f>
        <v>482.64811540310143</v>
      </c>
      <c r="N64" s="109" cm="1">
        <f t="array" ref="N64">Profile_ShearArea(C64,P64,12)</f>
        <v>2500</v>
      </c>
      <c r="O64" s="107">
        <v>4</v>
      </c>
      <c r="P64" s="107">
        <v>0.7</v>
      </c>
      <c r="Q64" s="108">
        <v>1</v>
      </c>
      <c r="R64" s="108">
        <v>355</v>
      </c>
      <c r="S64" s="310">
        <f t="shared" si="41"/>
        <v>46.909006852817861</v>
      </c>
      <c r="T64" s="108">
        <v>0</v>
      </c>
      <c r="U64" s="108">
        <v>-62.068242976881997</v>
      </c>
      <c r="V64" s="108">
        <f t="shared" si="42"/>
        <v>117.29388425075494</v>
      </c>
      <c r="W64" s="109">
        <f t="shared" si="43"/>
        <v>205.43338847651773</v>
      </c>
      <c r="X64" s="109">
        <f t="shared" si="44"/>
        <v>184.23605268894465</v>
      </c>
      <c r="Y64" s="109">
        <f t="shared" si="45"/>
        <v>374.18786516026057</v>
      </c>
      <c r="Z64" s="109">
        <f t="shared" si="16"/>
        <v>625.86024785646669</v>
      </c>
      <c r="AA64" s="111" t="str">
        <f t="shared" si="46"/>
        <v>OK</v>
      </c>
      <c r="AB64" s="300">
        <f t="shared" si="47"/>
        <v>1.2898550710520462</v>
      </c>
    </row>
    <row r="65" spans="1:28" ht="12" customHeight="1" x14ac:dyDescent="0.45">
      <c r="A65" s="105">
        <v>19</v>
      </c>
      <c r="B65" s="105" t="s">
        <v>278</v>
      </c>
      <c r="C65" s="106" t="s">
        <v>195</v>
      </c>
      <c r="D65" s="106"/>
      <c r="E65" s="306">
        <v>0</v>
      </c>
      <c r="F65" s="107">
        <f t="shared" si="30"/>
        <v>8.4</v>
      </c>
      <c r="G65" s="108">
        <v>0</v>
      </c>
      <c r="H65" s="108">
        <v>0</v>
      </c>
      <c r="I65" s="108">
        <v>0</v>
      </c>
      <c r="J65" s="108">
        <f t="shared" si="21"/>
        <v>67.835364999999996</v>
      </c>
      <c r="K65" s="108">
        <v>0</v>
      </c>
      <c r="L65" s="109">
        <f t="shared" si="22"/>
        <v>74.618901500000007</v>
      </c>
      <c r="M65" s="109" cm="1">
        <f t="array" ref="M65">Profile_SM(C65,P65*1000,12)/10^3</f>
        <v>482.64811540310143</v>
      </c>
      <c r="N65" s="109" cm="1">
        <f t="array" ref="N65">Profile_ShearArea(C65,P65,12)</f>
        <v>2500</v>
      </c>
      <c r="O65" s="107">
        <v>4</v>
      </c>
      <c r="P65" s="107">
        <v>0.7</v>
      </c>
      <c r="Q65" s="108">
        <v>1</v>
      </c>
      <c r="R65" s="108">
        <v>355</v>
      </c>
      <c r="S65" s="310">
        <f t="shared" si="41"/>
        <v>67.316902935460774</v>
      </c>
      <c r="T65" s="108">
        <v>0</v>
      </c>
      <c r="U65" s="108">
        <v>-60.660227678755199</v>
      </c>
      <c r="V65" s="108">
        <f t="shared" si="42"/>
        <v>124.78203030459755</v>
      </c>
      <c r="W65" s="109">
        <f t="shared" si="43"/>
        <v>197.94524242267514</v>
      </c>
      <c r="X65" s="109">
        <f t="shared" si="44"/>
        <v>182.11762359469677</v>
      </c>
      <c r="Y65" s="109">
        <f t="shared" si="45"/>
        <v>351.83623114292504</v>
      </c>
      <c r="Z65" s="109">
        <f t="shared" si="16"/>
        <v>573.62082833065278</v>
      </c>
      <c r="AA65" s="111" t="str">
        <f t="shared" si="46"/>
        <v>OK</v>
      </c>
      <c r="AB65" s="300">
        <f t="shared" si="47"/>
        <v>1.3717976509560699</v>
      </c>
    </row>
    <row r="66" spans="1:28" ht="12" customHeight="1" x14ac:dyDescent="0.45">
      <c r="A66" s="105">
        <v>20</v>
      </c>
      <c r="B66" s="105" t="s">
        <v>278</v>
      </c>
      <c r="C66" s="106" t="s">
        <v>195</v>
      </c>
      <c r="D66" s="106"/>
      <c r="E66" s="306">
        <v>0</v>
      </c>
      <c r="F66" s="107">
        <f t="shared" si="30"/>
        <v>9.1</v>
      </c>
      <c r="G66" s="108">
        <v>0</v>
      </c>
      <c r="H66" s="108">
        <v>0</v>
      </c>
      <c r="I66" s="108">
        <v>0</v>
      </c>
      <c r="J66" s="108">
        <f t="shared" ref="J66:J67" si="48">1.025*9.81*(($F$10+0.76)-F66)+25</f>
        <v>60.796690000000005</v>
      </c>
      <c r="K66" s="108">
        <v>0</v>
      </c>
      <c r="L66" s="109">
        <f t="shared" ref="L66:L67" si="49">J66*$F$19+K66*$F$18</f>
        <v>66.876359000000008</v>
      </c>
      <c r="M66" s="109" cm="1">
        <f t="array" ref="M66">Profile_SM(C66,P66*1000,12)/10^3</f>
        <v>482.64811540310143</v>
      </c>
      <c r="N66" s="109" cm="1">
        <f t="array" ref="N66">Profile_ShearArea(C66,P66,12)</f>
        <v>2500</v>
      </c>
      <c r="O66" s="107">
        <v>4</v>
      </c>
      <c r="P66" s="107">
        <v>0.7</v>
      </c>
      <c r="Q66" s="108">
        <v>1</v>
      </c>
      <c r="R66" s="108">
        <v>355</v>
      </c>
      <c r="S66" s="310">
        <f t="shared" si="41"/>
        <v>87.724799018103695</v>
      </c>
      <c r="T66" s="108">
        <v>0</v>
      </c>
      <c r="U66" s="108">
        <v>-58.672084198761397</v>
      </c>
      <c r="V66" s="108">
        <f t="shared" si="42"/>
        <v>134.2493231098255</v>
      </c>
      <c r="W66" s="109">
        <f t="shared" si="43"/>
        <v>188.47794961744719</v>
      </c>
      <c r="X66" s="109">
        <f>0.577*SQRT((R66/$F$7)^2-S66^2)</f>
        <v>179.20216660920434</v>
      </c>
      <c r="Y66" s="109">
        <f t="shared" si="45"/>
        <v>331.16836846621078</v>
      </c>
      <c r="Z66" s="109">
        <f t="shared" si="16"/>
        <v>522.4652378460197</v>
      </c>
      <c r="AA66" s="111" t="str">
        <f t="shared" si="46"/>
        <v>OK</v>
      </c>
      <c r="AB66" s="300">
        <f t="shared" si="47"/>
        <v>1.4574100710114957</v>
      </c>
    </row>
    <row r="67" spans="1:28" ht="12" customHeight="1" x14ac:dyDescent="0.45">
      <c r="A67" s="105">
        <v>21</v>
      </c>
      <c r="B67" s="105" t="s">
        <v>278</v>
      </c>
      <c r="C67" s="106" t="s">
        <v>195</v>
      </c>
      <c r="D67" s="106"/>
      <c r="E67" s="306">
        <v>0</v>
      </c>
      <c r="F67" s="107">
        <f>F66+0.7</f>
        <v>9.7999999999999989</v>
      </c>
      <c r="G67" s="108">
        <v>0</v>
      </c>
      <c r="H67" s="108">
        <v>0</v>
      </c>
      <c r="I67" s="108">
        <v>0</v>
      </c>
      <c r="J67" s="108">
        <f t="shared" si="48"/>
        <v>53.758015000000015</v>
      </c>
      <c r="K67" s="108">
        <v>0</v>
      </c>
      <c r="L67" s="109">
        <f t="shared" si="49"/>
        <v>59.133816500000023</v>
      </c>
      <c r="M67" s="109" cm="1">
        <f t="array" ref="M67">Profile_SM(C67,P67*1000,12)/10^3</f>
        <v>482.64811540310143</v>
      </c>
      <c r="N67" s="109" cm="1">
        <f t="array" ref="N67">Profile_ShearArea(C67,P67,12)</f>
        <v>2500</v>
      </c>
      <c r="O67" s="107">
        <v>4</v>
      </c>
      <c r="P67" s="107">
        <v>0.7</v>
      </c>
      <c r="Q67" s="108">
        <v>1</v>
      </c>
      <c r="R67" s="108">
        <v>355</v>
      </c>
      <c r="S67" s="310">
        <f t="shared" si="41"/>
        <v>108.13269510074662</v>
      </c>
      <c r="T67" s="108">
        <v>0</v>
      </c>
      <c r="U67" s="108">
        <v>-56.136455649514801</v>
      </c>
      <c r="V67" s="108">
        <f t="shared" si="42"/>
        <v>145.41865323410494</v>
      </c>
      <c r="W67" s="109">
        <f t="shared" si="43"/>
        <v>177.30861949316775</v>
      </c>
      <c r="X67" s="109">
        <f>0.577*SQRT((R67/$F$7)^2-S67^2)</f>
        <v>175.44995352340143</v>
      </c>
      <c r="Y67" s="109">
        <f t="shared" si="45"/>
        <v>311.27399347211866</v>
      </c>
      <c r="Z67" s="109">
        <f t="shared" si="16"/>
        <v>471.85730994769335</v>
      </c>
      <c r="AA67" s="111" t="str">
        <f t="shared" si="46"/>
        <v>OK</v>
      </c>
      <c r="AB67" s="300">
        <f t="shared" si="47"/>
        <v>1.5505571474808513</v>
      </c>
    </row>
    <row r="68" spans="1:28" ht="12" customHeight="1" x14ac:dyDescent="0.45">
      <c r="A68" s="105">
        <v>22</v>
      </c>
      <c r="B68" s="105" t="s">
        <v>278</v>
      </c>
      <c r="C68" s="106" t="s">
        <v>195</v>
      </c>
      <c r="D68" s="106"/>
      <c r="E68" s="306">
        <v>0</v>
      </c>
      <c r="F68" s="107">
        <f>F67+0.7</f>
        <v>10.499999999999998</v>
      </c>
      <c r="G68" s="108">
        <v>0</v>
      </c>
      <c r="H68" s="108">
        <v>0</v>
      </c>
      <c r="I68" s="108">
        <v>0</v>
      </c>
      <c r="J68" s="108">
        <f t="shared" ref="J68:J69" si="50">1.025*9.81*(($F$10+0.76)-F68)</f>
        <v>21.719340000000017</v>
      </c>
      <c r="K68" s="108">
        <v>0</v>
      </c>
      <c r="L68" s="109">
        <f t="shared" ref="L68:L69" si="51">J68*$F$18</f>
        <v>29.321109000000025</v>
      </c>
      <c r="M68" s="109" cm="1">
        <f t="array" ref="M68">Profile_SM(C68,P68*1000,12)/10^3</f>
        <v>482.64811540310143</v>
      </c>
      <c r="N68" s="109" cm="1">
        <f t="array" ref="N68">Profile_ShearArea(C68,P68,12)</f>
        <v>2500</v>
      </c>
      <c r="O68" s="107">
        <v>2.5099999999999998</v>
      </c>
      <c r="P68" s="107">
        <v>0.7</v>
      </c>
      <c r="Q68" s="108">
        <v>1</v>
      </c>
      <c r="R68" s="108">
        <v>355</v>
      </c>
      <c r="S68" s="310">
        <f t="shared" si="41"/>
        <v>128.54059118338952</v>
      </c>
      <c r="T68" s="108">
        <v>0</v>
      </c>
      <c r="U68" s="108">
        <v>-53.263999522432997</v>
      </c>
      <c r="V68" s="108">
        <f t="shared" si="42"/>
        <v>158.22087257107546</v>
      </c>
      <c r="W68" s="109">
        <f t="shared" si="43"/>
        <v>164.50640015619723</v>
      </c>
      <c r="X68" s="109">
        <f t="shared" ref="X68:X69" si="52">0.577*SQRT((R68/$F$7)^2-S68^2)</f>
        <v>170.80584839393447</v>
      </c>
      <c r="Y68" s="109">
        <f t="shared" si="45"/>
        <v>65.503096457469752</v>
      </c>
      <c r="Z68" s="109">
        <f t="shared" si="16"/>
        <v>150.80627799753219</v>
      </c>
      <c r="AA68" s="111" t="str">
        <f t="shared" si="46"/>
        <v>OK</v>
      </c>
      <c r="AB68" s="300">
        <f t="shared" si="47"/>
        <v>7.368325186221969</v>
      </c>
    </row>
    <row r="69" spans="1:28" ht="12" customHeight="1" x14ac:dyDescent="0.45">
      <c r="A69" s="105">
        <v>23</v>
      </c>
      <c r="B69" s="105" t="s">
        <v>278</v>
      </c>
      <c r="C69" s="106" t="s">
        <v>264</v>
      </c>
      <c r="D69" s="106"/>
      <c r="E69" s="306">
        <v>0</v>
      </c>
      <c r="F69" s="107">
        <f>F68+0.7</f>
        <v>11.199999999999998</v>
      </c>
      <c r="G69" s="108">
        <v>0</v>
      </c>
      <c r="H69" s="108">
        <v>0</v>
      </c>
      <c r="I69" s="108">
        <v>0</v>
      </c>
      <c r="J69" s="108">
        <f t="shared" si="50"/>
        <v>14.680665000000026</v>
      </c>
      <c r="K69" s="108">
        <v>0</v>
      </c>
      <c r="L69" s="109">
        <f t="shared" si="51"/>
        <v>19.818897750000037</v>
      </c>
      <c r="M69" s="109" cm="1">
        <f t="array" ref="M69">Profile_SM(C69,P69*1000,12)/10^3</f>
        <v>921.80062112577377</v>
      </c>
      <c r="N69" s="109" cm="1">
        <f t="array" ref="N69">Profile_ShearArea(C69,P69,12)</f>
        <v>4200</v>
      </c>
      <c r="O69" s="107">
        <v>2.5099999999999998</v>
      </c>
      <c r="P69" s="107">
        <v>0.7</v>
      </c>
      <c r="Q69" s="108">
        <v>1</v>
      </c>
      <c r="R69" s="108">
        <v>355</v>
      </c>
      <c r="S69" s="310">
        <f t="shared" si="41"/>
        <v>148.94848726603243</v>
      </c>
      <c r="T69" s="108">
        <v>0</v>
      </c>
      <c r="U69" s="108">
        <v>-48.4539997917351</v>
      </c>
      <c r="V69" s="108">
        <f t="shared" si="42"/>
        <v>170.96497344863309</v>
      </c>
      <c r="W69" s="109">
        <f t="shared" si="43"/>
        <v>151.7622992786396</v>
      </c>
      <c r="X69" s="109">
        <f t="shared" si="52"/>
        <v>165.19464725001544</v>
      </c>
      <c r="Y69" s="109">
        <f t="shared" si="45"/>
        <v>47.993214177580931</v>
      </c>
      <c r="Z69" s="109">
        <f t="shared" si="16"/>
        <v>105.39628228403994</v>
      </c>
      <c r="AA69" s="111" t="str">
        <f t="shared" si="46"/>
        <v>OK</v>
      </c>
      <c r="AB69" s="300">
        <f t="shared" si="47"/>
        <v>19.206894910497045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15">
    <mergeCell ref="A22:A23"/>
    <mergeCell ref="B22:B23"/>
    <mergeCell ref="C22:D23"/>
    <mergeCell ref="Q22:Q23"/>
    <mergeCell ref="AB22:AB23"/>
    <mergeCell ref="C60:D60"/>
    <mergeCell ref="C61:D61"/>
    <mergeCell ref="C37:D37"/>
    <mergeCell ref="AA22:AA23"/>
    <mergeCell ref="F4:N5"/>
    <mergeCell ref="M11:N11"/>
    <mergeCell ref="M12:N12"/>
    <mergeCell ref="M13:N13"/>
    <mergeCell ref="M14:N14"/>
    <mergeCell ref="M15:N15"/>
  </mergeCells>
  <phoneticPr fontId="5" type="noConversion"/>
  <conditionalFormatting sqref="AA24:AA44 AA47:AA67">
    <cfRule type="cellIs" dxfId="13" priority="5" operator="equal">
      <formula>"N.G"</formula>
    </cfRule>
  </conditionalFormatting>
  <conditionalFormatting sqref="Z24:Z30">
    <cfRule type="cellIs" dxfId="12" priority="4" operator="greaterThan">
      <formula>$N$24</formula>
    </cfRule>
  </conditionalFormatting>
  <conditionalFormatting sqref="AA45:AA46">
    <cfRule type="cellIs" dxfId="11" priority="2" operator="equal">
      <formula>"N.G"</formula>
    </cfRule>
  </conditionalFormatting>
  <conditionalFormatting sqref="AA68:AA69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9"/>
  <sheetViews>
    <sheetView showGridLines="0" tabSelected="1" topLeftCell="A19" zoomScale="130" zoomScaleNormal="130" workbookViewId="0">
      <selection activeCell="O31" sqref="O31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4">
        <f>'Global Strength'!E10</f>
        <v>731745</v>
      </c>
      <c r="N11" s="324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5">
        <f>'Global Strength'!E6</f>
        <v>24.526599999999998</v>
      </c>
      <c r="N12" s="325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25">
        <f>'Global Strength'!E5</f>
        <v>5.5289999999999999</v>
      </c>
      <c r="N13" s="325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24"/>
      <c r="N14" s="324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4">
        <f>'Global Strength'!E27</f>
        <v>35311.5</v>
      </c>
      <c r="N15" s="324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279</v>
      </c>
      <c r="D24" s="87"/>
      <c r="E24" s="87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Profile_SM(C24,P24*1000,12)/10^3</f>
        <v>1936.0000491714611</v>
      </c>
      <c r="N24" s="81" cm="1">
        <f t="array" ref="N24">Profile_ShearArea(C24,P24,12)</f>
        <v>7500</v>
      </c>
      <c r="O24" s="88">
        <v>2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164.95633740510303</v>
      </c>
      <c r="T24" s="84">
        <v>0</v>
      </c>
      <c r="U24" s="84">
        <v>-17.121608151257099</v>
      </c>
      <c r="V24" s="84">
        <f>SQRT(S24^2+T24^2-S24*T24+3*U24^2)</f>
        <v>167.60084023405662</v>
      </c>
      <c r="W24" s="81">
        <f t="shared" ref="W24:W29" si="3">(R24/$F$7-V24)</f>
        <v>155.12643249321607</v>
      </c>
      <c r="X24" s="81">
        <f>0.577*SQRT((R24/$F$7)^2-S24^2)</f>
        <v>160.05100052047155</v>
      </c>
      <c r="Y24" s="81">
        <f t="shared" ref="Y24:Y36" si="4">O24^2*P24*L24*1000000/($F$8*W24*Q24)/10^3</f>
        <v>276.95840577896917</v>
      </c>
      <c r="Z24" s="81">
        <f t="shared" ref="Z24:Z36" si="5">O24*P24*L24*1000/(2*X24)</f>
        <v>805.3102316971399</v>
      </c>
      <c r="AA24" s="89" t="str">
        <f t="shared" ref="AA24:AA36" si="6">IF(AND(M24&gt;=Y24,N24&gt;=Z24),"OK","N.G")</f>
        <v>OK</v>
      </c>
      <c r="AB24" s="90">
        <f t="shared" ref="AB24:AB36" si="7">M24/Y24</f>
        <v>6.9902195014673616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87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2" si="8">1.025*9.81*(($F$10+0.76)-F25)+25</f>
        <v>152.299465</v>
      </c>
      <c r="K25" s="84">
        <v>0</v>
      </c>
      <c r="L25" s="81">
        <f t="shared" ref="L25:L42" si="9">J25*$F$19+K25*$F$18</f>
        <v>167.52941150000001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164.95633740510303</v>
      </c>
      <c r="T25" s="84">
        <v>0</v>
      </c>
      <c r="U25" s="84">
        <v>-7.9474113407633702</v>
      </c>
      <c r="V25" s="84">
        <f t="shared" ref="V25:V36" si="10">SQRT(S25^2+T25^2-S25*T25+3*U25^2)</f>
        <v>165.52968703880302</v>
      </c>
      <c r="W25" s="81">
        <f t="shared" si="3"/>
        <v>157.19758568846967</v>
      </c>
      <c r="X25" s="81">
        <f t="shared" ref="X25:X36" si="11">0.577*SQRT((R25/$F$7)^2-S25^2)</f>
        <v>160.05100052047155</v>
      </c>
      <c r="Y25" s="81">
        <f t="shared" si="4"/>
        <v>1065.7250921907014</v>
      </c>
      <c r="Z25" s="81">
        <f t="shared" si="5"/>
        <v>1570.0877622308765</v>
      </c>
      <c r="AA25" s="89" t="str">
        <f t="shared" si="6"/>
        <v>OK</v>
      </c>
      <c r="AB25" s="90">
        <f t="shared" si="7"/>
        <v>1.8166036094653877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87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152.299465</v>
      </c>
      <c r="K26" s="84">
        <v>0</v>
      </c>
      <c r="L26" s="81">
        <f t="shared" si="9"/>
        <v>167.52941150000001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164.95633740510303</v>
      </c>
      <c r="T26" s="84">
        <v>0</v>
      </c>
      <c r="U26" s="84">
        <v>1.2267851051009699</v>
      </c>
      <c r="V26" s="84">
        <f t="shared" si="10"/>
        <v>164.97002229250162</v>
      </c>
      <c r="W26" s="81">
        <f t="shared" si="3"/>
        <v>157.75725043477107</v>
      </c>
      <c r="X26" s="81">
        <f t="shared" si="11"/>
        <v>160.05100052047155</v>
      </c>
      <c r="Y26" s="81">
        <f t="shared" si="4"/>
        <v>1061.9442912341422</v>
      </c>
      <c r="Z26" s="81">
        <f t="shared" si="5"/>
        <v>1570.0877622308765</v>
      </c>
      <c r="AA26" s="89" t="str">
        <f t="shared" si="6"/>
        <v>OK</v>
      </c>
      <c r="AB26" s="90">
        <f t="shared" si="7"/>
        <v>1.8230711960620194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87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152.299465</v>
      </c>
      <c r="K27" s="84">
        <v>0</v>
      </c>
      <c r="L27" s="81">
        <f t="shared" si="9"/>
        <v>167.52941150000001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164.95633740510303</v>
      </c>
      <c r="T27" s="84">
        <v>0</v>
      </c>
      <c r="U27" s="84">
        <v>10.4009788974736</v>
      </c>
      <c r="V27" s="84">
        <f t="shared" si="10"/>
        <v>165.93713971315543</v>
      </c>
      <c r="W27" s="81">
        <f t="shared" si="3"/>
        <v>156.79013301411726</v>
      </c>
      <c r="X27" s="81">
        <f t="shared" si="11"/>
        <v>160.05100052047155</v>
      </c>
      <c r="Y27" s="81">
        <f t="shared" si="4"/>
        <v>1068.4946066403031</v>
      </c>
      <c r="Z27" s="81">
        <f t="shared" si="5"/>
        <v>1570.0877622308765</v>
      </c>
      <c r="AA27" s="89" t="str">
        <f t="shared" si="6"/>
        <v>OK</v>
      </c>
      <c r="AB27" s="90">
        <f t="shared" si="7"/>
        <v>1.8118950129836211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87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152.299465</v>
      </c>
      <c r="K28" s="84">
        <v>0</v>
      </c>
      <c r="L28" s="81">
        <f t="shared" si="9"/>
        <v>167.52941150000001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164.95633740510303</v>
      </c>
      <c r="T28" s="84">
        <v>0</v>
      </c>
      <c r="U28" s="84">
        <v>19.575178859712601</v>
      </c>
      <c r="V28" s="84">
        <f t="shared" si="10"/>
        <v>168.40473904339927</v>
      </c>
      <c r="W28" s="81">
        <f t="shared" si="3"/>
        <v>154.32253368387342</v>
      </c>
      <c r="X28" s="81">
        <f t="shared" si="11"/>
        <v>160.05100052047155</v>
      </c>
      <c r="Y28" s="81">
        <f t="shared" si="4"/>
        <v>1085.5797108877218</v>
      </c>
      <c r="Z28" s="81">
        <f t="shared" si="5"/>
        <v>1570.0877622308765</v>
      </c>
      <c r="AA28" s="89" t="str">
        <f t="shared" si="6"/>
        <v>OK</v>
      </c>
      <c r="AB28" s="90">
        <f t="shared" si="7"/>
        <v>1.7833789907406401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87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152.299465</v>
      </c>
      <c r="K29" s="84">
        <v>0</v>
      </c>
      <c r="L29" s="81">
        <f t="shared" si="9"/>
        <v>167.52941150000001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164.95633740510303</v>
      </c>
      <c r="T29" s="84">
        <v>0</v>
      </c>
      <c r="U29" s="84">
        <v>28.749375926681399</v>
      </c>
      <c r="V29" s="84">
        <f t="shared" si="10"/>
        <v>172.30836630479419</v>
      </c>
      <c r="W29" s="81">
        <f t="shared" si="3"/>
        <v>150.4189064224785</v>
      </c>
      <c r="X29" s="81">
        <f t="shared" si="11"/>
        <v>160.05100052047155</v>
      </c>
      <c r="Y29" s="81">
        <f t="shared" si="4"/>
        <v>1113.7523565652284</v>
      </c>
      <c r="Z29" s="81">
        <f t="shared" si="5"/>
        <v>1570.0877622308765</v>
      </c>
      <c r="AA29" s="89" t="str">
        <f t="shared" si="6"/>
        <v>OK</v>
      </c>
      <c r="AB29" s="90">
        <f t="shared" si="7"/>
        <v>1.7382679711152438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87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152.299465</v>
      </c>
      <c r="K30" s="84">
        <v>0</v>
      </c>
      <c r="L30" s="81">
        <f t="shared" si="9"/>
        <v>167.52941150000001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164.95633740510303</v>
      </c>
      <c r="T30" s="84">
        <v>0</v>
      </c>
      <c r="U30" s="84">
        <v>37.923572057102497</v>
      </c>
      <c r="V30" s="84">
        <f t="shared" si="10"/>
        <v>177.55333058778967</v>
      </c>
      <c r="W30" s="81">
        <f t="shared" ref="W30:W36" si="12">(R30/$F$7-V30)</f>
        <v>145.17394213948302</v>
      </c>
      <c r="X30" s="81">
        <f t="shared" si="11"/>
        <v>160.05100052047155</v>
      </c>
      <c r="Y30" s="81">
        <f t="shared" si="4"/>
        <v>1153.9909231027002</v>
      </c>
      <c r="Z30" s="81">
        <f t="shared" si="5"/>
        <v>1570.0877622308765</v>
      </c>
      <c r="AA30" s="89" t="str">
        <f t="shared" si="6"/>
        <v>OK</v>
      </c>
      <c r="AB30" s="90">
        <f t="shared" si="7"/>
        <v>1.6776562193108042</v>
      </c>
    </row>
    <row r="31" spans="1:28" ht="12" customHeight="1" x14ac:dyDescent="0.45">
      <c r="A31" s="75">
        <v>8</v>
      </c>
      <c r="B31" s="75" t="s">
        <v>276</v>
      </c>
      <c r="C31" s="91" t="s">
        <v>201</v>
      </c>
      <c r="D31" s="91"/>
      <c r="E31" s="91"/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145.26078999999999</v>
      </c>
      <c r="K31" s="79">
        <v>0</v>
      </c>
      <c r="L31" s="76">
        <f t="shared" si="9"/>
        <v>159.786869</v>
      </c>
      <c r="M31" s="76" cm="1">
        <f t="array" ref="M31">Profile_SM(C31,P31*1000,12)/10^3</f>
        <v>482.64811540310143</v>
      </c>
      <c r="N31" s="76" cm="1">
        <f t="array" ref="N31">Profile_ShearArea(C31,P31,12)</f>
        <v>2500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3">$M$11/ABS(($M$12/(F31-$M$13)))/1000</f>
        <v>144.07201181574291</v>
      </c>
      <c r="T31" s="79">
        <v>0</v>
      </c>
      <c r="U31" s="79">
        <v>51.353614075395399</v>
      </c>
      <c r="V31" s="79">
        <f t="shared" si="10"/>
        <v>169.31723369004558</v>
      </c>
      <c r="W31" s="76">
        <f t="shared" si="12"/>
        <v>153.41003903722711</v>
      </c>
      <c r="X31" s="76">
        <f t="shared" si="11"/>
        <v>166.62831736718323</v>
      </c>
      <c r="Y31" s="76">
        <f t="shared" si="4"/>
        <v>972.12941214673106</v>
      </c>
      <c r="Z31" s="76">
        <f t="shared" si="5"/>
        <v>1342.5186074888441</v>
      </c>
      <c r="AA31" s="94" t="str">
        <f t="shared" si="6"/>
        <v>N.G</v>
      </c>
      <c r="AB31" s="95">
        <f t="shared" si="7"/>
        <v>0.49648545694886514</v>
      </c>
    </row>
    <row r="32" spans="1:28" ht="12" customHeight="1" x14ac:dyDescent="0.45">
      <c r="A32" s="75">
        <v>9</v>
      </c>
      <c r="B32" s="75" t="s">
        <v>276</v>
      </c>
      <c r="C32" s="91" t="s">
        <v>202</v>
      </c>
      <c r="D32" s="91"/>
      <c r="E32" s="91"/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138.22211499999997</v>
      </c>
      <c r="K32" s="79">
        <v>0</v>
      </c>
      <c r="L32" s="76">
        <f t="shared" si="9"/>
        <v>152.04432649999998</v>
      </c>
      <c r="M32" s="76" cm="1">
        <f t="array" ref="M32">Profile_SM(C32,P32*1000,12)/10^3</f>
        <v>1173.9558953306662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3"/>
        <v>123.18768622638278</v>
      </c>
      <c r="T32" s="79">
        <v>0</v>
      </c>
      <c r="U32" s="79">
        <v>57.875467858741402</v>
      </c>
      <c r="V32" s="79">
        <f t="shared" si="10"/>
        <v>158.82038715925094</v>
      </c>
      <c r="W32" s="76">
        <f t="shared" si="12"/>
        <v>163.90688556802175</v>
      </c>
      <c r="X32" s="76">
        <f t="shared" si="11"/>
        <v>172.11406739952034</v>
      </c>
      <c r="Y32" s="76">
        <f t="shared" si="4"/>
        <v>865.78448229848448</v>
      </c>
      <c r="Z32" s="76">
        <f t="shared" si="5"/>
        <v>1236.7499084539859</v>
      </c>
      <c r="AA32" s="94" t="str">
        <f t="shared" si="6"/>
        <v>OK</v>
      </c>
      <c r="AB32" s="95">
        <f t="shared" si="7"/>
        <v>1.3559447175745727</v>
      </c>
    </row>
    <row r="33" spans="1:28" ht="12" customHeight="1" x14ac:dyDescent="0.45">
      <c r="A33" s="75">
        <v>10</v>
      </c>
      <c r="B33" s="75" t="s">
        <v>276</v>
      </c>
      <c r="C33" s="91" t="s">
        <v>202</v>
      </c>
      <c r="D33" s="91"/>
      <c r="E33" s="91"/>
      <c r="F33" s="92">
        <f t="shared" ref="F33:F40" si="14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131.18343999999999</v>
      </c>
      <c r="K33" s="79">
        <v>0</v>
      </c>
      <c r="L33" s="76">
        <f t="shared" si="9"/>
        <v>144.301784</v>
      </c>
      <c r="M33" s="76" cm="1">
        <f t="array" ref="M33">Profile_SM(C33,P33*1000,12)/10^3</f>
        <v>1173.9558953306662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3"/>
        <v>102.30336063702268</v>
      </c>
      <c r="T33" s="79">
        <v>0</v>
      </c>
      <c r="U33" s="79">
        <v>63.355615458824097</v>
      </c>
      <c r="V33" s="79">
        <f t="shared" si="10"/>
        <v>150.02592985256879</v>
      </c>
      <c r="W33" s="76">
        <f t="shared" si="12"/>
        <v>172.7013428747039</v>
      </c>
      <c r="X33" s="76">
        <f t="shared" si="11"/>
        <v>176.60999663713164</v>
      </c>
      <c r="Y33" s="76">
        <f t="shared" si="4"/>
        <v>779.85302734084246</v>
      </c>
      <c r="Z33" s="76">
        <f t="shared" si="5"/>
        <v>1143.8905013688532</v>
      </c>
      <c r="AA33" s="94" t="str">
        <f t="shared" si="6"/>
        <v>OK</v>
      </c>
      <c r="AB33" s="95">
        <f t="shared" si="7"/>
        <v>1.5053553094916399</v>
      </c>
    </row>
    <row r="34" spans="1:28" ht="12" customHeight="1" x14ac:dyDescent="0.45">
      <c r="A34" s="75">
        <v>11</v>
      </c>
      <c r="B34" s="75" t="s">
        <v>276</v>
      </c>
      <c r="C34" s="91" t="s">
        <v>202</v>
      </c>
      <c r="D34" s="91"/>
      <c r="E34" s="91"/>
      <c r="F34" s="92">
        <f t="shared" si="14"/>
        <v>2.8</v>
      </c>
      <c r="G34" s="79">
        <v>0</v>
      </c>
      <c r="H34" s="79">
        <v>0</v>
      </c>
      <c r="I34" s="79">
        <v>0</v>
      </c>
      <c r="J34" s="79">
        <f t="shared" si="8"/>
        <v>124.14476499999999</v>
      </c>
      <c r="K34" s="79">
        <v>0</v>
      </c>
      <c r="L34" s="76">
        <f t="shared" si="9"/>
        <v>136.55924150000001</v>
      </c>
      <c r="M34" s="76" cm="1">
        <f t="array" ref="M34">Profile_SM(C34,P34*1000,12)/10^3</f>
        <v>1173.9558953306662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3"/>
        <v>81.419035047662547</v>
      </c>
      <c r="T34" s="79">
        <v>0</v>
      </c>
      <c r="U34" s="79">
        <v>67.443267762770702</v>
      </c>
      <c r="V34" s="79">
        <f t="shared" si="10"/>
        <v>142.38975513587647</v>
      </c>
      <c r="W34" s="76">
        <f t="shared" si="12"/>
        <v>180.33751759139622</v>
      </c>
      <c r="X34" s="76">
        <f t="shared" si="11"/>
        <v>180.19021142865063</v>
      </c>
      <c r="Y34" s="76">
        <f t="shared" si="4"/>
        <v>706.75971239357614</v>
      </c>
      <c r="Z34" s="76">
        <f t="shared" si="5"/>
        <v>1061.0062365996064</v>
      </c>
      <c r="AA34" s="94" t="str">
        <f t="shared" si="6"/>
        <v>OK</v>
      </c>
      <c r="AB34" s="95">
        <f t="shared" si="7"/>
        <v>1.6610396358825283</v>
      </c>
    </row>
    <row r="35" spans="1:28" ht="12" customHeight="1" x14ac:dyDescent="0.45">
      <c r="A35" s="75">
        <v>12</v>
      </c>
      <c r="B35" s="75" t="s">
        <v>276</v>
      </c>
      <c r="C35" s="91" t="s">
        <v>197</v>
      </c>
      <c r="D35" s="91"/>
      <c r="E35" s="91"/>
      <c r="F35" s="92">
        <f t="shared" si="14"/>
        <v>3.5</v>
      </c>
      <c r="G35" s="79">
        <v>0</v>
      </c>
      <c r="H35" s="79">
        <v>0</v>
      </c>
      <c r="I35" s="79">
        <v>0</v>
      </c>
      <c r="J35" s="79">
        <f t="shared" si="8"/>
        <v>117.10608999999999</v>
      </c>
      <c r="K35" s="79">
        <v>0</v>
      </c>
      <c r="L35" s="76">
        <f t="shared" si="9"/>
        <v>128.816699</v>
      </c>
      <c r="M35" s="76" cm="1">
        <f t="array" ref="M35">Profile_SM(C35,P35*1000,12)/10^3</f>
        <v>921.80062112577377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3"/>
        <v>60.534709458302423</v>
      </c>
      <c r="T35" s="79">
        <v>0</v>
      </c>
      <c r="U35" s="79">
        <v>70.578490561200297</v>
      </c>
      <c r="V35" s="79">
        <f t="shared" si="10"/>
        <v>136.4126865027348</v>
      </c>
      <c r="W35" s="76">
        <f t="shared" si="12"/>
        <v>186.31458622453789</v>
      </c>
      <c r="X35" s="76">
        <f t="shared" si="11"/>
        <v>182.90849172307205</v>
      </c>
      <c r="Y35" s="76">
        <f t="shared" si="4"/>
        <v>645.30062569428787</v>
      </c>
      <c r="Z35" s="76">
        <f t="shared" si="5"/>
        <v>985.97597575209522</v>
      </c>
      <c r="AA35" s="94" t="str">
        <f t="shared" si="6"/>
        <v>OK</v>
      </c>
      <c r="AB35" s="95">
        <f t="shared" si="7"/>
        <v>1.4284824536377843</v>
      </c>
    </row>
    <row r="36" spans="1:28" ht="12" customHeight="1" x14ac:dyDescent="0.45">
      <c r="A36" s="75">
        <v>13</v>
      </c>
      <c r="B36" s="75" t="s">
        <v>276</v>
      </c>
      <c r="C36" s="91" t="s">
        <v>197</v>
      </c>
      <c r="D36" s="91"/>
      <c r="E36" s="91"/>
      <c r="F36" s="92">
        <f t="shared" si="14"/>
        <v>4.2</v>
      </c>
      <c r="G36" s="79">
        <v>0</v>
      </c>
      <c r="H36" s="79">
        <v>0</v>
      </c>
      <c r="I36" s="79">
        <v>0</v>
      </c>
      <c r="J36" s="79">
        <f t="shared" si="8"/>
        <v>110.067415</v>
      </c>
      <c r="K36" s="79">
        <v>0</v>
      </c>
      <c r="L36" s="76">
        <f t="shared" si="9"/>
        <v>121.0741565</v>
      </c>
      <c r="M36" s="76" cm="1">
        <f t="array" ref="M36">Profile_SM(C36,P36*1000,12)/10^3</f>
        <v>921.80062112577377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3"/>
        <v>39.650383868942285</v>
      </c>
      <c r="T36" s="79">
        <v>0</v>
      </c>
      <c r="U36" s="79">
        <v>72.761281433754903</v>
      </c>
      <c r="V36" s="79">
        <f t="shared" si="10"/>
        <v>132.11648333421815</v>
      </c>
      <c r="W36" s="76">
        <f t="shared" si="12"/>
        <v>190.61078939305455</v>
      </c>
      <c r="X36" s="76">
        <f t="shared" si="11"/>
        <v>184.802876225695</v>
      </c>
      <c r="Y36" s="76">
        <f t="shared" si="4"/>
        <v>592.84443669999428</v>
      </c>
      <c r="Z36" s="76">
        <f t="shared" si="5"/>
        <v>917.21418281926162</v>
      </c>
      <c r="AA36" s="94" t="str">
        <f t="shared" si="6"/>
        <v>OK</v>
      </c>
      <c r="AB36" s="95">
        <f t="shared" si="7"/>
        <v>1.5548777454282598</v>
      </c>
    </row>
    <row r="37" spans="1:28" ht="12" customHeight="1" x14ac:dyDescent="0.45">
      <c r="A37" s="75">
        <v>14</v>
      </c>
      <c r="B37" s="75" t="s">
        <v>276</v>
      </c>
      <c r="C37" s="91" t="s">
        <v>196</v>
      </c>
      <c r="D37" s="91"/>
      <c r="E37" s="91"/>
      <c r="F37" s="92">
        <f t="shared" si="14"/>
        <v>4.9000000000000004</v>
      </c>
      <c r="G37" s="79">
        <v>0</v>
      </c>
      <c r="H37" s="79">
        <v>0</v>
      </c>
      <c r="I37" s="79">
        <v>0</v>
      </c>
      <c r="J37" s="79">
        <f t="shared" si="8"/>
        <v>103.02873999999998</v>
      </c>
      <c r="K37" s="79">
        <v>0</v>
      </c>
      <c r="L37" s="76">
        <f t="shared" si="9"/>
        <v>113.33161399999999</v>
      </c>
      <c r="M37" s="76"/>
      <c r="N37" s="76"/>
      <c r="O37" s="92"/>
      <c r="P37" s="92"/>
      <c r="Q37" s="79"/>
      <c r="R37" s="79"/>
      <c r="S37" s="128"/>
      <c r="T37" s="79"/>
      <c r="U37" s="79">
        <v>73.991641105059202</v>
      </c>
      <c r="V37" s="79"/>
      <c r="W37" s="76"/>
      <c r="X37" s="76"/>
      <c r="Y37" s="76"/>
      <c r="Z37" s="76"/>
      <c r="AA37" s="94"/>
      <c r="AB37" s="95"/>
    </row>
    <row r="38" spans="1:28" ht="12" customHeight="1" x14ac:dyDescent="0.45">
      <c r="A38" s="75">
        <v>15</v>
      </c>
      <c r="B38" s="75" t="s">
        <v>276</v>
      </c>
      <c r="C38" s="91" t="s">
        <v>284</v>
      </c>
      <c r="D38" s="91"/>
      <c r="E38" s="91"/>
      <c r="F38" s="92">
        <f t="shared" si="14"/>
        <v>5.6000000000000005</v>
      </c>
      <c r="G38" s="79">
        <v>0</v>
      </c>
      <c r="H38" s="79">
        <v>0</v>
      </c>
      <c r="I38" s="79">
        <v>0</v>
      </c>
      <c r="J38" s="79">
        <f t="shared" si="8"/>
        <v>95.990064999999987</v>
      </c>
      <c r="K38" s="79">
        <v>0</v>
      </c>
      <c r="L38" s="76">
        <f t="shared" si="9"/>
        <v>105.58907149999999</v>
      </c>
      <c r="M38" s="76" cm="1">
        <f t="array" ref="M38">Profile_SM(C38,P38*1000,12)/10^3</f>
        <v>525.6335977958513</v>
      </c>
      <c r="N38" s="76" cm="1">
        <f t="array" ref="N38">Profile_ShearArea(C38,P38,12)</f>
        <v>3000</v>
      </c>
      <c r="O38" s="92">
        <v>4</v>
      </c>
      <c r="P38" s="92">
        <v>0.7</v>
      </c>
      <c r="Q38" s="79">
        <v>1</v>
      </c>
      <c r="R38" s="79">
        <v>355</v>
      </c>
      <c r="S38" s="128">
        <f t="shared" ref="S38:S57" si="15">$M$11/ABS(($M$12/(F38-$M$13)))/1000</f>
        <v>2.1182673097779738</v>
      </c>
      <c r="T38" s="79">
        <v>0</v>
      </c>
      <c r="U38" s="79">
        <v>74.20439777</v>
      </c>
      <c r="V38" s="79">
        <f t="shared" ref="V38:V48" si="16">SQRT(S38^2+T38^2-S38*T38+3*U38^2)</f>
        <v>128.54324175786456</v>
      </c>
      <c r="W38" s="76">
        <f t="shared" ref="W38:W48" si="17">(R38/$F$7-V38)</f>
        <v>194.18403096940813</v>
      </c>
      <c r="X38" s="76">
        <f t="shared" ref="X38:X42" si="18">0.577*SQRT((R38/$F$7)^2-S38^2)</f>
        <v>186.20962514480777</v>
      </c>
      <c r="Y38" s="76">
        <f t="shared" ref="Y38:Y57" si="19">O38^2*P38*L38*1000000/($F$8*W38*Q38)/10^3</f>
        <v>507.50723205551458</v>
      </c>
      <c r="Z38" s="76">
        <f t="shared" ref="Z38:Z57" si="20">O38*P38*L38*1000/(2*X38)</f>
        <v>793.86175652865745</v>
      </c>
      <c r="AA38" s="94" t="str">
        <f t="shared" ref="AA38:AA57" si="21">IF(AND(M38&gt;=Y38,N38&gt;=Z38),"OK","N.G")</f>
        <v>OK</v>
      </c>
      <c r="AB38" s="95">
        <f t="shared" ref="AB38:AB57" si="22">M38/Y38</f>
        <v>1.0357164678558786</v>
      </c>
    </row>
    <row r="39" spans="1:28" ht="12" customHeight="1" x14ac:dyDescent="0.45">
      <c r="A39" s="75">
        <v>16</v>
      </c>
      <c r="B39" s="75" t="s">
        <v>276</v>
      </c>
      <c r="C39" s="91" t="s">
        <v>284</v>
      </c>
      <c r="D39" s="91"/>
      <c r="E39" s="91"/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88.951390000000004</v>
      </c>
      <c r="K39" s="79">
        <v>0</v>
      </c>
      <c r="L39" s="76">
        <f t="shared" si="9"/>
        <v>97.846529000000018</v>
      </c>
      <c r="M39" s="76" cm="1">
        <f t="array" ref="M39">Profile_SM(C39,P39*1000,12)/10^3</f>
        <v>525.6335977958513</v>
      </c>
      <c r="N39" s="76" cm="1">
        <f t="array" ref="N39">Profile_ShearArea(C39,P39,12)</f>
        <v>3000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15"/>
        <v>23.002592899138079</v>
      </c>
      <c r="T39" s="79">
        <v>0</v>
      </c>
      <c r="U39" s="79">
        <v>73.566070147728794</v>
      </c>
      <c r="V39" s="79">
        <f t="shared" si="16"/>
        <v>129.47980271465175</v>
      </c>
      <c r="W39" s="76">
        <f t="shared" si="17"/>
        <v>193.24747001262094</v>
      </c>
      <c r="X39" s="76">
        <f t="shared" si="18"/>
        <v>185.74003126674029</v>
      </c>
      <c r="Y39" s="76">
        <f t="shared" si="19"/>
        <v>472.5724329570906</v>
      </c>
      <c r="Z39" s="76">
        <f t="shared" si="20"/>
        <v>737.51005459494286</v>
      </c>
      <c r="AA39" s="94" t="str">
        <f t="shared" si="21"/>
        <v>OK</v>
      </c>
      <c r="AB39" s="95">
        <f t="shared" si="22"/>
        <v>1.1122815491092741</v>
      </c>
    </row>
    <row r="40" spans="1:28" ht="12" customHeight="1" x14ac:dyDescent="0.45">
      <c r="A40" s="75">
        <v>17</v>
      </c>
      <c r="B40" s="75" t="s">
        <v>276</v>
      </c>
      <c r="C40" s="91" t="s">
        <v>284</v>
      </c>
      <c r="D40" s="91"/>
      <c r="E40" s="91"/>
      <c r="F40" s="92">
        <f t="shared" si="14"/>
        <v>7</v>
      </c>
      <c r="G40" s="79">
        <v>0</v>
      </c>
      <c r="H40" s="79">
        <v>0</v>
      </c>
      <c r="I40" s="79">
        <v>0</v>
      </c>
      <c r="J40" s="79">
        <f t="shared" si="8"/>
        <v>81.912714999999992</v>
      </c>
      <c r="K40" s="79">
        <v>0</v>
      </c>
      <c r="L40" s="76">
        <f t="shared" si="9"/>
        <v>90.103986500000005</v>
      </c>
      <c r="M40" s="76" cm="1">
        <f t="array" ref="M40">Profile_SM(C40,P40*1000,12)/10^3</f>
        <v>525.6335977958513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15"/>
        <v>43.88691848849821</v>
      </c>
      <c r="T40" s="79">
        <v>0</v>
      </c>
      <c r="U40" s="79">
        <v>70.948937552243095</v>
      </c>
      <c r="V40" s="79">
        <f t="shared" si="16"/>
        <v>130.48876133135894</v>
      </c>
      <c r="W40" s="76">
        <f t="shared" si="17"/>
        <v>192.23851139591375</v>
      </c>
      <c r="X40" s="76">
        <f t="shared" si="18"/>
        <v>184.48381121535476</v>
      </c>
      <c r="Y40" s="76">
        <f t="shared" si="19"/>
        <v>437.46205407026594</v>
      </c>
      <c r="Z40" s="76">
        <f t="shared" si="20"/>
        <v>683.77588401372304</v>
      </c>
      <c r="AA40" s="94" t="str">
        <f t="shared" si="21"/>
        <v>OK</v>
      </c>
      <c r="AB40" s="95">
        <f t="shared" si="22"/>
        <v>1.2015524384462912</v>
      </c>
    </row>
    <row r="41" spans="1:28" ht="12" customHeight="1" x14ac:dyDescent="0.45">
      <c r="A41" s="75">
        <v>18</v>
      </c>
      <c r="B41" s="75" t="s">
        <v>276</v>
      </c>
      <c r="C41" s="91" t="s">
        <v>284</v>
      </c>
      <c r="D41" s="91"/>
      <c r="E41" s="91"/>
      <c r="F41" s="92">
        <f>F42-0.7</f>
        <v>8.1000000000000032</v>
      </c>
      <c r="G41" s="79"/>
      <c r="H41" s="79"/>
      <c r="I41" s="79"/>
      <c r="J41" s="79"/>
      <c r="K41" s="79"/>
      <c r="L41" s="76"/>
      <c r="M41" s="76"/>
      <c r="N41" s="76"/>
      <c r="O41" s="92"/>
      <c r="P41" s="92"/>
      <c r="Q41" s="79"/>
      <c r="R41" s="79"/>
      <c r="S41" s="128"/>
      <c r="T41" s="79"/>
      <c r="U41" s="79">
        <v>67.948380485348295</v>
      </c>
      <c r="V41" s="79"/>
      <c r="W41" s="76"/>
      <c r="X41" s="76"/>
      <c r="Y41" s="76"/>
      <c r="Z41" s="76"/>
      <c r="AA41" s="94"/>
      <c r="AB41" s="95"/>
    </row>
    <row r="42" spans="1:28" ht="12" customHeight="1" x14ac:dyDescent="0.45">
      <c r="A42" s="75">
        <v>19</v>
      </c>
      <c r="B42" s="75" t="s">
        <v>276</v>
      </c>
      <c r="C42" s="91" t="s">
        <v>284</v>
      </c>
      <c r="D42" s="91"/>
      <c r="E42" s="91"/>
      <c r="F42" s="92">
        <f>F43-0.7</f>
        <v>8.8000000000000025</v>
      </c>
      <c r="G42" s="79">
        <v>0</v>
      </c>
      <c r="H42" s="79">
        <v>0</v>
      </c>
      <c r="I42" s="79">
        <v>0</v>
      </c>
      <c r="J42" s="79">
        <f t="shared" si="8"/>
        <v>63.813264999999973</v>
      </c>
      <c r="K42" s="79">
        <v>0</v>
      </c>
      <c r="L42" s="76">
        <f t="shared" si="9"/>
        <v>70.194591499999973</v>
      </c>
      <c r="M42" s="76" cm="1">
        <f t="array" ref="M42">Profile_SM(C42,P42*1000,12)/10^3</f>
        <v>525.6335977958513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15"/>
        <v>97.589470003995743</v>
      </c>
      <c r="T42" s="79">
        <v>0</v>
      </c>
      <c r="U42" s="79">
        <v>64.029178808473901</v>
      </c>
      <c r="V42" s="79">
        <f t="shared" si="16"/>
        <v>147.72579961646292</v>
      </c>
      <c r="W42" s="76">
        <f t="shared" si="17"/>
        <v>175.00147311080977</v>
      </c>
      <c r="X42" s="76">
        <f t="shared" si="18"/>
        <v>177.49591798253866</v>
      </c>
      <c r="Y42" s="76">
        <f t="shared" si="19"/>
        <v>374.36800332065206</v>
      </c>
      <c r="Z42" s="76">
        <f t="shared" si="20"/>
        <v>553.6602149333238</v>
      </c>
      <c r="AA42" s="94" t="str">
        <f t="shared" si="21"/>
        <v>OK</v>
      </c>
      <c r="AB42" s="95">
        <f t="shared" si="22"/>
        <v>1.4040558838722066</v>
      </c>
    </row>
    <row r="43" spans="1:28" ht="12" customHeight="1" x14ac:dyDescent="0.45">
      <c r="A43" s="75">
        <v>20</v>
      </c>
      <c r="B43" s="75" t="s">
        <v>276</v>
      </c>
      <c r="C43" s="91" t="s">
        <v>284</v>
      </c>
      <c r="D43" s="91"/>
      <c r="E43" s="91"/>
      <c r="F43" s="92">
        <f>F44-0.7</f>
        <v>9.5000000000000018</v>
      </c>
      <c r="G43" s="79"/>
      <c r="H43" s="79"/>
      <c r="I43" s="79"/>
      <c r="J43" s="79">
        <f t="shared" si="8"/>
        <v>56.774589999999982</v>
      </c>
      <c r="K43" s="79"/>
      <c r="L43" s="76"/>
      <c r="M43" s="76"/>
      <c r="N43" s="76"/>
      <c r="O43" s="92"/>
      <c r="P43" s="92"/>
      <c r="Q43" s="79"/>
      <c r="R43" s="79"/>
      <c r="S43" s="128">
        <f t="shared" si="15"/>
        <v>118.47379559335586</v>
      </c>
      <c r="T43" s="79"/>
      <c r="U43" s="79">
        <v>58.497004363758798</v>
      </c>
      <c r="V43" s="79"/>
      <c r="W43" s="76"/>
      <c r="X43" s="76"/>
      <c r="Y43" s="76"/>
      <c r="Z43" s="76"/>
      <c r="AA43" s="94"/>
      <c r="AB43" s="95"/>
    </row>
    <row r="44" spans="1:28" ht="12" customHeight="1" x14ac:dyDescent="0.45">
      <c r="A44" s="75">
        <v>21</v>
      </c>
      <c r="B44" s="75" t="s">
        <v>276</v>
      </c>
      <c r="C44" s="91" t="s">
        <v>284</v>
      </c>
      <c r="D44" s="91"/>
      <c r="E44" s="91"/>
      <c r="F44" s="92">
        <f>10.9-0.7</f>
        <v>10.200000000000001</v>
      </c>
      <c r="G44" s="79"/>
      <c r="H44" s="79"/>
      <c r="I44" s="79"/>
      <c r="J44" s="79"/>
      <c r="K44" s="79"/>
      <c r="L44" s="76"/>
      <c r="M44" s="76"/>
      <c r="N44" s="76"/>
      <c r="O44" s="92"/>
      <c r="P44" s="92"/>
      <c r="Q44" s="79"/>
      <c r="R44" s="79"/>
      <c r="S44" s="128"/>
      <c r="T44" s="79"/>
      <c r="U44" s="79">
        <v>51.923123655205998</v>
      </c>
      <c r="V44" s="79"/>
      <c r="W44" s="76"/>
      <c r="X44" s="76"/>
      <c r="Y44" s="76"/>
      <c r="Z44" s="76"/>
      <c r="AA44" s="94"/>
      <c r="AB44" s="95"/>
    </row>
    <row r="45" spans="1:28" ht="12" customHeight="1" x14ac:dyDescent="0.45">
      <c r="A45" s="96">
        <v>1</v>
      </c>
      <c r="B45" s="96" t="s">
        <v>277</v>
      </c>
      <c r="C45" s="104" t="s">
        <v>197</v>
      </c>
      <c r="D45" s="97"/>
      <c r="E45" s="97">
        <v>0.75</v>
      </c>
      <c r="F45" s="98">
        <v>10.9</v>
      </c>
      <c r="G45" s="99">
        <v>0</v>
      </c>
      <c r="H45" s="99">
        <v>0</v>
      </c>
      <c r="I45" s="99">
        <v>0</v>
      </c>
      <c r="J45" s="99">
        <f t="shared" si="8"/>
        <v>42.697239999999994</v>
      </c>
      <c r="K45" s="99">
        <v>0</v>
      </c>
      <c r="L45" s="100">
        <f>J45*$F$19+K45*$F$18</f>
        <v>46.966963999999997</v>
      </c>
      <c r="M45" s="100" cm="1">
        <f t="array" ref="M45">Profile_SM(C45,P45*1000,12)/10^3</f>
        <v>926.93146753714063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15"/>
        <v>160.24244677207605</v>
      </c>
      <c r="T45" s="99">
        <v>0</v>
      </c>
      <c r="U45" s="99">
        <v>-17.163520051127001</v>
      </c>
      <c r="V45" s="99">
        <f>SQRT(S45^2+T45^2-S45*T45+3*U45^2)</f>
        <v>162.976688545135</v>
      </c>
      <c r="W45" s="100">
        <f t="shared" si="17"/>
        <v>159.75058418213769</v>
      </c>
      <c r="X45" s="100">
        <f t="shared" ref="X45:X51" si="23">0.577*SQRT((R45/$F$7)^2-S45^2)</f>
        <v>161.63751661793933</v>
      </c>
      <c r="Y45" s="100">
        <f t="shared" si="19"/>
        <v>294.00182941710676</v>
      </c>
      <c r="Z45" s="100">
        <f t="shared" si="20"/>
        <v>435.8545433887287</v>
      </c>
      <c r="AA45" s="102" t="str">
        <f t="shared" si="21"/>
        <v>OK</v>
      </c>
      <c r="AB45" s="103">
        <f t="shared" si="22"/>
        <v>3.1528085025011285</v>
      </c>
    </row>
    <row r="46" spans="1:28" ht="12" customHeight="1" x14ac:dyDescent="0.45">
      <c r="A46" s="96">
        <v>2</v>
      </c>
      <c r="B46" s="96" t="s">
        <v>277</v>
      </c>
      <c r="C46" s="104" t="s">
        <v>197</v>
      </c>
      <c r="D46" s="97"/>
      <c r="E46" s="97">
        <v>1.5</v>
      </c>
      <c r="F46" s="98">
        <v>10.9</v>
      </c>
      <c r="G46" s="99">
        <v>0</v>
      </c>
      <c r="H46" s="99">
        <v>0</v>
      </c>
      <c r="I46" s="99">
        <v>0</v>
      </c>
      <c r="J46" s="99">
        <f t="shared" si="8"/>
        <v>42.697239999999994</v>
      </c>
      <c r="K46" s="99">
        <v>0</v>
      </c>
      <c r="L46" s="100">
        <f t="shared" ref="L46:L62" si="24">J46*$F$19+K46*$F$18</f>
        <v>46.966963999999997</v>
      </c>
      <c r="M46" s="100" cm="1">
        <f t="array" ref="M46">Profile_SM(C46,P46*1000,12)/10^3</f>
        <v>926.93146753714063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15"/>
        <v>160.24244677207605</v>
      </c>
      <c r="T46" s="99">
        <v>0</v>
      </c>
      <c r="U46" s="99">
        <v>-9.3624913332029998</v>
      </c>
      <c r="V46" s="99">
        <f t="shared" si="16"/>
        <v>161.06089059543453</v>
      </c>
      <c r="W46" s="100">
        <f t="shared" si="17"/>
        <v>161.66638213183816</v>
      </c>
      <c r="X46" s="100">
        <f t="shared" si="23"/>
        <v>161.63751661793933</v>
      </c>
      <c r="Y46" s="100">
        <f t="shared" si="19"/>
        <v>290.51781440682373</v>
      </c>
      <c r="Z46" s="100">
        <f t="shared" si="20"/>
        <v>435.8545433887287</v>
      </c>
      <c r="AA46" s="102" t="str">
        <f t="shared" si="21"/>
        <v>OK</v>
      </c>
      <c r="AB46" s="103">
        <f t="shared" si="22"/>
        <v>3.1906183427330945</v>
      </c>
    </row>
    <row r="47" spans="1:28" ht="12" customHeight="1" x14ac:dyDescent="0.45">
      <c r="A47" s="96">
        <v>3</v>
      </c>
      <c r="B47" s="96" t="s">
        <v>277</v>
      </c>
      <c r="C47" s="104" t="s">
        <v>197</v>
      </c>
      <c r="D47" s="97"/>
      <c r="E47" s="97">
        <v>2.25</v>
      </c>
      <c r="F47" s="98">
        <v>10.9</v>
      </c>
      <c r="G47" s="99">
        <v>0</v>
      </c>
      <c r="H47" s="99">
        <v>0</v>
      </c>
      <c r="I47" s="99">
        <v>0</v>
      </c>
      <c r="J47" s="99">
        <f t="shared" si="8"/>
        <v>42.697239999999994</v>
      </c>
      <c r="K47" s="99">
        <v>0</v>
      </c>
      <c r="L47" s="100">
        <f t="shared" si="24"/>
        <v>46.966963999999997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15"/>
        <v>160.24244677207605</v>
      </c>
      <c r="T47" s="99">
        <v>0</v>
      </c>
      <c r="U47" s="99">
        <v>-1.5614624198307101</v>
      </c>
      <c r="V47" s="99">
        <f t="shared" si="16"/>
        <v>160.26526835895311</v>
      </c>
      <c r="W47" s="100">
        <f t="shared" si="17"/>
        <v>162.46200436831958</v>
      </c>
      <c r="X47" s="100">
        <f t="shared" si="23"/>
        <v>161.63751661793933</v>
      </c>
      <c r="Y47" s="100">
        <f t="shared" si="19"/>
        <v>289.09506676724624</v>
      </c>
      <c r="Z47" s="100">
        <f t="shared" si="20"/>
        <v>435.8545433887287</v>
      </c>
      <c r="AA47" s="102" t="str">
        <f t="shared" si="21"/>
        <v>OK</v>
      </c>
      <c r="AB47" s="103">
        <f t="shared" si="22"/>
        <v>3.2063205986265544</v>
      </c>
    </row>
    <row r="48" spans="1:28" ht="12" customHeight="1" x14ac:dyDescent="0.45">
      <c r="A48" s="96">
        <v>4</v>
      </c>
      <c r="B48" s="96" t="s">
        <v>277</v>
      </c>
      <c r="C48" s="104" t="s">
        <v>197</v>
      </c>
      <c r="D48" s="97"/>
      <c r="E48" s="97">
        <v>3</v>
      </c>
      <c r="F48" s="98">
        <v>10.9</v>
      </c>
      <c r="G48" s="99">
        <v>0</v>
      </c>
      <c r="H48" s="99">
        <v>0</v>
      </c>
      <c r="I48" s="99">
        <v>0</v>
      </c>
      <c r="J48" s="99">
        <f t="shared" si="8"/>
        <v>42.697239999999994</v>
      </c>
      <c r="K48" s="99">
        <v>0</v>
      </c>
      <c r="L48" s="100">
        <f t="shared" si="24"/>
        <v>46.966963999999997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15"/>
        <v>160.24244677207605</v>
      </c>
      <c r="T48" s="99">
        <v>0</v>
      </c>
      <c r="U48" s="99">
        <v>6.2395664239448498</v>
      </c>
      <c r="V48" s="99">
        <f t="shared" si="16"/>
        <v>160.60647033970358</v>
      </c>
      <c r="W48" s="100">
        <f t="shared" si="17"/>
        <v>162.12080238756911</v>
      </c>
      <c r="X48" s="100">
        <f t="shared" si="23"/>
        <v>161.63751661793933</v>
      </c>
      <c r="Y48" s="100">
        <f t="shared" si="19"/>
        <v>289.70350077419351</v>
      </c>
      <c r="Z48" s="100">
        <f t="shared" si="20"/>
        <v>435.8545433887287</v>
      </c>
      <c r="AA48" s="102" t="str">
        <f t="shared" si="21"/>
        <v>OK</v>
      </c>
      <c r="AB48" s="103">
        <f t="shared" si="22"/>
        <v>3.1995866983313674</v>
      </c>
    </row>
    <row r="49" spans="1:28" ht="12" customHeight="1" x14ac:dyDescent="0.45">
      <c r="A49" s="96">
        <v>5</v>
      </c>
      <c r="B49" s="96" t="s">
        <v>277</v>
      </c>
      <c r="C49" s="104" t="s">
        <v>197</v>
      </c>
      <c r="D49" s="97"/>
      <c r="E49" s="97">
        <v>3.75</v>
      </c>
      <c r="F49" s="98">
        <v>10.9</v>
      </c>
      <c r="G49" s="99">
        <v>0</v>
      </c>
      <c r="H49" s="99">
        <v>0</v>
      </c>
      <c r="I49" s="99">
        <v>0</v>
      </c>
      <c r="J49" s="99">
        <f t="shared" si="8"/>
        <v>42.697239999999994</v>
      </c>
      <c r="K49" s="99">
        <v>0</v>
      </c>
      <c r="L49" s="100">
        <f t="shared" si="24"/>
        <v>46.966963999999997</v>
      </c>
      <c r="M49" s="100" cm="1">
        <f t="array" ref="M49">Profile_SM(C49,P49*1000,12)/10^3</f>
        <v>926.93146753714063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15"/>
        <v>160.24244677207605</v>
      </c>
      <c r="T49" s="99">
        <v>0</v>
      </c>
      <c r="U49" s="99">
        <v>14.0405955046804</v>
      </c>
      <c r="V49" s="99">
        <f>SQRT(S49^2+T49^2-S49*T49+3*U49^2)</f>
        <v>162.07731708625911</v>
      </c>
      <c r="W49" s="100">
        <f>(R49/$F$7-V49)</f>
        <v>160.64995564101358</v>
      </c>
      <c r="X49" s="100">
        <f t="shared" si="23"/>
        <v>161.63751661793933</v>
      </c>
      <c r="Y49" s="100">
        <f t="shared" si="19"/>
        <v>292.35591016876344</v>
      </c>
      <c r="Z49" s="100">
        <f t="shared" si="20"/>
        <v>435.8545433887287</v>
      </c>
      <c r="AA49" s="102" t="str">
        <f t="shared" si="21"/>
        <v>OK</v>
      </c>
      <c r="AB49" s="103">
        <f t="shared" si="22"/>
        <v>3.1705583341963783</v>
      </c>
    </row>
    <row r="50" spans="1:28" ht="12" customHeight="1" x14ac:dyDescent="0.45">
      <c r="A50" s="96">
        <v>6</v>
      </c>
      <c r="B50" s="96" t="s">
        <v>277</v>
      </c>
      <c r="C50" s="104" t="s">
        <v>197</v>
      </c>
      <c r="D50" s="97"/>
      <c r="E50" s="97">
        <v>4.5</v>
      </c>
      <c r="F50" s="98">
        <v>10.9</v>
      </c>
      <c r="G50" s="99">
        <v>0</v>
      </c>
      <c r="H50" s="99">
        <v>0</v>
      </c>
      <c r="I50" s="99">
        <v>0</v>
      </c>
      <c r="J50" s="99">
        <f t="shared" si="8"/>
        <v>42.697239999999994</v>
      </c>
      <c r="K50" s="99">
        <v>0</v>
      </c>
      <c r="L50" s="100">
        <f t="shared" si="24"/>
        <v>46.966963999999997</v>
      </c>
      <c r="M50" s="100" cm="1">
        <f t="array" ref="M50">Profile_SM(C50,P50*1000,12)/10^3</f>
        <v>926.93146753714063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15"/>
        <v>160.24244677207605</v>
      </c>
      <c r="T50" s="99">
        <v>0</v>
      </c>
      <c r="U50" s="99">
        <v>21.8416244573007</v>
      </c>
      <c r="V50" s="99">
        <f>SQRT(S50^2+T50^2)</f>
        <v>160.24244677207605</v>
      </c>
      <c r="W50" s="100">
        <f t="shared" ref="W50:W57" si="25">(R50/$F$7-V50)</f>
        <v>162.48482595519664</v>
      </c>
      <c r="X50" s="100">
        <f t="shared" si="23"/>
        <v>161.63751661793933</v>
      </c>
      <c r="Y50" s="100">
        <f t="shared" si="19"/>
        <v>289.05446230991816</v>
      </c>
      <c r="Z50" s="100">
        <f t="shared" si="20"/>
        <v>435.8545433887287</v>
      </c>
      <c r="AA50" s="102" t="str">
        <f t="shared" si="21"/>
        <v>OK</v>
      </c>
      <c r="AB50" s="103">
        <f t="shared" si="22"/>
        <v>3.2067710013184438</v>
      </c>
    </row>
    <row r="51" spans="1:28" ht="12" customHeight="1" x14ac:dyDescent="0.45">
      <c r="A51" s="96">
        <v>7</v>
      </c>
      <c r="B51" s="96" t="s">
        <v>277</v>
      </c>
      <c r="C51" s="104" t="s">
        <v>197</v>
      </c>
      <c r="D51" s="97"/>
      <c r="E51" s="97">
        <v>5.25</v>
      </c>
      <c r="F51" s="98">
        <v>10.9</v>
      </c>
      <c r="G51" s="99">
        <v>0</v>
      </c>
      <c r="H51" s="99">
        <v>0</v>
      </c>
      <c r="I51" s="99">
        <v>0</v>
      </c>
      <c r="J51" s="99">
        <f t="shared" si="8"/>
        <v>42.697239999999994</v>
      </c>
      <c r="K51" s="99">
        <v>0</v>
      </c>
      <c r="L51" s="100">
        <f t="shared" si="24"/>
        <v>46.966963999999997</v>
      </c>
      <c r="M51" s="100" cm="1">
        <f t="array" ref="M51">Profile_SM(C51,P51*1000,12)/10^3</f>
        <v>926.93146753714063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29">
        <f t="shared" si="15"/>
        <v>160.24244677207605</v>
      </c>
      <c r="T51" s="99">
        <v>0</v>
      </c>
      <c r="U51" s="99">
        <v>29.642653358557101</v>
      </c>
      <c r="V51" s="99">
        <f>SQRT(S51^2+T51^2)</f>
        <v>160.24244677207605</v>
      </c>
      <c r="W51" s="100">
        <f t="shared" si="25"/>
        <v>162.48482595519664</v>
      </c>
      <c r="X51" s="100">
        <f t="shared" si="23"/>
        <v>161.63751661793933</v>
      </c>
      <c r="Y51" s="100">
        <f t="shared" si="19"/>
        <v>289.05446230991816</v>
      </c>
      <c r="Z51" s="100">
        <f t="shared" si="20"/>
        <v>435.8545433887287</v>
      </c>
      <c r="AA51" s="102" t="str">
        <f t="shared" si="21"/>
        <v>OK</v>
      </c>
      <c r="AB51" s="103">
        <f t="shared" si="22"/>
        <v>3.2067710013184438</v>
      </c>
    </row>
    <row r="52" spans="1:28" ht="12" customHeight="1" x14ac:dyDescent="0.45">
      <c r="A52" s="105">
        <v>8</v>
      </c>
      <c r="B52" s="105" t="s">
        <v>278</v>
      </c>
      <c r="C52" s="106" t="s">
        <v>204</v>
      </c>
      <c r="D52" s="106"/>
      <c r="E52" s="106"/>
      <c r="F52" s="107">
        <v>0.7</v>
      </c>
      <c r="G52" s="108">
        <v>0</v>
      </c>
      <c r="H52" s="108">
        <v>0</v>
      </c>
      <c r="I52" s="108">
        <v>0</v>
      </c>
      <c r="J52" s="108">
        <f t="shared" si="8"/>
        <v>145.26078999999999</v>
      </c>
      <c r="K52" s="108">
        <v>0</v>
      </c>
      <c r="L52" s="109">
        <f t="shared" si="24"/>
        <v>159.786869</v>
      </c>
      <c r="M52" s="109" cm="1">
        <f t="array" ref="M52">Profile_SM(C52,P52*1000,12)/10^3</f>
        <v>525.6335977958513</v>
      </c>
      <c r="N52" s="109" cm="1">
        <f t="array" ref="N52">Profile_ShearArea(C52,P52,12)</f>
        <v>3000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15"/>
        <v>144.07201181574291</v>
      </c>
      <c r="T52" s="108">
        <v>0</v>
      </c>
      <c r="U52" s="108">
        <v>-57.721728718353603</v>
      </c>
      <c r="V52" s="108">
        <f t="shared" ref="V52:V57" si="26">SQRT(S52^2+T52^2-S52*T52+3*U52^2)</f>
        <v>175.36287659405335</v>
      </c>
      <c r="W52" s="109">
        <f t="shared" si="25"/>
        <v>147.36439613321934</v>
      </c>
      <c r="X52" s="109">
        <f t="shared" ref="X52:X57" si="27">0.577*SQRT((R52/$F$7)^2-S52^2)</f>
        <v>166.62831736718323</v>
      </c>
      <c r="Y52" s="109">
        <f t="shared" si="19"/>
        <v>1012.0111436676142</v>
      </c>
      <c r="Z52" s="109">
        <f t="shared" si="20"/>
        <v>1342.5186074888441</v>
      </c>
      <c r="AA52" s="111" t="str">
        <f t="shared" si="21"/>
        <v>N.G</v>
      </c>
      <c r="AB52" s="112">
        <f t="shared" si="22"/>
        <v>0.51939506900182009</v>
      </c>
    </row>
    <row r="53" spans="1:28" ht="12" customHeight="1" x14ac:dyDescent="0.45">
      <c r="A53" s="105">
        <v>9</v>
      </c>
      <c r="B53" s="105" t="s">
        <v>278</v>
      </c>
      <c r="C53" s="106" t="s">
        <v>204</v>
      </c>
      <c r="D53" s="106"/>
      <c r="E53" s="106"/>
      <c r="F53" s="107">
        <v>1.4</v>
      </c>
      <c r="G53" s="108">
        <v>0</v>
      </c>
      <c r="H53" s="108">
        <v>0</v>
      </c>
      <c r="I53" s="108">
        <v>0</v>
      </c>
      <c r="J53" s="108">
        <f t="shared" si="8"/>
        <v>138.22211499999997</v>
      </c>
      <c r="K53" s="108">
        <v>0</v>
      </c>
      <c r="L53" s="109">
        <f t="shared" si="24"/>
        <v>152.04432649999998</v>
      </c>
      <c r="M53" s="109" cm="1">
        <f t="array" ref="M53">Profile_SM(C53,P53*1000,12)/10^3</f>
        <v>525.6335977958513</v>
      </c>
      <c r="N53" s="109" cm="1">
        <f t="array" ref="N53">Profile_ShearArea(C53,P53,12)</f>
        <v>3000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15"/>
        <v>123.18768622638278</v>
      </c>
      <c r="T53" s="108">
        <v>0</v>
      </c>
      <c r="U53" s="108">
        <v>-64.594763925921896</v>
      </c>
      <c r="V53" s="108">
        <f t="shared" si="26"/>
        <v>166.41110725473371</v>
      </c>
      <c r="W53" s="109">
        <f t="shared" si="25"/>
        <v>156.31616547253898</v>
      </c>
      <c r="X53" s="109">
        <f t="shared" si="27"/>
        <v>172.11406739952034</v>
      </c>
      <c r="Y53" s="109">
        <f t="shared" si="19"/>
        <v>907.82701608424804</v>
      </c>
      <c r="Z53" s="109">
        <f t="shared" si="20"/>
        <v>1236.7499084539859</v>
      </c>
      <c r="AA53" s="111" t="str">
        <f t="shared" si="21"/>
        <v>N.G</v>
      </c>
      <c r="AB53" s="112">
        <f t="shared" si="22"/>
        <v>0.57900193371979525</v>
      </c>
    </row>
    <row r="54" spans="1:28" ht="12" customHeight="1" x14ac:dyDescent="0.45">
      <c r="A54" s="105">
        <v>10</v>
      </c>
      <c r="B54" s="105" t="s">
        <v>278</v>
      </c>
      <c r="C54" s="106" t="s">
        <v>204</v>
      </c>
      <c r="D54" s="106"/>
      <c r="E54" s="106"/>
      <c r="F54" s="107">
        <v>2.0999999999999996</v>
      </c>
      <c r="G54" s="108">
        <v>0</v>
      </c>
      <c r="H54" s="108">
        <v>0</v>
      </c>
      <c r="I54" s="108">
        <v>0</v>
      </c>
      <c r="J54" s="108">
        <f t="shared" si="8"/>
        <v>131.18343999999999</v>
      </c>
      <c r="K54" s="108">
        <v>0</v>
      </c>
      <c r="L54" s="109">
        <f t="shared" si="24"/>
        <v>144.301784</v>
      </c>
      <c r="M54" s="109" cm="1">
        <f t="array" ref="M54">Profile_SM(C54,P54*1000,12)/10^3</f>
        <v>525.6335977958513</v>
      </c>
      <c r="N54" s="109" cm="1">
        <f t="array" ref="N54">Profile_ShearArea(C54,P54,12)</f>
        <v>3000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15"/>
        <v>102.30336063702268</v>
      </c>
      <c r="T54" s="108">
        <v>0</v>
      </c>
      <c r="U54" s="108">
        <v>-70.426092946821498</v>
      </c>
      <c r="V54" s="108">
        <f t="shared" si="26"/>
        <v>159.20264225474321</v>
      </c>
      <c r="W54" s="109">
        <f t="shared" si="25"/>
        <v>163.52463047252948</v>
      </c>
      <c r="X54" s="109">
        <f t="shared" si="27"/>
        <v>176.60999663713164</v>
      </c>
      <c r="Y54" s="109">
        <f t="shared" si="19"/>
        <v>823.61699688593296</v>
      </c>
      <c r="Z54" s="109">
        <f t="shared" si="20"/>
        <v>1143.8905013688532</v>
      </c>
      <c r="AA54" s="111" t="str">
        <f t="shared" si="21"/>
        <v>N.G</v>
      </c>
      <c r="AB54" s="112">
        <f t="shared" si="22"/>
        <v>0.63820149387792324</v>
      </c>
    </row>
    <row r="55" spans="1:28" ht="12" customHeight="1" x14ac:dyDescent="0.45">
      <c r="A55" s="105">
        <v>11</v>
      </c>
      <c r="B55" s="105" t="s">
        <v>278</v>
      </c>
      <c r="C55" s="106" t="s">
        <v>204</v>
      </c>
      <c r="D55" s="106"/>
      <c r="E55" s="106"/>
      <c r="F55" s="107">
        <v>2.8</v>
      </c>
      <c r="G55" s="108">
        <v>0</v>
      </c>
      <c r="H55" s="108">
        <v>0</v>
      </c>
      <c r="I55" s="108">
        <v>0</v>
      </c>
      <c r="J55" s="108">
        <f t="shared" si="8"/>
        <v>124.14476499999999</v>
      </c>
      <c r="K55" s="108">
        <v>0</v>
      </c>
      <c r="L55" s="109">
        <f t="shared" si="24"/>
        <v>136.55924150000001</v>
      </c>
      <c r="M55" s="109" cm="1">
        <f t="array" ref="M55">Profile_SM(C55,P55*1000,12)/10^3</f>
        <v>525.6335977958513</v>
      </c>
      <c r="N55" s="109" cm="1">
        <f t="array" ref="N55">Profile_ShearArea(C55,P55,12)</f>
        <v>3000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15"/>
        <v>81.419035047662547</v>
      </c>
      <c r="T55" s="108">
        <v>0</v>
      </c>
      <c r="U55" s="108">
        <v>-75.215715930860199</v>
      </c>
      <c r="V55" s="108">
        <f t="shared" si="26"/>
        <v>153.62705177496596</v>
      </c>
      <c r="W55" s="109">
        <f t="shared" si="25"/>
        <v>169.10022095230673</v>
      </c>
      <c r="X55" s="109">
        <f t="shared" si="27"/>
        <v>180.19021142865063</v>
      </c>
      <c r="Y55" s="109">
        <f t="shared" si="19"/>
        <v>753.72634848664291</v>
      </c>
      <c r="Z55" s="109">
        <f t="shared" si="20"/>
        <v>1061.0062365996064</v>
      </c>
      <c r="AA55" s="111" t="str">
        <f t="shared" si="21"/>
        <v>N.G</v>
      </c>
      <c r="AB55" s="112">
        <f t="shared" si="22"/>
        <v>0.69737988973217679</v>
      </c>
    </row>
    <row r="56" spans="1:28" ht="12" customHeight="1" x14ac:dyDescent="0.45">
      <c r="A56" s="105">
        <v>12</v>
      </c>
      <c r="B56" s="105" t="s">
        <v>278</v>
      </c>
      <c r="C56" s="106" t="s">
        <v>204</v>
      </c>
      <c r="D56" s="106"/>
      <c r="E56" s="106"/>
      <c r="F56" s="107">
        <v>3.5</v>
      </c>
      <c r="G56" s="108">
        <v>0</v>
      </c>
      <c r="H56" s="108">
        <v>0</v>
      </c>
      <c r="I56" s="108">
        <v>0</v>
      </c>
      <c r="J56" s="108">
        <f t="shared" si="8"/>
        <v>117.10608999999999</v>
      </c>
      <c r="K56" s="108">
        <v>0</v>
      </c>
      <c r="L56" s="109">
        <f t="shared" si="24"/>
        <v>128.816699</v>
      </c>
      <c r="M56" s="109" cm="1">
        <f t="array" ref="M56">Profile_SM(C56,P56*1000,12)/10^3</f>
        <v>525.6335977958513</v>
      </c>
      <c r="N56" s="109" cm="1">
        <f t="array" ref="N56">Profile_ShearArea(C56,P56,12)</f>
        <v>3000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15"/>
        <v>60.534709458302423</v>
      </c>
      <c r="T56" s="108">
        <v>0</v>
      </c>
      <c r="U56" s="108">
        <v>-78.480086958171597</v>
      </c>
      <c r="V56" s="108">
        <f t="shared" si="26"/>
        <v>148.80128761569105</v>
      </c>
      <c r="W56" s="109">
        <f t="shared" si="25"/>
        <v>173.92598511158164</v>
      </c>
      <c r="X56" s="109">
        <f t="shared" si="27"/>
        <v>182.90849172307205</v>
      </c>
      <c r="Y56" s="109">
        <f t="shared" si="19"/>
        <v>691.26484458049333</v>
      </c>
      <c r="Z56" s="109">
        <f t="shared" si="20"/>
        <v>985.97597575209522</v>
      </c>
      <c r="AA56" s="111" t="str">
        <f t="shared" si="21"/>
        <v>N.G</v>
      </c>
      <c r="AB56" s="112">
        <f t="shared" si="22"/>
        <v>0.76039393861384874</v>
      </c>
    </row>
    <row r="57" spans="1:28" ht="12" customHeight="1" x14ac:dyDescent="0.45">
      <c r="A57" s="105">
        <v>13</v>
      </c>
      <c r="B57" s="105" t="s">
        <v>278</v>
      </c>
      <c r="C57" s="106" t="s">
        <v>204</v>
      </c>
      <c r="D57" s="106"/>
      <c r="E57" s="106"/>
      <c r="F57" s="107">
        <v>4.2</v>
      </c>
      <c r="G57" s="108">
        <v>0</v>
      </c>
      <c r="H57" s="108">
        <v>0</v>
      </c>
      <c r="I57" s="108">
        <v>0</v>
      </c>
      <c r="J57" s="108">
        <f t="shared" si="8"/>
        <v>110.067415</v>
      </c>
      <c r="K57" s="108">
        <v>0</v>
      </c>
      <c r="L57" s="109">
        <f t="shared" si="24"/>
        <v>121.0741565</v>
      </c>
      <c r="M57" s="109" cm="1">
        <f t="array" ref="M57">Profile_SM(C57,P57*1000,12)/10^3</f>
        <v>525.6335977958513</v>
      </c>
      <c r="N57" s="109" cm="1">
        <f t="array" ref="N57">Profile_ShearArea(C57,P57,12)</f>
        <v>3000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15"/>
        <v>39.650383868942285</v>
      </c>
      <c r="T57" s="108">
        <v>0</v>
      </c>
      <c r="U57" s="108">
        <v>-80.825813694463804</v>
      </c>
      <c r="V57" s="108">
        <f t="shared" si="26"/>
        <v>145.50116638388502</v>
      </c>
      <c r="W57" s="109">
        <f t="shared" si="25"/>
        <v>177.22610634338767</v>
      </c>
      <c r="X57" s="109">
        <f t="shared" si="27"/>
        <v>184.802876225695</v>
      </c>
      <c r="Y57" s="109">
        <f t="shared" si="19"/>
        <v>637.61794691644639</v>
      </c>
      <c r="Z57" s="109">
        <f t="shared" si="20"/>
        <v>917.21418281926162</v>
      </c>
      <c r="AA57" s="111" t="str">
        <f t="shared" si="21"/>
        <v>N.G</v>
      </c>
      <c r="AB57" s="112">
        <f t="shared" si="22"/>
        <v>0.82437076989103386</v>
      </c>
    </row>
    <row r="58" spans="1:28" ht="12" customHeight="1" x14ac:dyDescent="0.45">
      <c r="A58" s="105">
        <v>14</v>
      </c>
      <c r="B58" s="105" t="s">
        <v>278</v>
      </c>
      <c r="C58" s="106" t="s">
        <v>204</v>
      </c>
      <c r="D58" s="106"/>
      <c r="E58" s="106"/>
      <c r="F58" s="107">
        <v>4.9000000000000004</v>
      </c>
      <c r="G58" s="108">
        <v>0</v>
      </c>
      <c r="H58" s="108">
        <v>0</v>
      </c>
      <c r="I58" s="108">
        <v>0</v>
      </c>
      <c r="J58" s="108">
        <f t="shared" si="8"/>
        <v>103.02873999999998</v>
      </c>
      <c r="K58" s="108">
        <v>0</v>
      </c>
      <c r="L58" s="109">
        <f t="shared" si="24"/>
        <v>113.33161399999999</v>
      </c>
      <c r="M58" s="109"/>
      <c r="N58" s="109"/>
      <c r="O58" s="107"/>
      <c r="P58" s="107"/>
      <c r="Q58" s="108"/>
      <c r="R58" s="108"/>
      <c r="S58" s="130"/>
      <c r="T58" s="108"/>
      <c r="U58" s="108">
        <v>-82.252895428864093</v>
      </c>
      <c r="V58" s="108"/>
      <c r="W58" s="109"/>
      <c r="X58" s="109"/>
      <c r="Y58" s="109"/>
      <c r="Z58" s="109"/>
      <c r="AA58" s="111"/>
      <c r="AB58" s="112"/>
    </row>
    <row r="59" spans="1:28" ht="12" customHeight="1" x14ac:dyDescent="0.45">
      <c r="A59" s="105">
        <v>15</v>
      </c>
      <c r="B59" s="105" t="s">
        <v>278</v>
      </c>
      <c r="C59" s="106" t="s">
        <v>204</v>
      </c>
      <c r="D59" s="106"/>
      <c r="E59" s="106"/>
      <c r="F59" s="107">
        <v>5.6000000000000005</v>
      </c>
      <c r="G59" s="108">
        <v>0</v>
      </c>
      <c r="H59" s="108">
        <v>0</v>
      </c>
      <c r="I59" s="108">
        <v>0</v>
      </c>
      <c r="J59" s="108">
        <f t="shared" si="8"/>
        <v>95.990064999999987</v>
      </c>
      <c r="K59" s="108">
        <v>0</v>
      </c>
      <c r="L59" s="109">
        <f t="shared" si="24"/>
        <v>105.58907149999999</v>
      </c>
      <c r="M59" s="109" cm="1">
        <f t="array" ref="M59">Profile_SM(C59,P59*1000,12)/10^3</f>
        <v>525.6335977958513</v>
      </c>
      <c r="N59" s="109" cm="1">
        <f t="array" ref="N59">Profile_ShearArea(C59,P59,12)</f>
        <v>3000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9:S62" si="28">$M$11/ABS(($M$12/(F59-$M$13)))/1000</f>
        <v>2.1182673097779738</v>
      </c>
      <c r="T59" s="108">
        <v>0</v>
      </c>
      <c r="U59" s="108">
        <v>-82.761332403397006</v>
      </c>
      <c r="V59" s="108">
        <f t="shared" ref="V59:V62" si="29">SQRT(S59^2+T59^2-S59*T59+3*U59^2)</f>
        <v>143.36248281873605</v>
      </c>
      <c r="W59" s="109">
        <f t="shared" ref="W59:W62" si="30">(R59/$F$7-V59)</f>
        <v>179.36478990853664</v>
      </c>
      <c r="X59" s="109">
        <f t="shared" ref="X59:X62" si="31">0.577*SQRT((R59/$F$7)^2-S59^2)</f>
        <v>186.20962514480777</v>
      </c>
      <c r="Y59" s="109">
        <f>O59^2*P59*L59*1000000/($F$8*W59*Q59)/10^3</f>
        <v>549.43782509889525</v>
      </c>
      <c r="Z59" s="109">
        <f>O59*P59*L59*1000/(2*X59)</f>
        <v>793.86175652865745</v>
      </c>
      <c r="AA59" s="111" t="str">
        <f>IF(AND(M59&gt;=Y59,N59&gt;=Z59),"OK","N.G")</f>
        <v>N.G</v>
      </c>
      <c r="AB59" s="112">
        <f>M59/Y59</f>
        <v>0.95667530298126213</v>
      </c>
    </row>
    <row r="60" spans="1:28" ht="12" customHeight="1" x14ac:dyDescent="0.45">
      <c r="A60" s="105">
        <v>16</v>
      </c>
      <c r="B60" s="105" t="s">
        <v>278</v>
      </c>
      <c r="C60" s="106" t="s">
        <v>204</v>
      </c>
      <c r="D60" s="106"/>
      <c r="E60" s="106"/>
      <c r="F60" s="107">
        <v>6.3</v>
      </c>
      <c r="G60" s="108">
        <v>0</v>
      </c>
      <c r="H60" s="108">
        <v>0</v>
      </c>
      <c r="I60" s="108">
        <v>0</v>
      </c>
      <c r="J60" s="108">
        <f t="shared" si="8"/>
        <v>88.951390000000004</v>
      </c>
      <c r="K60" s="108">
        <v>0</v>
      </c>
      <c r="L60" s="109">
        <f t="shared" si="24"/>
        <v>97.846529000000018</v>
      </c>
      <c r="M60" s="109" cm="1">
        <f t="array" ref="M60">Profile_SM(C60,P60*1000,12)/10^3</f>
        <v>525.6335977958513</v>
      </c>
      <c r="N60" s="109" cm="1">
        <f t="array" ref="N60">Profile_ShearArea(C60,P60,12)</f>
        <v>3000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28"/>
        <v>23.002592899138079</v>
      </c>
      <c r="T60" s="108">
        <v>0</v>
      </c>
      <c r="U60" s="108">
        <v>-82.351124643860004</v>
      </c>
      <c r="V60" s="108">
        <f t="shared" si="29"/>
        <v>144.47921120496602</v>
      </c>
      <c r="W60" s="109">
        <f t="shared" si="30"/>
        <v>178.24806152230667</v>
      </c>
      <c r="X60" s="109">
        <f t="shared" si="31"/>
        <v>185.74003126674029</v>
      </c>
      <c r="Y60" s="109">
        <f>O60^2*P60*L60*1000000/($F$8*W60*Q60)/10^3</f>
        <v>512.33896339028695</v>
      </c>
      <c r="Z60" s="109">
        <f>O60*P60*L60*1000/(2*X60)</f>
        <v>737.51005459494286</v>
      </c>
      <c r="AA60" s="111" t="str">
        <f>IF(AND(M60&gt;=Y60,N60&gt;=Z60),"OK","N.G")</f>
        <v>OK</v>
      </c>
      <c r="AB60" s="112">
        <f>M60/Y60</f>
        <v>1.0259489036664129</v>
      </c>
    </row>
    <row r="61" spans="1:28" ht="12" customHeight="1" x14ac:dyDescent="0.45">
      <c r="A61" s="105">
        <v>17</v>
      </c>
      <c r="B61" s="105" t="s">
        <v>278</v>
      </c>
      <c r="C61" s="106" t="s">
        <v>204</v>
      </c>
      <c r="D61" s="106"/>
      <c r="E61" s="106"/>
      <c r="F61" s="107">
        <v>7</v>
      </c>
      <c r="G61" s="108">
        <v>0</v>
      </c>
      <c r="H61" s="108">
        <v>0</v>
      </c>
      <c r="I61" s="108">
        <v>0</v>
      </c>
      <c r="J61" s="108">
        <f t="shared" si="8"/>
        <v>81.912714999999992</v>
      </c>
      <c r="K61" s="108">
        <v>0</v>
      </c>
      <c r="L61" s="109">
        <f t="shared" si="24"/>
        <v>90.103986500000005</v>
      </c>
      <c r="M61" s="109" cm="1">
        <f t="array" ref="M61">Profile_SM(C61,P61*1000,12)/10^3</f>
        <v>525.6335977958513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28"/>
        <v>43.88691848849821</v>
      </c>
      <c r="T61" s="108">
        <v>0</v>
      </c>
      <c r="U61" s="108">
        <v>-80.092466037689306</v>
      </c>
      <c r="V61" s="108">
        <f t="shared" si="29"/>
        <v>145.50075931901981</v>
      </c>
      <c r="W61" s="109">
        <f t="shared" si="30"/>
        <v>177.22651340825288</v>
      </c>
      <c r="X61" s="109">
        <f t="shared" si="31"/>
        <v>184.48381121535476</v>
      </c>
      <c r="Y61" s="109">
        <f>O61^2*P61*L61*1000000/($F$8*W61*Q61)/10^3</f>
        <v>474.51734195629967</v>
      </c>
      <c r="Z61" s="109">
        <f>O61*P61*L61*1000/(2*X61)</f>
        <v>683.77588401372304</v>
      </c>
      <c r="AA61" s="111" t="str">
        <f>IF(AND(M61&gt;=Y61,N61&gt;=Z61),"OK","N.G")</f>
        <v>OK</v>
      </c>
      <c r="AB61" s="112">
        <f>M61/Y61</f>
        <v>1.1077226295435565</v>
      </c>
    </row>
    <row r="62" spans="1:28" ht="12" customHeight="1" x14ac:dyDescent="0.45">
      <c r="A62" s="105">
        <v>18</v>
      </c>
      <c r="B62" s="105" t="s">
        <v>278</v>
      </c>
      <c r="C62" s="106" t="s">
        <v>204</v>
      </c>
      <c r="D62" s="106"/>
      <c r="E62" s="106"/>
      <c r="F62" s="107">
        <v>8.1000000000000032</v>
      </c>
      <c r="G62" s="108">
        <v>0</v>
      </c>
      <c r="H62" s="108">
        <v>0</v>
      </c>
      <c r="I62" s="108">
        <v>0</v>
      </c>
      <c r="J62" s="108">
        <f t="shared" si="8"/>
        <v>70.851939999999956</v>
      </c>
      <c r="K62" s="108">
        <v>0</v>
      </c>
      <c r="L62" s="109">
        <f t="shared" si="24"/>
        <v>77.937133999999958</v>
      </c>
      <c r="M62" s="109" cm="1">
        <f t="array" ref="M62">Profile_SM(C62,P62*1000,12)/10^3</f>
        <v>525.6335977958513</v>
      </c>
      <c r="N62" s="109" cm="1">
        <f t="array" ref="N62">Profile_ShearArea(C62,P62,12)</f>
        <v>3000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si="28"/>
        <v>76.70514441463564</v>
      </c>
      <c r="T62" s="108">
        <v>0</v>
      </c>
      <c r="U62" s="108">
        <v>-77.320028857115105</v>
      </c>
      <c r="V62" s="108">
        <f t="shared" si="29"/>
        <v>154.33353416242838</v>
      </c>
      <c r="W62" s="109">
        <f t="shared" si="30"/>
        <v>168.39373856484431</v>
      </c>
      <c r="X62" s="109">
        <f t="shared" si="31"/>
        <v>180.8775025871382</v>
      </c>
      <c r="Y62" s="109">
        <f>O62^2*P62*L62*1000000/($F$8*W62*Q62)/10^3</f>
        <v>431.97167357060437</v>
      </c>
      <c r="Z62" s="109">
        <f>O62*P62*L62*1000/(2*X62)</f>
        <v>603.23692023243723</v>
      </c>
      <c r="AA62" s="111" t="str">
        <f>IF(AND(M62&gt;=Y62,N62&gt;=Z62),"OK","N.G")</f>
        <v>OK</v>
      </c>
      <c r="AB62" s="112">
        <f>M62/Y62</f>
        <v>1.2168242270402905</v>
      </c>
    </row>
    <row r="63" spans="1:28" ht="12" customHeight="1" x14ac:dyDescent="0.45">
      <c r="A63" s="105">
        <v>19</v>
      </c>
      <c r="B63" s="105" t="s">
        <v>278</v>
      </c>
      <c r="C63" s="106" t="s">
        <v>204</v>
      </c>
      <c r="D63" s="106"/>
      <c r="E63" s="106"/>
      <c r="F63" s="107">
        <v>8.8000000000000025</v>
      </c>
      <c r="G63" s="108">
        <v>0</v>
      </c>
      <c r="H63" s="108">
        <v>0</v>
      </c>
      <c r="I63" s="108">
        <v>0</v>
      </c>
      <c r="J63" s="108">
        <f t="shared" ref="J63:J65" si="32">1.025*9.81*(($F$10+0.76)-F63)+25</f>
        <v>63.813264999999973</v>
      </c>
      <c r="K63" s="108">
        <v>1</v>
      </c>
      <c r="L63" s="109">
        <f t="shared" ref="L63:L65" si="33">J63*$F$19+K63*$F$18</f>
        <v>71.544591499999967</v>
      </c>
      <c r="M63" s="109" cm="1">
        <f t="array" ref="M63">Profile_SM(C63,P63*1000,12)/10^3</f>
        <v>525.6335977958513</v>
      </c>
      <c r="N63" s="109" cm="1">
        <f t="array" ref="N63">Profile_ShearArea(C63,P63,12)</f>
        <v>3000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ref="S63:S65" si="34">$M$11/ABS(($M$12/(F63-$M$13)))/1000</f>
        <v>97.589470003995743</v>
      </c>
      <c r="T63" s="108">
        <v>0</v>
      </c>
      <c r="U63" s="108">
        <v>-73.628946939413893</v>
      </c>
      <c r="V63" s="108">
        <f t="shared" ref="V63:V65" si="35">SQRT(S63^2+T63^2-S63*T63+3*U63^2)</f>
        <v>160.58446418592885</v>
      </c>
      <c r="W63" s="109">
        <f t="shared" ref="W63:W65" si="36">(R63/$F$7-V63)</f>
        <v>162.14280854134384</v>
      </c>
      <c r="X63" s="109">
        <f t="shared" ref="X63:X65" si="37">0.577*SQRT((R63/$F$7)^2-S63^2)</f>
        <v>177.49591798253866</v>
      </c>
      <c r="Y63" s="109">
        <f t="shared" ref="Y63:Y65" si="38">O63^2*P63*L63*1000000/($F$8*W63*Q63)/10^3</f>
        <v>411.82802165191356</v>
      </c>
      <c r="Z63" s="109">
        <f t="shared" ref="Z63:Z65" si="39">O63*P63*L63*1000/(2*X63)</f>
        <v>564.3083471353608</v>
      </c>
      <c r="AA63" s="111" t="str">
        <f t="shared" ref="AA63:AA65" si="40">IF(AND(M63&gt;=Y63,N63&gt;=Z63),"OK","N.G")</f>
        <v>OK</v>
      </c>
      <c r="AB63" s="112">
        <f t="shared" ref="AB63:AB65" si="41">M63/Y63</f>
        <v>1.2763424783176334</v>
      </c>
    </row>
    <row r="64" spans="1:28" ht="12" customHeight="1" x14ac:dyDescent="0.45">
      <c r="A64" s="105">
        <v>20</v>
      </c>
      <c r="B64" s="105" t="s">
        <v>278</v>
      </c>
      <c r="C64" s="106" t="s">
        <v>204</v>
      </c>
      <c r="D64" s="106"/>
      <c r="E64" s="106"/>
      <c r="F64" s="107">
        <v>9.5000000000000018</v>
      </c>
      <c r="G64" s="108">
        <v>0</v>
      </c>
      <c r="H64" s="108">
        <v>0</v>
      </c>
      <c r="I64" s="108">
        <v>0</v>
      </c>
      <c r="J64" s="108">
        <f t="shared" si="32"/>
        <v>56.774589999999982</v>
      </c>
      <c r="K64" s="108">
        <v>2</v>
      </c>
      <c r="L64" s="109">
        <f t="shared" si="33"/>
        <v>65.152048999999991</v>
      </c>
      <c r="M64" s="109" cm="1">
        <f t="array" ref="M64">Profile_SM(C64,P64*1000,12)/10^3</f>
        <v>525.6335977958513</v>
      </c>
      <c r="N64" s="109" cm="1">
        <f t="array" ref="N64">Profile_ShearArea(C64,P64,12)</f>
        <v>3000</v>
      </c>
      <c r="O64" s="107">
        <v>4</v>
      </c>
      <c r="P64" s="107">
        <v>0.7</v>
      </c>
      <c r="Q64" s="108">
        <v>1</v>
      </c>
      <c r="R64" s="108">
        <v>355</v>
      </c>
      <c r="S64" s="130">
        <f t="shared" si="34"/>
        <v>118.47379559335586</v>
      </c>
      <c r="T64" s="108">
        <v>0</v>
      </c>
      <c r="U64" s="108">
        <v>-69.019220364061695</v>
      </c>
      <c r="V64" s="108">
        <f t="shared" si="35"/>
        <v>168.30626423661417</v>
      </c>
      <c r="W64" s="109">
        <f t="shared" si="36"/>
        <v>154.42100849065852</v>
      </c>
      <c r="X64" s="109">
        <f t="shared" si="37"/>
        <v>173.21233652930479</v>
      </c>
      <c r="Y64" s="109">
        <f t="shared" si="38"/>
        <v>393.78436691368449</v>
      </c>
      <c r="Z64" s="109">
        <f t="shared" si="39"/>
        <v>526.59568266125314</v>
      </c>
      <c r="AA64" s="111" t="str">
        <f t="shared" si="40"/>
        <v>OK</v>
      </c>
      <c r="AB64" s="112">
        <f t="shared" si="41"/>
        <v>1.3348259655799579</v>
      </c>
    </row>
    <row r="65" spans="1:28" ht="12" customHeight="1" x14ac:dyDescent="0.45">
      <c r="A65" s="105">
        <v>21</v>
      </c>
      <c r="B65" s="105" t="s">
        <v>278</v>
      </c>
      <c r="C65" s="106" t="s">
        <v>204</v>
      </c>
      <c r="D65" s="106"/>
      <c r="E65" s="106"/>
      <c r="F65" s="107">
        <v>10.200000000000001</v>
      </c>
      <c r="G65" s="108">
        <v>0</v>
      </c>
      <c r="H65" s="108">
        <v>0</v>
      </c>
      <c r="I65" s="108">
        <v>0</v>
      </c>
      <c r="J65" s="108">
        <f t="shared" si="32"/>
        <v>49.735914999999991</v>
      </c>
      <c r="K65" s="108">
        <v>3</v>
      </c>
      <c r="L65" s="109">
        <f t="shared" si="33"/>
        <v>58.759506500000001</v>
      </c>
      <c r="M65" s="109" cm="1">
        <f t="array" ref="M65">Profile_SM(C65,P65*1000,12)/10^3</f>
        <v>525.6335977958513</v>
      </c>
      <c r="N65" s="109" cm="1">
        <f t="array" ref="N65">Profile_ShearArea(C65,P65,12)</f>
        <v>3000</v>
      </c>
      <c r="O65" s="107">
        <v>4</v>
      </c>
      <c r="P65" s="107">
        <v>0.7</v>
      </c>
      <c r="Q65" s="108">
        <v>1</v>
      </c>
      <c r="R65" s="108">
        <v>355</v>
      </c>
      <c r="S65" s="130">
        <f t="shared" si="34"/>
        <v>139.35812118271596</v>
      </c>
      <c r="T65" s="108">
        <v>0</v>
      </c>
      <c r="U65" s="108">
        <v>-63.490849084463299</v>
      </c>
      <c r="V65" s="108">
        <f t="shared" si="35"/>
        <v>177.52168794819079</v>
      </c>
      <c r="W65" s="109">
        <f t="shared" si="36"/>
        <v>145.2055847790819</v>
      </c>
      <c r="X65" s="109">
        <f t="shared" si="37"/>
        <v>167.9577590306304</v>
      </c>
      <c r="Y65" s="109">
        <f t="shared" si="38"/>
        <v>377.68661687568334</v>
      </c>
      <c r="Z65" s="109">
        <f t="shared" si="39"/>
        <v>489.78570311239787</v>
      </c>
      <c r="AA65" s="111" t="str">
        <f t="shared" si="40"/>
        <v>OK</v>
      </c>
      <c r="AB65" s="112">
        <f t="shared" si="41"/>
        <v>1.3917188862661372</v>
      </c>
    </row>
    <row r="80" spans="1:28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</sheetData>
  <mergeCells count="12">
    <mergeCell ref="AB22:AB23"/>
    <mergeCell ref="F4:N5"/>
    <mergeCell ref="AA22:AA23"/>
    <mergeCell ref="M11:N11"/>
    <mergeCell ref="M12:N12"/>
    <mergeCell ref="M13:N13"/>
    <mergeCell ref="M14:N14"/>
    <mergeCell ref="M15:N15"/>
    <mergeCell ref="A22:A23"/>
    <mergeCell ref="B22:B23"/>
    <mergeCell ref="C22:D23"/>
    <mergeCell ref="Q22:Q23"/>
  </mergeCells>
  <phoneticPr fontId="5" type="noConversion"/>
  <conditionalFormatting sqref="AA24:AA65">
    <cfRule type="cellIs" dxfId="9" priority="2" operator="equal">
      <formula>"N.G"</formula>
    </cfRule>
  </conditionalFormatting>
  <conditionalFormatting sqref="Z24:Z30">
    <cfRule type="cellIs" dxfId="8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2B26-99A0-4482-8CCF-51457A76E456}">
  <sheetPr codeName="Sheet17"/>
  <dimension ref="A1:AC108"/>
  <sheetViews>
    <sheetView showGridLines="0" zoomScale="130" zoomScaleNormal="130" workbookViewId="0">
      <selection activeCell="R13" sqref="R13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4">
        <f>'Global Strength'!F10</f>
        <v>731745</v>
      </c>
      <c r="N11" s="324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5">
        <f>'Global Strength'!F6</f>
        <v>20.13</v>
      </c>
      <c r="N12" s="325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25">
        <f>'Global Strength'!F5</f>
        <v>5.141</v>
      </c>
      <c r="N13" s="325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24"/>
      <c r="N14" s="324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4">
        <f>'Global Strength'!F27</f>
        <v>42798</v>
      </c>
      <c r="N15" s="324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279</v>
      </c>
      <c r="D24" s="87"/>
      <c r="E24" s="87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Profile_SM(C24,P24*1000,12)/10^3</f>
        <v>1936.0000491714611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186.8803301043219</v>
      </c>
      <c r="T24" s="84">
        <v>0</v>
      </c>
      <c r="U24" s="84">
        <v>34.58480651</v>
      </c>
      <c r="V24" s="84">
        <f>SQRT(S24^2+T24^2-S24*T24+3*U24^2)</f>
        <v>196.24623385915646</v>
      </c>
      <c r="W24" s="81">
        <f t="shared" ref="W24:W36" si="3">(R24/$F$7-V24)</f>
        <v>126.48103886811623</v>
      </c>
      <c r="X24" s="81">
        <f>0.577*SQRT((R24/$F$7)^2-S24^2)</f>
        <v>151.81640276783054</v>
      </c>
      <c r="Y24" s="81">
        <f t="shared" ref="Y24:Y36" si="4">O24^2*P24*L24*1000000/($F$8*W24*Q24)/10^3</f>
        <v>1358.7355012888152</v>
      </c>
      <c r="Z24" s="81">
        <f t="shared" ref="Z24:Z36" si="5">O24*P24*L24*1000/(2*X24)</f>
        <v>1697.9813243185549</v>
      </c>
      <c r="AA24" s="89" t="str">
        <f t="shared" ref="AA24:AA36" si="6">IF(AND(M24&gt;=Y24,N24&gt;=Z24),"OK","N.G")</f>
        <v>OK</v>
      </c>
      <c r="AB24" s="90">
        <f t="shared" ref="AB24:AB36" si="7">M24/Y24</f>
        <v>1.4248542467132768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87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1" si="8">1.025*9.81*(($F$10+0.76)-F25)+25</f>
        <v>152.299465</v>
      </c>
      <c r="K25" s="84">
        <v>0</v>
      </c>
      <c r="L25" s="81">
        <f t="shared" ref="L25:L41" si="9">J25*$F$19+K25*$F$18</f>
        <v>167.52941150000001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186.8803301043219</v>
      </c>
      <c r="T25" s="84">
        <v>0</v>
      </c>
      <c r="U25" s="84">
        <v>19.511098350000001</v>
      </c>
      <c r="V25" s="84">
        <f t="shared" ref="V25:V36" si="10">SQRT(S25^2+T25^2-S25*T25+3*U25^2)</f>
        <v>189.911312607676</v>
      </c>
      <c r="W25" s="81">
        <f t="shared" si="3"/>
        <v>132.8159601195967</v>
      </c>
      <c r="X25" s="81">
        <f t="shared" ref="X25:X36" si="11">0.577*SQRT((R25/$F$7)^2-S25^2)</f>
        <v>151.81640276783054</v>
      </c>
      <c r="Y25" s="81">
        <f t="shared" si="4"/>
        <v>1261.3650599607524</v>
      </c>
      <c r="Z25" s="81">
        <f t="shared" si="5"/>
        <v>1655.2501091354306</v>
      </c>
      <c r="AA25" s="89" t="str">
        <f t="shared" si="6"/>
        <v>OK</v>
      </c>
      <c r="AB25" s="90">
        <f t="shared" si="7"/>
        <v>1.5348451535764753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87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152.299465</v>
      </c>
      <c r="K26" s="84">
        <v>0</v>
      </c>
      <c r="L26" s="81">
        <f t="shared" si="9"/>
        <v>167.52941150000001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186.8803301043219</v>
      </c>
      <c r="T26" s="84">
        <v>0</v>
      </c>
      <c r="U26" s="84">
        <v>4.4373901919999996</v>
      </c>
      <c r="V26" s="84">
        <f t="shared" si="10"/>
        <v>187.038309110857</v>
      </c>
      <c r="W26" s="81">
        <f t="shared" si="3"/>
        <v>135.68896361641569</v>
      </c>
      <c r="X26" s="81">
        <f t="shared" si="11"/>
        <v>151.81640276783054</v>
      </c>
      <c r="Y26" s="81">
        <f t="shared" si="4"/>
        <v>1234.6576098377116</v>
      </c>
      <c r="Z26" s="81">
        <f t="shared" si="5"/>
        <v>1655.2501091354306</v>
      </c>
      <c r="AA26" s="89" t="str">
        <f t="shared" si="6"/>
        <v>OK</v>
      </c>
      <c r="AB26" s="90">
        <f t="shared" si="7"/>
        <v>1.5680460993764391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87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152.299465</v>
      </c>
      <c r="K27" s="84">
        <v>0</v>
      </c>
      <c r="L27" s="81">
        <f t="shared" si="9"/>
        <v>167.52941150000001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186.8803301043219</v>
      </c>
      <c r="T27" s="84">
        <v>0</v>
      </c>
      <c r="U27" s="84">
        <v>16.99936143</v>
      </c>
      <c r="V27" s="84">
        <f t="shared" si="10"/>
        <v>189.18560369907544</v>
      </c>
      <c r="W27" s="81">
        <f t="shared" si="3"/>
        <v>133.54166902819725</v>
      </c>
      <c r="X27" s="81">
        <f t="shared" si="11"/>
        <v>151.81640276783054</v>
      </c>
      <c r="Y27" s="81">
        <f t="shared" si="4"/>
        <v>1254.5103915439777</v>
      </c>
      <c r="Z27" s="81">
        <f t="shared" si="5"/>
        <v>1655.2501091354306</v>
      </c>
      <c r="AA27" s="89" t="str">
        <f t="shared" si="6"/>
        <v>OK</v>
      </c>
      <c r="AB27" s="90">
        <f t="shared" si="7"/>
        <v>1.5432315764150395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87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152.299465</v>
      </c>
      <c r="K28" s="84">
        <v>0</v>
      </c>
      <c r="L28" s="81">
        <f t="shared" si="9"/>
        <v>167.52941150000001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186.8803301043219</v>
      </c>
      <c r="T28" s="84">
        <v>0</v>
      </c>
      <c r="U28" s="84">
        <v>32.073069590000003</v>
      </c>
      <c r="V28" s="84">
        <f t="shared" si="10"/>
        <v>194.96231214949023</v>
      </c>
      <c r="W28" s="81">
        <f t="shared" si="3"/>
        <v>127.76496057778246</v>
      </c>
      <c r="X28" s="81">
        <f t="shared" si="11"/>
        <v>151.81640276783054</v>
      </c>
      <c r="Y28" s="81">
        <f t="shared" si="4"/>
        <v>1311.2312698442011</v>
      </c>
      <c r="Z28" s="81">
        <f t="shared" si="5"/>
        <v>1655.2501091354306</v>
      </c>
      <c r="AA28" s="89" t="str">
        <f t="shared" si="6"/>
        <v>OK</v>
      </c>
      <c r="AB28" s="90">
        <f t="shared" si="7"/>
        <v>1.4764748932516645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87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152.299465</v>
      </c>
      <c r="K29" s="84">
        <v>0</v>
      </c>
      <c r="L29" s="81">
        <f t="shared" si="9"/>
        <v>167.52941150000001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186.8803301043219</v>
      </c>
      <c r="T29" s="84">
        <v>0</v>
      </c>
      <c r="U29" s="84">
        <v>47.146777749999998</v>
      </c>
      <c r="V29" s="84">
        <f t="shared" si="10"/>
        <v>203.94291783860504</v>
      </c>
      <c r="W29" s="81">
        <f t="shared" si="3"/>
        <v>118.78435488866765</v>
      </c>
      <c r="X29" s="81">
        <f t="shared" si="11"/>
        <v>151.81640276783054</v>
      </c>
      <c r="Y29" s="81">
        <f t="shared" si="4"/>
        <v>1410.3659666040983</v>
      </c>
      <c r="Z29" s="81">
        <f t="shared" si="5"/>
        <v>1655.2501091354306</v>
      </c>
      <c r="AA29" s="89" t="str">
        <f t="shared" si="6"/>
        <v>OK</v>
      </c>
      <c r="AB29" s="90">
        <f t="shared" si="7"/>
        <v>1.3726933966174701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87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152.299465</v>
      </c>
      <c r="K30" s="84">
        <v>0</v>
      </c>
      <c r="L30" s="81">
        <f t="shared" si="9"/>
        <v>167.52941150000001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2</v>
      </c>
      <c r="P30" s="88">
        <v>0.75</v>
      </c>
      <c r="Q30" s="84">
        <v>1</v>
      </c>
      <c r="R30" s="84">
        <v>355</v>
      </c>
      <c r="S30" s="84">
        <f>$M$11/ABS(($M$12/(F30-$M$13)))/1000</f>
        <v>186.8803301043219</v>
      </c>
      <c r="T30" s="84">
        <v>0</v>
      </c>
      <c r="U30" s="84">
        <v>62.2204859</v>
      </c>
      <c r="V30" s="84">
        <f t="shared" si="10"/>
        <v>215.72766252105131</v>
      </c>
      <c r="W30" s="81">
        <f t="shared" si="3"/>
        <v>106.99961020622138</v>
      </c>
      <c r="X30" s="81">
        <f t="shared" si="11"/>
        <v>151.81640276783054</v>
      </c>
      <c r="Y30" s="81">
        <f t="shared" si="4"/>
        <v>391.42528458075446</v>
      </c>
      <c r="Z30" s="81">
        <f t="shared" si="5"/>
        <v>827.62505456771532</v>
      </c>
      <c r="AA30" s="89" t="str">
        <f t="shared" si="6"/>
        <v>OK</v>
      </c>
      <c r="AB30" s="90">
        <f t="shared" si="7"/>
        <v>4.9460270591488769</v>
      </c>
    </row>
    <row r="31" spans="1:28" ht="12" customHeight="1" x14ac:dyDescent="0.45">
      <c r="A31" s="75">
        <v>8</v>
      </c>
      <c r="B31" s="75" t="s">
        <v>276</v>
      </c>
      <c r="C31" s="91" t="s">
        <v>201</v>
      </c>
      <c r="D31" s="91"/>
      <c r="E31" s="91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145.26078999999999</v>
      </c>
      <c r="K31" s="79">
        <v>0</v>
      </c>
      <c r="L31" s="76">
        <f t="shared" si="9"/>
        <v>159.786869</v>
      </c>
      <c r="M31" s="76" cm="1">
        <f t="array" ref="M31">Profile_SM(C31,P31*1000,12)/10^3</f>
        <v>482.64811540310143</v>
      </c>
      <c r="N31" s="76" cm="1">
        <f t="array" ref="N31">Profile_ShearArea(C31,P31,12)</f>
        <v>2500</v>
      </c>
      <c r="O31" s="92">
        <v>2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161.43465201192251</v>
      </c>
      <c r="T31" s="79">
        <v>0</v>
      </c>
      <c r="U31" s="79">
        <v>86.492462459999999</v>
      </c>
      <c r="V31" s="79">
        <f t="shared" si="10"/>
        <v>220.23620287635282</v>
      </c>
      <c r="W31" s="76">
        <f t="shared" si="3"/>
        <v>102.49106985091987</v>
      </c>
      <c r="X31" s="76">
        <f t="shared" si="11"/>
        <v>161.24207515849039</v>
      </c>
      <c r="Y31" s="76">
        <f t="shared" si="4"/>
        <v>363.7741592599059</v>
      </c>
      <c r="Z31" s="76">
        <f t="shared" si="5"/>
        <v>693.68251549763295</v>
      </c>
      <c r="AA31" s="94" t="str">
        <f t="shared" si="6"/>
        <v>OK</v>
      </c>
      <c r="AB31" s="95">
        <f t="shared" si="7"/>
        <v>1.3267795502161097</v>
      </c>
    </row>
    <row r="32" spans="1:28" ht="12" customHeight="1" x14ac:dyDescent="0.45">
      <c r="A32" s="75">
        <v>9</v>
      </c>
      <c r="B32" s="75" t="s">
        <v>276</v>
      </c>
      <c r="C32" s="91" t="s">
        <v>202</v>
      </c>
      <c r="D32" s="91"/>
      <c r="E32" s="91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138.22211499999997</v>
      </c>
      <c r="K32" s="79">
        <v>0</v>
      </c>
      <c r="L32" s="76">
        <f t="shared" si="9"/>
        <v>152.04432649999998</v>
      </c>
      <c r="M32" s="76" cm="1">
        <f t="array" ref="M32">Profile_SM(C32,P32*1000,12)/10^3</f>
        <v>1173.9558953306662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135.98897391952312</v>
      </c>
      <c r="T32" s="79">
        <v>0</v>
      </c>
      <c r="U32" s="79">
        <v>96.399111750000003</v>
      </c>
      <c r="V32" s="79">
        <f t="shared" si="10"/>
        <v>215.34011996432923</v>
      </c>
      <c r="W32" s="76">
        <f t="shared" si="3"/>
        <v>107.38715276294346</v>
      </c>
      <c r="X32" s="76">
        <f t="shared" si="11"/>
        <v>168.87469327469563</v>
      </c>
      <c r="Y32" s="76">
        <f t="shared" si="4"/>
        <v>1321.4619664973131</v>
      </c>
      <c r="Z32" s="76">
        <f t="shared" si="5"/>
        <v>1260.4733898983516</v>
      </c>
      <c r="AA32" s="94" t="str">
        <f t="shared" si="6"/>
        <v>N.G</v>
      </c>
      <c r="AB32" s="95">
        <f t="shared" si="7"/>
        <v>0.88837660492217663</v>
      </c>
    </row>
    <row r="33" spans="1:28" ht="12" customHeight="1" x14ac:dyDescent="0.45">
      <c r="A33" s="75">
        <v>10</v>
      </c>
      <c r="B33" s="75" t="s">
        <v>276</v>
      </c>
      <c r="C33" s="91" t="s">
        <v>202</v>
      </c>
      <c r="D33" s="91"/>
      <c r="E33" s="91">
        <v>6</v>
      </c>
      <c r="F33" s="92">
        <f t="shared" ref="F33:F38" si="13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131.18343999999999</v>
      </c>
      <c r="K33" s="79">
        <v>0</v>
      </c>
      <c r="L33" s="76">
        <f t="shared" si="9"/>
        <v>144.301784</v>
      </c>
      <c r="M33" s="76" cm="1">
        <f t="array" ref="M33">Profile_SM(C33,P33*1000,12)/10^3</f>
        <v>1173.9558953306662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110.54329582712371</v>
      </c>
      <c r="T33" s="79">
        <v>0</v>
      </c>
      <c r="U33" s="79">
        <v>103.943155</v>
      </c>
      <c r="V33" s="79">
        <f t="shared" si="10"/>
        <v>211.26371829158234</v>
      </c>
      <c r="W33" s="76">
        <f t="shared" si="3"/>
        <v>111.46355443569036</v>
      </c>
      <c r="X33" s="76">
        <f t="shared" si="11"/>
        <v>174.94909497045975</v>
      </c>
      <c r="Y33" s="76">
        <f t="shared" si="4"/>
        <v>1208.3022629999848</v>
      </c>
      <c r="Z33" s="76">
        <f t="shared" si="5"/>
        <v>1154.7501725236793</v>
      </c>
      <c r="AA33" s="94" t="str">
        <f t="shared" si="6"/>
        <v>N.G</v>
      </c>
      <c r="AB33" s="95">
        <f t="shared" si="7"/>
        <v>0.97157468894906884</v>
      </c>
    </row>
    <row r="34" spans="1:28" ht="12" customHeight="1" x14ac:dyDescent="0.45">
      <c r="A34" s="75">
        <v>11</v>
      </c>
      <c r="B34" s="75" t="s">
        <v>276</v>
      </c>
      <c r="C34" s="91" t="s">
        <v>202</v>
      </c>
      <c r="D34" s="91"/>
      <c r="E34" s="91">
        <v>6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8"/>
        <v>124.14476499999999</v>
      </c>
      <c r="K34" s="79">
        <v>0</v>
      </c>
      <c r="L34" s="76">
        <f t="shared" si="9"/>
        <v>136.55924150000001</v>
      </c>
      <c r="M34" s="76" cm="1">
        <f t="array" ref="M34">Profile_SM(C34,P34*1000,12)/10^3</f>
        <v>1173.9558953306662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85.097617734724295</v>
      </c>
      <c r="T34" s="79">
        <v>0</v>
      </c>
      <c r="U34" s="79">
        <v>109.30006729999999</v>
      </c>
      <c r="V34" s="79">
        <f t="shared" si="10"/>
        <v>207.55991587847316</v>
      </c>
      <c r="W34" s="76">
        <f t="shared" si="3"/>
        <v>115.16735684879953</v>
      </c>
      <c r="X34" s="76">
        <f t="shared" si="11"/>
        <v>179.62343446359526</v>
      </c>
      <c r="Y34" s="76">
        <f t="shared" si="4"/>
        <v>1106.6963378694161</v>
      </c>
      <c r="Z34" s="76">
        <f t="shared" si="5"/>
        <v>1064.3540953936472</v>
      </c>
      <c r="AA34" s="94" t="str">
        <f t="shared" si="6"/>
        <v>OK</v>
      </c>
      <c r="AB34" s="95">
        <f t="shared" si="7"/>
        <v>1.0607750790887558</v>
      </c>
    </row>
    <row r="35" spans="1:28" ht="12" customHeight="1" x14ac:dyDescent="0.45">
      <c r="A35" s="75">
        <v>12</v>
      </c>
      <c r="B35" s="75" t="s">
        <v>276</v>
      </c>
      <c r="C35" s="91" t="s">
        <v>197</v>
      </c>
      <c r="D35" s="91"/>
      <c r="E35" s="91">
        <v>6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8"/>
        <v>117.10608999999999</v>
      </c>
      <c r="K35" s="79">
        <v>0</v>
      </c>
      <c r="L35" s="76">
        <f t="shared" si="9"/>
        <v>128.816699</v>
      </c>
      <c r="M35" s="76" cm="1">
        <f t="array" ref="M35">Profile_SM(C35,P35*1000,12)/10^3</f>
        <v>921.80062112577377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59.651939642324891</v>
      </c>
      <c r="T35" s="79">
        <v>0</v>
      </c>
      <c r="U35" s="79">
        <v>112.9005669</v>
      </c>
      <c r="V35" s="79">
        <f t="shared" si="10"/>
        <v>204.44551333329792</v>
      </c>
      <c r="W35" s="76">
        <f t="shared" si="3"/>
        <v>118.28175939397477</v>
      </c>
      <c r="X35" s="76">
        <f t="shared" si="11"/>
        <v>183.00502496151904</v>
      </c>
      <c r="Y35" s="76">
        <f t="shared" si="4"/>
        <v>1016.462045227162</v>
      </c>
      <c r="Z35" s="76">
        <f t="shared" si="5"/>
        <v>985.45588372735278</v>
      </c>
      <c r="AA35" s="94" t="str">
        <f t="shared" si="6"/>
        <v>N.G</v>
      </c>
      <c r="AB35" s="95">
        <f t="shared" si="7"/>
        <v>0.90687165886235033</v>
      </c>
    </row>
    <row r="36" spans="1:28" ht="12" customHeight="1" x14ac:dyDescent="0.45">
      <c r="A36" s="75">
        <v>13</v>
      </c>
      <c r="B36" s="75" t="s">
        <v>276</v>
      </c>
      <c r="C36" s="91" t="s">
        <v>197</v>
      </c>
      <c r="D36" s="91"/>
      <c r="E36" s="91">
        <v>6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8"/>
        <v>110.067415</v>
      </c>
      <c r="K36" s="79">
        <v>0</v>
      </c>
      <c r="L36" s="76">
        <f t="shared" si="9"/>
        <v>121.0741565</v>
      </c>
      <c r="M36" s="76" cm="1">
        <f t="array" ref="M36">Profile_SM(C36,P36*1000,12)/10^3</f>
        <v>921.80062112577377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34.206261549925472</v>
      </c>
      <c r="T36" s="79">
        <v>0</v>
      </c>
      <c r="U36" s="79">
        <v>114.79779980000001</v>
      </c>
      <c r="V36" s="79">
        <f t="shared" si="10"/>
        <v>201.75646915522822</v>
      </c>
      <c r="W36" s="76">
        <f t="shared" si="3"/>
        <v>120.97080357204447</v>
      </c>
      <c r="X36" s="76">
        <f t="shared" si="11"/>
        <v>185.16470692059289</v>
      </c>
      <c r="Y36" s="76">
        <f t="shared" si="4"/>
        <v>934.1307384088567</v>
      </c>
      <c r="Z36" s="76">
        <f t="shared" si="5"/>
        <v>915.42185289495262</v>
      </c>
      <c r="AA36" s="94" t="str">
        <f t="shared" si="6"/>
        <v>N.G</v>
      </c>
      <c r="AB36" s="95">
        <f t="shared" si="7"/>
        <v>0.98680043726632383</v>
      </c>
    </row>
    <row r="37" spans="1:28" ht="12" customHeight="1" x14ac:dyDescent="0.45">
      <c r="A37" s="75">
        <v>14</v>
      </c>
      <c r="B37" s="75" t="s">
        <v>276</v>
      </c>
      <c r="C37" s="91" t="s">
        <v>196</v>
      </c>
      <c r="D37" s="91"/>
      <c r="E37" s="91">
        <v>6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8"/>
        <v>103.02873999999998</v>
      </c>
      <c r="K37" s="79">
        <v>0</v>
      </c>
      <c r="L37" s="76">
        <f t="shared" si="9"/>
        <v>113.33161399999999</v>
      </c>
      <c r="M37" s="76"/>
      <c r="N37" s="76"/>
      <c r="O37" s="92"/>
      <c r="P37" s="92"/>
      <c r="Q37" s="79"/>
      <c r="R37" s="79"/>
      <c r="S37" s="128"/>
      <c r="T37" s="79"/>
      <c r="U37" s="79"/>
      <c r="V37" s="79"/>
      <c r="W37" s="76"/>
      <c r="X37" s="76"/>
      <c r="Y37" s="76"/>
      <c r="Z37" s="76"/>
      <c r="AA37" s="94"/>
      <c r="AB37" s="95"/>
    </row>
    <row r="38" spans="1:28" ht="12" customHeight="1" x14ac:dyDescent="0.45">
      <c r="A38" s="75">
        <v>15</v>
      </c>
      <c r="B38" s="75" t="s">
        <v>276</v>
      </c>
      <c r="C38" s="91" t="s">
        <v>195</v>
      </c>
      <c r="D38" s="91"/>
      <c r="E38" s="91">
        <v>6</v>
      </c>
      <c r="F38" s="92">
        <f t="shared" si="13"/>
        <v>5.6000000000000005</v>
      </c>
      <c r="G38" s="79">
        <v>0</v>
      </c>
      <c r="H38" s="79">
        <v>0</v>
      </c>
      <c r="I38" s="79">
        <v>0</v>
      </c>
      <c r="J38" s="79">
        <f t="shared" si="8"/>
        <v>95.990064999999987</v>
      </c>
      <c r="K38" s="79">
        <v>0</v>
      </c>
      <c r="L38" s="76">
        <f t="shared" si="9"/>
        <v>105.58907149999999</v>
      </c>
      <c r="M38" s="76" cm="1">
        <f t="array" ref="M38">Profile_SM(C38,P38*1000,12)/10^3</f>
        <v>482.64811540310143</v>
      </c>
      <c r="N38" s="76" cm="1">
        <f t="array" ref="N38">Profile_ShearArea(C38,P38,12)</f>
        <v>2500</v>
      </c>
      <c r="O38" s="92">
        <v>4</v>
      </c>
      <c r="P38" s="92">
        <v>0.7</v>
      </c>
      <c r="Q38" s="79">
        <v>1</v>
      </c>
      <c r="R38" s="79">
        <v>355</v>
      </c>
      <c r="S38" s="128">
        <f t="shared" ref="S38:S56" si="14">$M$11/ABS(($M$12/(F38-$M$13)))/1000</f>
        <v>16.685094634873341</v>
      </c>
      <c r="T38" s="79">
        <v>0</v>
      </c>
      <c r="U38" s="79">
        <v>76.704483359999998</v>
      </c>
      <c r="V38" s="79">
        <f t="shared" ref="V38:V41" si="15">SQRT(S38^2+T38^2-S38*T38+3*U38^2)</f>
        <v>133.89968515851047</v>
      </c>
      <c r="W38" s="76">
        <f t="shared" ref="W38:W47" si="16">(R38/$F$7-V38)</f>
        <v>188.82758756876223</v>
      </c>
      <c r="X38" s="76">
        <f t="shared" ref="X38:X56" si="17">0.577*SQRT((R38/$F$7)^2-S38^2)</f>
        <v>185.96460273422252</v>
      </c>
      <c r="Y38" s="76">
        <f t="shared" ref="Y38:Y56" si="18">O38^2*P38*L38*1000000/($F$8*W38*Q38)/10^3</f>
        <v>521.90361236691331</v>
      </c>
      <c r="Z38" s="76">
        <f t="shared" ref="Z38:Z56" si="19">O38*P38*L38*1000/(2*X38)</f>
        <v>794.90772935572329</v>
      </c>
      <c r="AA38" s="94" t="str">
        <f t="shared" ref="AA38:AA56" si="20">IF(AND(M38&gt;=Y38,N38&gt;=Z38),"OK","N.G")</f>
        <v>N.G</v>
      </c>
      <c r="AB38" s="95">
        <f t="shared" ref="AB38:AB56" si="21">M38/Y38</f>
        <v>0.9247840098561837</v>
      </c>
    </row>
    <row r="39" spans="1:28" ht="12" customHeight="1" x14ac:dyDescent="0.45">
      <c r="A39" s="75">
        <v>16</v>
      </c>
      <c r="B39" s="75" t="s">
        <v>276</v>
      </c>
      <c r="C39" s="91" t="s">
        <v>201</v>
      </c>
      <c r="D39" s="91"/>
      <c r="E39" s="91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88.951390000000004</v>
      </c>
      <c r="K39" s="79">
        <v>0</v>
      </c>
      <c r="L39" s="76">
        <f t="shared" si="9"/>
        <v>97.846529000000018</v>
      </c>
      <c r="M39" s="76" cm="1">
        <f t="array" ref="M39">Profile_SM(C39,P39*1000,12)/10^3</f>
        <v>482.64811540310143</v>
      </c>
      <c r="N39" s="76" cm="1">
        <f t="array" ref="N39">Profile_ShearArea(C39,P39,12)</f>
        <v>2500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14"/>
        <v>42.130772727272721</v>
      </c>
      <c r="T39" s="79">
        <v>0</v>
      </c>
      <c r="U39" s="79">
        <v>76.367610869999993</v>
      </c>
      <c r="V39" s="79">
        <f t="shared" si="15"/>
        <v>138.82016417139235</v>
      </c>
      <c r="W39" s="76">
        <f t="shared" si="16"/>
        <v>183.90710855588034</v>
      </c>
      <c r="X39" s="76">
        <f t="shared" si="17"/>
        <v>184.62006587416897</v>
      </c>
      <c r="Y39" s="76">
        <f t="shared" si="18"/>
        <v>496.57366582389596</v>
      </c>
      <c r="Z39" s="76">
        <f t="shared" si="19"/>
        <v>741.98403056233678</v>
      </c>
      <c r="AA39" s="94" t="str">
        <f t="shared" si="20"/>
        <v>N.G</v>
      </c>
      <c r="AB39" s="95">
        <f t="shared" si="21"/>
        <v>0.97195672791530374</v>
      </c>
    </row>
    <row r="40" spans="1:28" ht="12" customHeight="1" x14ac:dyDescent="0.45">
      <c r="A40" s="75">
        <v>17</v>
      </c>
      <c r="B40" s="75" t="s">
        <v>276</v>
      </c>
      <c r="C40" s="91" t="s">
        <v>195</v>
      </c>
      <c r="D40" s="91"/>
      <c r="E40" s="91">
        <v>6</v>
      </c>
      <c r="F40" s="92">
        <f t="shared" ref="F40" si="22">F39+0.7</f>
        <v>7</v>
      </c>
      <c r="G40" s="79">
        <v>0</v>
      </c>
      <c r="H40" s="79">
        <v>0</v>
      </c>
      <c r="I40" s="79">
        <v>0</v>
      </c>
      <c r="J40" s="79">
        <f t="shared" si="8"/>
        <v>81.912714999999992</v>
      </c>
      <c r="K40" s="79">
        <v>0</v>
      </c>
      <c r="L40" s="76">
        <f t="shared" si="9"/>
        <v>90.103986500000005</v>
      </c>
      <c r="M40" s="76" cm="1">
        <f t="array" ref="M40">Profile_SM(C40,P40*1000,12)/10^3</f>
        <v>482.64811540310143</v>
      </c>
      <c r="N40" s="76" cm="1">
        <f t="array" ref="N40">Profile_ShearArea(C40,P40,12)</f>
        <v>2500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14"/>
        <v>67.576450819672132</v>
      </c>
      <c r="T40" s="79">
        <v>0</v>
      </c>
      <c r="U40" s="79">
        <v>75.391253039999995</v>
      </c>
      <c r="V40" s="79">
        <f t="shared" si="15"/>
        <v>147.03094847754841</v>
      </c>
      <c r="W40" s="76">
        <f t="shared" si="16"/>
        <v>175.69632424972428</v>
      </c>
      <c r="X40" s="76">
        <f t="shared" si="17"/>
        <v>182.085618739707</v>
      </c>
      <c r="Y40" s="76">
        <f t="shared" si="18"/>
        <v>478.65004817708149</v>
      </c>
      <c r="Z40" s="76">
        <f t="shared" si="19"/>
        <v>692.78168134918008</v>
      </c>
      <c r="AA40" s="94" t="str">
        <f t="shared" si="20"/>
        <v>OK</v>
      </c>
      <c r="AB40" s="95">
        <f t="shared" si="21"/>
        <v>1.0083527981272464</v>
      </c>
    </row>
    <row r="41" spans="1:28" ht="12" customHeight="1" x14ac:dyDescent="0.45">
      <c r="A41" s="75">
        <v>18</v>
      </c>
      <c r="B41" s="75" t="s">
        <v>276</v>
      </c>
      <c r="C41" s="91" t="s">
        <v>195</v>
      </c>
      <c r="D41" s="91"/>
      <c r="E41" s="91">
        <v>6</v>
      </c>
      <c r="F41" s="92">
        <f>F42-0.7</f>
        <v>7.8000000000000016</v>
      </c>
      <c r="G41" s="79">
        <v>0</v>
      </c>
      <c r="H41" s="79">
        <v>0</v>
      </c>
      <c r="I41" s="79">
        <v>0</v>
      </c>
      <c r="J41" s="79">
        <f t="shared" si="8"/>
        <v>73.868514999999974</v>
      </c>
      <c r="K41" s="79">
        <v>0</v>
      </c>
      <c r="L41" s="76">
        <f t="shared" si="9"/>
        <v>81.25536649999998</v>
      </c>
      <c r="M41" s="76" cm="1">
        <f t="array" ref="M41">Profile_SM(C41,P41*1000,12)/10^3</f>
        <v>482.64811540310143</v>
      </c>
      <c r="N41" s="76" cm="1">
        <f t="array" ref="N41">Profile_ShearArea(C41,P41,12)</f>
        <v>2500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14"/>
        <v>96.657225782414372</v>
      </c>
      <c r="T41" s="79">
        <v>0</v>
      </c>
      <c r="U41" s="79">
        <v>72.907289980000002</v>
      </c>
      <c r="V41" s="79">
        <f t="shared" si="15"/>
        <v>159.02527501198057</v>
      </c>
      <c r="W41" s="76">
        <f t="shared" si="16"/>
        <v>163.70199771529212</v>
      </c>
      <c r="X41" s="76">
        <f t="shared" si="17"/>
        <v>177.66566766876031</v>
      </c>
      <c r="Y41" s="76">
        <f t="shared" si="18"/>
        <v>463.27071828752798</v>
      </c>
      <c r="Z41" s="76">
        <f t="shared" si="19"/>
        <v>640.28979032735447</v>
      </c>
      <c r="AA41" s="94" t="str">
        <f t="shared" si="20"/>
        <v>OK</v>
      </c>
      <c r="AB41" s="95">
        <f t="shared" si="21"/>
        <v>1.0418273729606775</v>
      </c>
    </row>
    <row r="42" spans="1:28" ht="12" customHeight="1" x14ac:dyDescent="0.45">
      <c r="A42" s="75">
        <v>19</v>
      </c>
      <c r="B42" s="75" t="s">
        <v>276</v>
      </c>
      <c r="C42" s="91" t="s">
        <v>269</v>
      </c>
      <c r="D42" s="91"/>
      <c r="E42" s="91">
        <v>6</v>
      </c>
      <c r="F42" s="92">
        <f>F43-0.7</f>
        <v>8.5000000000000018</v>
      </c>
      <c r="G42" s="79"/>
      <c r="H42" s="79"/>
      <c r="I42" s="79"/>
      <c r="J42" s="79"/>
      <c r="K42" s="79"/>
      <c r="L42" s="76"/>
      <c r="M42" s="76"/>
      <c r="N42" s="76"/>
      <c r="O42" s="92"/>
      <c r="P42" s="92"/>
      <c r="Q42" s="79"/>
      <c r="R42" s="79"/>
      <c r="S42" s="128"/>
      <c r="T42" s="79"/>
      <c r="U42" s="79"/>
      <c r="V42" s="79"/>
      <c r="W42" s="76"/>
      <c r="X42" s="76"/>
      <c r="Y42" s="76"/>
      <c r="Z42" s="76"/>
      <c r="AA42" s="94"/>
      <c r="AB42" s="95"/>
    </row>
    <row r="43" spans="1:28" ht="12" customHeight="1" x14ac:dyDescent="0.45">
      <c r="A43" s="75">
        <v>20</v>
      </c>
      <c r="B43" s="75" t="s">
        <v>276</v>
      </c>
      <c r="C43" s="91" t="s">
        <v>270</v>
      </c>
      <c r="D43" s="91"/>
      <c r="E43" s="91">
        <v>6</v>
      </c>
      <c r="F43" s="92">
        <f>9.9-0.7</f>
        <v>9.2000000000000011</v>
      </c>
      <c r="G43" s="79"/>
      <c r="H43" s="79"/>
      <c r="I43" s="79"/>
      <c r="J43" s="79"/>
      <c r="K43" s="79"/>
      <c r="L43" s="76"/>
      <c r="M43" s="76"/>
      <c r="N43" s="76"/>
      <c r="O43" s="92"/>
      <c r="P43" s="92"/>
      <c r="Q43" s="79"/>
      <c r="R43" s="79"/>
      <c r="S43" s="128"/>
      <c r="T43" s="79"/>
      <c r="U43" s="79"/>
      <c r="V43" s="79"/>
      <c r="W43" s="76"/>
      <c r="X43" s="76"/>
      <c r="Y43" s="76"/>
      <c r="Z43" s="76"/>
      <c r="AA43" s="94"/>
      <c r="AB43" s="95"/>
    </row>
    <row r="44" spans="1:28" ht="12" customHeight="1" x14ac:dyDescent="0.45">
      <c r="A44" s="96">
        <v>1</v>
      </c>
      <c r="B44" s="96" t="s">
        <v>277</v>
      </c>
      <c r="C44" s="104" t="s">
        <v>197</v>
      </c>
      <c r="D44" s="97"/>
      <c r="E44" s="97">
        <v>0.75</v>
      </c>
      <c r="F44" s="98">
        <v>9.9</v>
      </c>
      <c r="G44" s="99">
        <v>0</v>
      </c>
      <c r="H44" s="99">
        <v>0</v>
      </c>
      <c r="I44" s="99">
        <v>0</v>
      </c>
      <c r="J44" s="99">
        <f t="shared" si="8"/>
        <v>52.752489999999995</v>
      </c>
      <c r="K44" s="99">
        <v>0</v>
      </c>
      <c r="L44" s="100">
        <f>J44*$F$19+K44*$F$18</f>
        <v>58.027738999999997</v>
      </c>
      <c r="M44" s="100" cm="1">
        <f t="array" ref="M44">Profile_SM(C44,P44*1000,12)/10^3</f>
        <v>926.93146753714063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14"/>
        <v>172.99426005961254</v>
      </c>
      <c r="T44" s="99">
        <v>0</v>
      </c>
      <c r="U44" s="99">
        <v>42.361750790000002</v>
      </c>
      <c r="V44" s="99">
        <f>SQRT(S44^2+T44^2-S44*T44+3*U44^2)</f>
        <v>187.91106354750656</v>
      </c>
      <c r="W44" s="100">
        <f t="shared" si="16"/>
        <v>134.81620917976613</v>
      </c>
      <c r="X44" s="100">
        <f t="shared" si="17"/>
        <v>157.20034198195557</v>
      </c>
      <c r="Y44" s="100">
        <f t="shared" si="18"/>
        <v>430.42108477197178</v>
      </c>
      <c r="Z44" s="100">
        <f t="shared" si="19"/>
        <v>553.69859507043043</v>
      </c>
      <c r="AA44" s="102" t="str">
        <f t="shared" si="20"/>
        <v>OK</v>
      </c>
      <c r="AB44" s="103">
        <f t="shared" si="21"/>
        <v>2.1535456796411583</v>
      </c>
    </row>
    <row r="45" spans="1:28" ht="12" customHeight="1" x14ac:dyDescent="0.45">
      <c r="A45" s="96">
        <v>2</v>
      </c>
      <c r="B45" s="96" t="s">
        <v>277</v>
      </c>
      <c r="C45" s="104" t="s">
        <v>197</v>
      </c>
      <c r="D45" s="97"/>
      <c r="E45" s="97">
        <v>1.5</v>
      </c>
      <c r="F45" s="98">
        <v>9.9</v>
      </c>
      <c r="G45" s="99">
        <v>0</v>
      </c>
      <c r="H45" s="99">
        <v>0</v>
      </c>
      <c r="I45" s="99">
        <v>0</v>
      </c>
      <c r="J45" s="99">
        <f t="shared" si="8"/>
        <v>52.752489999999995</v>
      </c>
      <c r="K45" s="99">
        <v>0</v>
      </c>
      <c r="L45" s="100">
        <f t="shared" ref="L45:L61" si="23">J45*$F$19+K45*$F$18</f>
        <v>58.027738999999997</v>
      </c>
      <c r="M45" s="100" cm="1">
        <f t="array" ref="M45">Profile_SM(C45,P45*1000,12)/10^3</f>
        <v>926.93146753714063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14"/>
        <v>172.99426005961254</v>
      </c>
      <c r="T45" s="99">
        <v>0</v>
      </c>
      <c r="U45" s="99">
        <v>32.072781079999999</v>
      </c>
      <c r="V45" s="99">
        <f t="shared" ref="V45:V47" si="24">SQRT(S45^2+T45^2-S45*T45+3*U45^2)</f>
        <v>181.69480970074426</v>
      </c>
      <c r="W45" s="100">
        <f t="shared" si="16"/>
        <v>141.03246302652843</v>
      </c>
      <c r="X45" s="100">
        <f t="shared" si="17"/>
        <v>157.20034198195557</v>
      </c>
      <c r="Y45" s="100">
        <f t="shared" si="18"/>
        <v>411.44951846359578</v>
      </c>
      <c r="Z45" s="100">
        <f t="shared" si="19"/>
        <v>553.69859507043043</v>
      </c>
      <c r="AA45" s="102" t="str">
        <f t="shared" si="20"/>
        <v>OK</v>
      </c>
      <c r="AB45" s="103">
        <f t="shared" si="21"/>
        <v>2.2528437291612815</v>
      </c>
    </row>
    <row r="46" spans="1:28" ht="12" customHeight="1" x14ac:dyDescent="0.45">
      <c r="A46" s="96">
        <v>3</v>
      </c>
      <c r="B46" s="96" t="s">
        <v>277</v>
      </c>
      <c r="C46" s="104" t="s">
        <v>197</v>
      </c>
      <c r="D46" s="97"/>
      <c r="E46" s="97">
        <v>2.25</v>
      </c>
      <c r="F46" s="98">
        <v>9.9</v>
      </c>
      <c r="G46" s="99">
        <v>0</v>
      </c>
      <c r="H46" s="99">
        <v>0</v>
      </c>
      <c r="I46" s="99">
        <v>0</v>
      </c>
      <c r="J46" s="99">
        <f t="shared" si="8"/>
        <v>52.752489999999995</v>
      </c>
      <c r="K46" s="99">
        <v>0</v>
      </c>
      <c r="L46" s="100">
        <f t="shared" si="23"/>
        <v>58.027738999999997</v>
      </c>
      <c r="M46" s="100" cm="1">
        <f t="array" ref="M46">Profile_SM(C46,P46*1000,12)/10^3</f>
        <v>926.93146753714063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14"/>
        <v>172.99426005961254</v>
      </c>
      <c r="T46" s="99">
        <v>0</v>
      </c>
      <c r="U46" s="99">
        <v>21.783811369999999</v>
      </c>
      <c r="V46" s="99">
        <f t="shared" si="24"/>
        <v>177.06105536504654</v>
      </c>
      <c r="W46" s="100">
        <f t="shared" si="16"/>
        <v>145.66621736222615</v>
      </c>
      <c r="X46" s="100">
        <f t="shared" si="17"/>
        <v>157.20034198195557</v>
      </c>
      <c r="Y46" s="100">
        <f t="shared" si="18"/>
        <v>398.36099303452926</v>
      </c>
      <c r="Z46" s="100">
        <f t="shared" si="19"/>
        <v>553.69859507043043</v>
      </c>
      <c r="AA46" s="102" t="str">
        <f t="shared" si="20"/>
        <v>OK</v>
      </c>
      <c r="AB46" s="103">
        <f t="shared" si="21"/>
        <v>2.3268630306300992</v>
      </c>
    </row>
    <row r="47" spans="1:28" ht="12" customHeight="1" x14ac:dyDescent="0.45">
      <c r="A47" s="96">
        <v>4</v>
      </c>
      <c r="B47" s="96" t="s">
        <v>277</v>
      </c>
      <c r="C47" s="104" t="s">
        <v>197</v>
      </c>
      <c r="D47" s="97"/>
      <c r="E47" s="97">
        <v>3</v>
      </c>
      <c r="F47" s="98">
        <v>9.9</v>
      </c>
      <c r="G47" s="99">
        <v>0</v>
      </c>
      <c r="H47" s="99">
        <v>0</v>
      </c>
      <c r="I47" s="99">
        <v>0</v>
      </c>
      <c r="J47" s="99">
        <f t="shared" si="8"/>
        <v>52.752489999999995</v>
      </c>
      <c r="K47" s="99">
        <v>0</v>
      </c>
      <c r="L47" s="100">
        <f t="shared" si="23"/>
        <v>58.027738999999997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14"/>
        <v>172.99426005961254</v>
      </c>
      <c r="T47" s="99">
        <v>0</v>
      </c>
      <c r="U47" s="99">
        <v>11.49484167</v>
      </c>
      <c r="V47" s="99">
        <f t="shared" si="24"/>
        <v>174.1361770816965</v>
      </c>
      <c r="W47" s="100">
        <f t="shared" si="16"/>
        <v>148.59109564557619</v>
      </c>
      <c r="X47" s="100">
        <f t="shared" si="17"/>
        <v>157.20034198195557</v>
      </c>
      <c r="Y47" s="100">
        <f t="shared" si="18"/>
        <v>390.5196253375064</v>
      </c>
      <c r="Z47" s="100">
        <f t="shared" si="19"/>
        <v>553.69859507043043</v>
      </c>
      <c r="AA47" s="102" t="str">
        <f t="shared" si="20"/>
        <v>OK</v>
      </c>
      <c r="AB47" s="103">
        <f t="shared" si="21"/>
        <v>2.3735848530942345</v>
      </c>
    </row>
    <row r="48" spans="1:28" ht="12" customHeight="1" x14ac:dyDescent="0.45">
      <c r="A48" s="96">
        <v>5</v>
      </c>
      <c r="B48" s="96" t="s">
        <v>277</v>
      </c>
      <c r="C48" s="104" t="s">
        <v>197</v>
      </c>
      <c r="D48" s="97"/>
      <c r="E48" s="97">
        <v>3.75</v>
      </c>
      <c r="F48" s="98">
        <v>9.9</v>
      </c>
      <c r="G48" s="99">
        <v>0</v>
      </c>
      <c r="H48" s="99">
        <v>0</v>
      </c>
      <c r="I48" s="99">
        <v>0</v>
      </c>
      <c r="J48" s="99">
        <f t="shared" si="8"/>
        <v>52.752489999999995</v>
      </c>
      <c r="K48" s="99">
        <v>0</v>
      </c>
      <c r="L48" s="100">
        <f t="shared" si="23"/>
        <v>58.027738999999997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14"/>
        <v>172.99426005961254</v>
      </c>
      <c r="T48" s="99">
        <v>0</v>
      </c>
      <c r="U48" s="99">
        <v>1.5539955910000001</v>
      </c>
      <c r="V48" s="99">
        <f>SQRT(S48^2+T48^2-S48*T48+3*U48^2)</f>
        <v>173.01519794649082</v>
      </c>
      <c r="W48" s="100">
        <f>(R48/$F$7-V48)</f>
        <v>149.71207478078188</v>
      </c>
      <c r="X48" s="100">
        <f t="shared" si="17"/>
        <v>157.20034198195557</v>
      </c>
      <c r="Y48" s="100">
        <f t="shared" si="18"/>
        <v>387.59558362255001</v>
      </c>
      <c r="Z48" s="100">
        <f t="shared" si="19"/>
        <v>553.69859507043043</v>
      </c>
      <c r="AA48" s="102" t="str">
        <f t="shared" si="20"/>
        <v>OK</v>
      </c>
      <c r="AB48" s="103">
        <f t="shared" si="21"/>
        <v>2.3914913035743179</v>
      </c>
    </row>
    <row r="49" spans="1:28" ht="12" customHeight="1" x14ac:dyDescent="0.45">
      <c r="A49" s="96">
        <v>6</v>
      </c>
      <c r="B49" s="96" t="s">
        <v>277</v>
      </c>
      <c r="C49" s="104" t="s">
        <v>197</v>
      </c>
      <c r="D49" s="97"/>
      <c r="E49" s="97">
        <v>4.5</v>
      </c>
      <c r="F49" s="98">
        <v>9.9</v>
      </c>
      <c r="G49" s="99">
        <v>0</v>
      </c>
      <c r="H49" s="99">
        <v>0</v>
      </c>
      <c r="I49" s="99">
        <v>0</v>
      </c>
      <c r="J49" s="99">
        <f t="shared" si="8"/>
        <v>52.752489999999995</v>
      </c>
      <c r="K49" s="99">
        <v>0</v>
      </c>
      <c r="L49" s="100">
        <f t="shared" si="23"/>
        <v>58.027738999999997</v>
      </c>
      <c r="M49" s="100" cm="1">
        <f t="array" ref="M49">Profile_SM(C49,P49*1000,12)/10^3</f>
        <v>926.93146753714063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14"/>
        <v>172.99426005961254</v>
      </c>
      <c r="T49" s="99">
        <v>0</v>
      </c>
      <c r="U49" s="99">
        <v>11.842965299999999</v>
      </c>
      <c r="V49" s="99">
        <f>SQRT(S49^2+T49^2)</f>
        <v>172.99426005961254</v>
      </c>
      <c r="W49" s="100">
        <f t="shared" ref="W49:W56" si="25">(R49/$F$7-V49)</f>
        <v>149.73301266766015</v>
      </c>
      <c r="X49" s="100">
        <f t="shared" si="17"/>
        <v>157.20034198195557</v>
      </c>
      <c r="Y49" s="100">
        <f t="shared" si="18"/>
        <v>387.54138426904859</v>
      </c>
      <c r="Z49" s="100">
        <f t="shared" si="19"/>
        <v>553.69859507043043</v>
      </c>
      <c r="AA49" s="102" t="str">
        <f t="shared" si="20"/>
        <v>OK</v>
      </c>
      <c r="AB49" s="103">
        <f t="shared" si="21"/>
        <v>2.391825764067621</v>
      </c>
    </row>
    <row r="50" spans="1:28" ht="12" customHeight="1" x14ac:dyDescent="0.45">
      <c r="A50" s="96">
        <v>7</v>
      </c>
      <c r="B50" s="96" t="s">
        <v>277</v>
      </c>
      <c r="C50" s="104" t="s">
        <v>197</v>
      </c>
      <c r="D50" s="97"/>
      <c r="E50" s="97">
        <v>5.25</v>
      </c>
      <c r="F50" s="98">
        <v>9.9</v>
      </c>
      <c r="G50" s="99">
        <v>0</v>
      </c>
      <c r="H50" s="99">
        <v>0</v>
      </c>
      <c r="I50" s="99">
        <v>0</v>
      </c>
      <c r="J50" s="99">
        <f t="shared" si="8"/>
        <v>52.752489999999995</v>
      </c>
      <c r="K50" s="99">
        <v>0</v>
      </c>
      <c r="L50" s="100">
        <f t="shared" si="23"/>
        <v>58.027738999999997</v>
      </c>
      <c r="M50" s="100" cm="1">
        <f t="array" ref="M50">Profile_SM(C50,P50*1000,12)/10^3</f>
        <v>926.93146753714063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14"/>
        <v>172.99426005961254</v>
      </c>
      <c r="T50" s="99">
        <v>0</v>
      </c>
      <c r="U50" s="99">
        <v>22.131934999999999</v>
      </c>
      <c r="V50" s="99">
        <f>SQRT(S50^2+T50^2)</f>
        <v>172.99426005961254</v>
      </c>
      <c r="W50" s="100">
        <f t="shared" si="25"/>
        <v>149.73301266766015</v>
      </c>
      <c r="X50" s="100">
        <f t="shared" si="17"/>
        <v>157.20034198195557</v>
      </c>
      <c r="Y50" s="100">
        <f t="shared" si="18"/>
        <v>387.54138426904859</v>
      </c>
      <c r="Z50" s="100">
        <f t="shared" si="19"/>
        <v>553.69859507043043</v>
      </c>
      <c r="AA50" s="102" t="str">
        <f t="shared" si="20"/>
        <v>OK</v>
      </c>
      <c r="AB50" s="103">
        <f t="shared" si="21"/>
        <v>2.391825764067621</v>
      </c>
    </row>
    <row r="51" spans="1:28" ht="12" customHeight="1" x14ac:dyDescent="0.45">
      <c r="A51" s="105">
        <v>8</v>
      </c>
      <c r="B51" s="105" t="s">
        <v>278</v>
      </c>
      <c r="C51" s="106" t="s">
        <v>195</v>
      </c>
      <c r="D51" s="106"/>
      <c r="E51" s="106">
        <v>0</v>
      </c>
      <c r="F51" s="107">
        <v>0.7</v>
      </c>
      <c r="G51" s="108">
        <v>0</v>
      </c>
      <c r="H51" s="108">
        <v>0</v>
      </c>
      <c r="I51" s="108">
        <v>0</v>
      </c>
      <c r="J51" s="108">
        <f t="shared" si="8"/>
        <v>145.26078999999999</v>
      </c>
      <c r="K51" s="108">
        <v>0</v>
      </c>
      <c r="L51" s="109">
        <f t="shared" si="23"/>
        <v>159.786869</v>
      </c>
      <c r="M51" s="109" cm="1">
        <f t="array" ref="M51">Profile_SM(C51,P51*1000,12)/10^3</f>
        <v>482.64811540310143</v>
      </c>
      <c r="N51" s="109" cm="1">
        <f t="array" ref="N51">Profile_ShearArea(C51,P51,12)</f>
        <v>2500</v>
      </c>
      <c r="O51" s="107">
        <v>2</v>
      </c>
      <c r="P51" s="107">
        <v>0.7</v>
      </c>
      <c r="Q51" s="108">
        <v>1</v>
      </c>
      <c r="R51" s="108">
        <v>355</v>
      </c>
      <c r="S51" s="130">
        <f t="shared" si="14"/>
        <v>161.43465201192251</v>
      </c>
      <c r="T51" s="108">
        <v>0</v>
      </c>
      <c r="U51" s="108">
        <v>102.8806201</v>
      </c>
      <c r="V51" s="108">
        <f t="shared" ref="V51:V56" si="26">SQRT(S51^2+T51^2-S51*T51+3*U51^2)</f>
        <v>240.44627850455927</v>
      </c>
      <c r="W51" s="109">
        <f t="shared" si="25"/>
        <v>82.280994222713417</v>
      </c>
      <c r="X51" s="109">
        <f t="shared" si="17"/>
        <v>161.24207515849039</v>
      </c>
      <c r="Y51" s="109">
        <f t="shared" si="18"/>
        <v>453.1253312976454</v>
      </c>
      <c r="Z51" s="109">
        <f t="shared" si="19"/>
        <v>693.68251549763295</v>
      </c>
      <c r="AA51" s="111" t="str">
        <f t="shared" si="20"/>
        <v>OK</v>
      </c>
      <c r="AB51" s="112">
        <f t="shared" si="21"/>
        <v>1.0651536828031876</v>
      </c>
    </row>
    <row r="52" spans="1:28" ht="12" customHeight="1" x14ac:dyDescent="0.45">
      <c r="A52" s="105">
        <v>9</v>
      </c>
      <c r="B52" s="105" t="s">
        <v>278</v>
      </c>
      <c r="C52" s="106" t="s">
        <v>194</v>
      </c>
      <c r="D52" s="106"/>
      <c r="E52" s="106">
        <v>0</v>
      </c>
      <c r="F52" s="107">
        <f>F51+0.7</f>
        <v>1.4</v>
      </c>
      <c r="G52" s="108">
        <v>0</v>
      </c>
      <c r="H52" s="108">
        <v>0</v>
      </c>
      <c r="I52" s="108">
        <v>0</v>
      </c>
      <c r="J52" s="108">
        <f t="shared" si="8"/>
        <v>138.22211499999997</v>
      </c>
      <c r="K52" s="108">
        <v>0</v>
      </c>
      <c r="L52" s="109">
        <f t="shared" si="23"/>
        <v>152.04432649999998</v>
      </c>
      <c r="M52" s="109" cm="1">
        <f t="array" ref="M52">Profile_SM(C52,P52*1000,12)/10^3</f>
        <v>1516.9758574108816</v>
      </c>
      <c r="N52" s="109" cm="1">
        <f t="array" ref="N52">Profile_ShearArea(C52,P52,12)</f>
        <v>5175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14"/>
        <v>135.98897391952312</v>
      </c>
      <c r="T52" s="108">
        <v>0</v>
      </c>
      <c r="U52" s="108">
        <v>112.7872694</v>
      </c>
      <c r="V52" s="108">
        <f t="shared" si="26"/>
        <v>238.02501012248538</v>
      </c>
      <c r="W52" s="109">
        <f t="shared" si="25"/>
        <v>84.702262604787308</v>
      </c>
      <c r="X52" s="109">
        <f t="shared" si="17"/>
        <v>168.87469327469563</v>
      </c>
      <c r="Y52" s="109">
        <f t="shared" si="18"/>
        <v>1675.3748211992404</v>
      </c>
      <c r="Z52" s="109">
        <f t="shared" si="19"/>
        <v>1260.4733898983516</v>
      </c>
      <c r="AA52" s="111" t="str">
        <f t="shared" si="20"/>
        <v>N.G</v>
      </c>
      <c r="AB52" s="112">
        <f t="shared" si="21"/>
        <v>0.9054546112403814</v>
      </c>
    </row>
    <row r="53" spans="1:28" ht="12" customHeight="1" x14ac:dyDescent="0.45">
      <c r="A53" s="105">
        <v>10</v>
      </c>
      <c r="B53" s="105" t="s">
        <v>278</v>
      </c>
      <c r="C53" s="106" t="s">
        <v>194</v>
      </c>
      <c r="D53" s="106"/>
      <c r="E53" s="106">
        <v>0</v>
      </c>
      <c r="F53" s="107">
        <f t="shared" ref="F53:F58" si="27">F52+0.7</f>
        <v>2.0999999999999996</v>
      </c>
      <c r="G53" s="108">
        <v>0</v>
      </c>
      <c r="H53" s="108">
        <v>0</v>
      </c>
      <c r="I53" s="108">
        <v>0</v>
      </c>
      <c r="J53" s="108">
        <f t="shared" si="8"/>
        <v>131.18343999999999</v>
      </c>
      <c r="K53" s="108">
        <v>0</v>
      </c>
      <c r="L53" s="109">
        <f t="shared" si="23"/>
        <v>144.301784</v>
      </c>
      <c r="M53" s="109" cm="1">
        <f t="array" ref="M53">Profile_SM(C53,P53*1000,12)/10^3</f>
        <v>1516.9758574108816</v>
      </c>
      <c r="N53" s="109" cm="1">
        <f t="array" ref="N53">Profile_ShearArea(C53,P53,12)</f>
        <v>5175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14"/>
        <v>110.54329582712371</v>
      </c>
      <c r="T53" s="108">
        <v>0</v>
      </c>
      <c r="U53" s="108">
        <v>120.3313127</v>
      </c>
      <c r="V53" s="108">
        <f t="shared" si="26"/>
        <v>235.92095010964695</v>
      </c>
      <c r="W53" s="109">
        <f t="shared" si="25"/>
        <v>86.806322617625739</v>
      </c>
      <c r="X53" s="109">
        <f t="shared" si="17"/>
        <v>174.94909497045975</v>
      </c>
      <c r="Y53" s="109">
        <f t="shared" si="18"/>
        <v>1551.5190714843159</v>
      </c>
      <c r="Z53" s="109">
        <f t="shared" si="19"/>
        <v>1154.7501725236793</v>
      </c>
      <c r="AA53" s="111" t="str">
        <f t="shared" si="20"/>
        <v>N.G</v>
      </c>
      <c r="AB53" s="112">
        <f t="shared" si="21"/>
        <v>0.97773587530549189</v>
      </c>
    </row>
    <row r="54" spans="1:28" ht="12" customHeight="1" x14ac:dyDescent="0.45">
      <c r="A54" s="105">
        <v>11</v>
      </c>
      <c r="B54" s="105" t="s">
        <v>278</v>
      </c>
      <c r="C54" s="106" t="s">
        <v>194</v>
      </c>
      <c r="D54" s="106"/>
      <c r="E54" s="106">
        <v>0</v>
      </c>
      <c r="F54" s="107">
        <f t="shared" si="27"/>
        <v>2.8</v>
      </c>
      <c r="G54" s="108">
        <v>0</v>
      </c>
      <c r="H54" s="108">
        <v>0</v>
      </c>
      <c r="I54" s="108">
        <v>0</v>
      </c>
      <c r="J54" s="108">
        <f t="shared" si="8"/>
        <v>124.14476499999999</v>
      </c>
      <c r="K54" s="108">
        <v>0</v>
      </c>
      <c r="L54" s="109">
        <f t="shared" si="23"/>
        <v>136.55924150000001</v>
      </c>
      <c r="M54" s="109" cm="1">
        <f t="array" ref="M54">Profile_SM(C54,P54*1000,12)/10^3</f>
        <v>1516.9758574108816</v>
      </c>
      <c r="N54" s="109" cm="1">
        <f t="array" ref="N54">Profile_ShearArea(C54,P54,12)</f>
        <v>5175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14"/>
        <v>85.097617734724295</v>
      </c>
      <c r="T54" s="108">
        <v>0</v>
      </c>
      <c r="U54" s="108">
        <v>125.68822489999999</v>
      </c>
      <c r="V54" s="108">
        <f t="shared" si="26"/>
        <v>233.73958624859461</v>
      </c>
      <c r="W54" s="109">
        <f t="shared" si="25"/>
        <v>88.987686478678086</v>
      </c>
      <c r="X54" s="109">
        <f t="shared" si="17"/>
        <v>179.62343446359526</v>
      </c>
      <c r="Y54" s="109">
        <f t="shared" si="18"/>
        <v>1432.280095260209</v>
      </c>
      <c r="Z54" s="109">
        <f t="shared" si="19"/>
        <v>1064.3540953936472</v>
      </c>
      <c r="AA54" s="111" t="str">
        <f t="shared" si="20"/>
        <v>OK</v>
      </c>
      <c r="AB54" s="112">
        <f t="shared" si="21"/>
        <v>1.059133518947134</v>
      </c>
    </row>
    <row r="55" spans="1:28" ht="12" customHeight="1" x14ac:dyDescent="0.45">
      <c r="A55" s="105">
        <v>12</v>
      </c>
      <c r="B55" s="105" t="s">
        <v>278</v>
      </c>
      <c r="C55" s="106" t="s">
        <v>202</v>
      </c>
      <c r="D55" s="106"/>
      <c r="E55" s="106">
        <v>0</v>
      </c>
      <c r="F55" s="107">
        <f t="shared" si="27"/>
        <v>3.5</v>
      </c>
      <c r="G55" s="108">
        <v>0</v>
      </c>
      <c r="H55" s="108">
        <v>0</v>
      </c>
      <c r="I55" s="108">
        <v>0</v>
      </c>
      <c r="J55" s="108">
        <f t="shared" si="8"/>
        <v>117.10608999999999</v>
      </c>
      <c r="K55" s="108">
        <v>0</v>
      </c>
      <c r="L55" s="109">
        <f t="shared" si="23"/>
        <v>128.816699</v>
      </c>
      <c r="M55" s="109" cm="1">
        <f t="array" ref="M55">Profile_SM(C55,P55*1000,12)/10^3</f>
        <v>1173.9558953306662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14"/>
        <v>59.651939642324891</v>
      </c>
      <c r="T55" s="108">
        <v>0</v>
      </c>
      <c r="U55" s="108">
        <v>130.1707069</v>
      </c>
      <c r="V55" s="108">
        <f t="shared" si="26"/>
        <v>233.22005211308201</v>
      </c>
      <c r="W55" s="109">
        <f t="shared" si="25"/>
        <v>89.507220614190686</v>
      </c>
      <c r="X55" s="109">
        <f t="shared" si="17"/>
        <v>183.00502496151904</v>
      </c>
      <c r="Y55" s="109">
        <f t="shared" si="18"/>
        <v>1343.2315096108046</v>
      </c>
      <c r="Z55" s="109">
        <f t="shared" si="19"/>
        <v>985.45588372735278</v>
      </c>
      <c r="AA55" s="111" t="str">
        <f t="shared" si="20"/>
        <v>N.G</v>
      </c>
      <c r="AB55" s="112">
        <f t="shared" si="21"/>
        <v>0.87397882414984052</v>
      </c>
    </row>
    <row r="56" spans="1:28" ht="12" customHeight="1" x14ac:dyDescent="0.45">
      <c r="A56" s="105">
        <v>13</v>
      </c>
      <c r="B56" s="105" t="s">
        <v>278</v>
      </c>
      <c r="C56" s="106" t="s">
        <v>202</v>
      </c>
      <c r="D56" s="106"/>
      <c r="E56" s="106">
        <v>0</v>
      </c>
      <c r="F56" s="107">
        <f t="shared" si="27"/>
        <v>4.2</v>
      </c>
      <c r="G56" s="108">
        <v>0</v>
      </c>
      <c r="H56" s="108">
        <v>0</v>
      </c>
      <c r="I56" s="108">
        <v>0</v>
      </c>
      <c r="J56" s="108">
        <f t="shared" si="8"/>
        <v>110.067415</v>
      </c>
      <c r="K56" s="108">
        <v>0</v>
      </c>
      <c r="L56" s="109">
        <f t="shared" si="23"/>
        <v>121.0741565</v>
      </c>
      <c r="M56" s="109" cm="1">
        <f t="array" ref="M56">Profile_SM(C56,P56*1000,12)/10^3</f>
        <v>1173.9558953306662</v>
      </c>
      <c r="N56" s="109" cm="1">
        <f t="array" ref="N56">Profile_ShearArea(C56,P56,12)</f>
        <v>5200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14"/>
        <v>34.206261549925472</v>
      </c>
      <c r="T56" s="108">
        <v>0</v>
      </c>
      <c r="U56" s="108">
        <v>131.4085092</v>
      </c>
      <c r="V56" s="108">
        <f t="shared" si="26"/>
        <v>230.16224103818891</v>
      </c>
      <c r="W56" s="109">
        <f t="shared" si="25"/>
        <v>92.565031689083781</v>
      </c>
      <c r="X56" s="109">
        <f t="shared" si="17"/>
        <v>185.16470692059289</v>
      </c>
      <c r="Y56" s="109">
        <f t="shared" si="18"/>
        <v>1220.7908753948286</v>
      </c>
      <c r="Z56" s="109">
        <f t="shared" si="19"/>
        <v>915.42185289495262</v>
      </c>
      <c r="AA56" s="111" t="str">
        <f t="shared" si="20"/>
        <v>N.G</v>
      </c>
      <c r="AB56" s="112">
        <f t="shared" si="21"/>
        <v>0.9616355421652254</v>
      </c>
    </row>
    <row r="57" spans="1:28" ht="12" customHeight="1" x14ac:dyDescent="0.45">
      <c r="A57" s="105">
        <v>14</v>
      </c>
      <c r="B57" s="105" t="s">
        <v>278</v>
      </c>
      <c r="C57" s="106" t="s">
        <v>203</v>
      </c>
      <c r="D57" s="106"/>
      <c r="E57" s="106">
        <v>0</v>
      </c>
      <c r="F57" s="107">
        <f t="shared" si="27"/>
        <v>4.9000000000000004</v>
      </c>
      <c r="G57" s="108">
        <v>0</v>
      </c>
      <c r="H57" s="108">
        <v>0</v>
      </c>
      <c r="I57" s="108">
        <v>0</v>
      </c>
      <c r="J57" s="108">
        <f t="shared" si="8"/>
        <v>103.02873999999998</v>
      </c>
      <c r="K57" s="108">
        <v>0</v>
      </c>
      <c r="L57" s="109">
        <f t="shared" si="23"/>
        <v>113.33161399999999</v>
      </c>
      <c r="M57" s="109"/>
      <c r="N57" s="109"/>
      <c r="O57" s="107"/>
      <c r="P57" s="107"/>
      <c r="Q57" s="108"/>
      <c r="R57" s="108"/>
      <c r="S57" s="130"/>
      <c r="T57" s="108"/>
      <c r="U57" s="108">
        <v>130.3439305</v>
      </c>
      <c r="V57" s="108"/>
      <c r="W57" s="109"/>
      <c r="X57" s="109"/>
      <c r="Y57" s="109"/>
      <c r="Z57" s="109"/>
      <c r="AA57" s="111"/>
      <c r="AB57" s="112"/>
    </row>
    <row r="58" spans="1:28" ht="12" customHeight="1" x14ac:dyDescent="0.45">
      <c r="A58" s="105">
        <v>15</v>
      </c>
      <c r="B58" s="105" t="s">
        <v>278</v>
      </c>
      <c r="C58" s="106" t="s">
        <v>197</v>
      </c>
      <c r="D58" s="106"/>
      <c r="E58" s="106">
        <v>0</v>
      </c>
      <c r="F58" s="107">
        <f t="shared" si="27"/>
        <v>5.6000000000000005</v>
      </c>
      <c r="G58" s="108">
        <v>0</v>
      </c>
      <c r="H58" s="108">
        <v>0</v>
      </c>
      <c r="I58" s="108">
        <v>0</v>
      </c>
      <c r="J58" s="108">
        <f t="shared" si="8"/>
        <v>95.990064999999987</v>
      </c>
      <c r="K58" s="108">
        <v>0</v>
      </c>
      <c r="L58" s="109">
        <f t="shared" si="23"/>
        <v>105.58907149999999</v>
      </c>
      <c r="M58" s="109" cm="1">
        <f t="array" ref="M58">Profile_SM(C58,P58*1000,12)/10^3</f>
        <v>921.80062112577377</v>
      </c>
      <c r="N58" s="109" cm="1">
        <f t="array" ref="N58">Profile_ShearArea(C58,P58,12)</f>
        <v>4200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:S61" si="28">$M$11/ABS(($M$12/(F58-$M$13)))/1000</f>
        <v>16.685094634873341</v>
      </c>
      <c r="T58" s="108">
        <v>0</v>
      </c>
      <c r="U58" s="108">
        <v>127.486794</v>
      </c>
      <c r="V58" s="108">
        <f t="shared" ref="V58:V61" si="29">SQRT(S58^2+T58^2-S58*T58+3*U58^2)</f>
        <v>221.44308595250831</v>
      </c>
      <c r="W58" s="109">
        <f t="shared" ref="W58:W61" si="30">(R58/$F$7-V58)</f>
        <v>101.28418677476438</v>
      </c>
      <c r="X58" s="109">
        <f t="shared" ref="X58:X61" si="31">0.577*SQRT((R58/$F$7)^2-S58^2)</f>
        <v>185.96460273422252</v>
      </c>
      <c r="Y58" s="109">
        <f t="shared" ref="Y58:Y63" si="32">O58^2*P58*L58*1000000/($F$8*W58*Q58)/10^3</f>
        <v>973.00282704368794</v>
      </c>
      <c r="Z58" s="109">
        <f t="shared" ref="Z58:Z63" si="33">O58*P58*L58*1000/(2*X58)</f>
        <v>794.90772935572329</v>
      </c>
      <c r="AA58" s="111" t="str">
        <f t="shared" ref="AA58:AA63" si="34">IF(AND(M58&gt;=Y58,N58&gt;=Z58),"OK","N.G")</f>
        <v>N.G</v>
      </c>
      <c r="AB58" s="112">
        <f t="shared" ref="AB58:AB63" si="35">M58/Y58</f>
        <v>0.94737712523047457</v>
      </c>
    </row>
    <row r="59" spans="1:28" ht="12" customHeight="1" x14ac:dyDescent="0.45">
      <c r="A59" s="105">
        <v>16</v>
      </c>
      <c r="B59" s="105" t="s">
        <v>278</v>
      </c>
      <c r="C59" s="106" t="s">
        <v>197</v>
      </c>
      <c r="D59" s="106"/>
      <c r="E59" s="106">
        <v>0</v>
      </c>
      <c r="F59" s="107">
        <v>6.3</v>
      </c>
      <c r="G59" s="108">
        <v>0</v>
      </c>
      <c r="H59" s="108">
        <v>0</v>
      </c>
      <c r="I59" s="108">
        <v>0</v>
      </c>
      <c r="J59" s="108">
        <f t="shared" si="8"/>
        <v>88.951390000000004</v>
      </c>
      <c r="K59" s="108">
        <v>0</v>
      </c>
      <c r="L59" s="109">
        <f t="shared" si="23"/>
        <v>97.846529000000018</v>
      </c>
      <c r="M59" s="109" cm="1">
        <f t="array" ref="M59">Profile_SM(C59,P59*1000,12)/10^3</f>
        <v>921.80062112577377</v>
      </c>
      <c r="N59" s="109" cm="1">
        <f t="array" ref="N59">Profile_ShearArea(C59,P59,12)</f>
        <v>4200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si="28"/>
        <v>42.130772727272721</v>
      </c>
      <c r="T59" s="108">
        <v>0</v>
      </c>
      <c r="U59" s="108">
        <v>125.3</v>
      </c>
      <c r="V59" s="108">
        <f t="shared" si="29"/>
        <v>221.07752488798383</v>
      </c>
      <c r="W59" s="109">
        <f t="shared" si="30"/>
        <v>101.64974783928886</v>
      </c>
      <c r="X59" s="109">
        <f t="shared" si="31"/>
        <v>184.62006587416897</v>
      </c>
      <c r="Y59" s="109">
        <f t="shared" si="32"/>
        <v>898.41272612944999</v>
      </c>
      <c r="Z59" s="109">
        <f t="shared" si="33"/>
        <v>741.98403056233678</v>
      </c>
      <c r="AA59" s="111" t="str">
        <f t="shared" si="34"/>
        <v>OK</v>
      </c>
      <c r="AB59" s="112">
        <f t="shared" si="35"/>
        <v>1.0260324618252947</v>
      </c>
    </row>
    <row r="60" spans="1:28" ht="12" customHeight="1" x14ac:dyDescent="0.45">
      <c r="A60" s="105">
        <v>17</v>
      </c>
      <c r="B60" s="105" t="s">
        <v>278</v>
      </c>
      <c r="C60" s="106" t="s">
        <v>197</v>
      </c>
      <c r="D60" s="106"/>
      <c r="E60" s="106">
        <v>0</v>
      </c>
      <c r="F60" s="107">
        <v>7</v>
      </c>
      <c r="G60" s="108">
        <v>0</v>
      </c>
      <c r="H60" s="108">
        <v>0</v>
      </c>
      <c r="I60" s="108">
        <v>0</v>
      </c>
      <c r="J60" s="108">
        <f t="shared" si="8"/>
        <v>81.912714999999992</v>
      </c>
      <c r="K60" s="108">
        <v>0</v>
      </c>
      <c r="L60" s="109">
        <f t="shared" si="23"/>
        <v>90.103986500000005</v>
      </c>
      <c r="M60" s="109" cm="1">
        <f t="array" ref="M60">Profile_SM(C60,P60*1000,12)/10^3</f>
        <v>921.80062112577377</v>
      </c>
      <c r="N60" s="109" cm="1">
        <f t="array" ref="N60">Profile_ShearArea(C60,P60,12)</f>
        <v>4200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28"/>
        <v>67.576450819672132</v>
      </c>
      <c r="T60" s="108">
        <v>0</v>
      </c>
      <c r="U60" s="108">
        <v>119.8</v>
      </c>
      <c r="V60" s="108">
        <f t="shared" si="29"/>
        <v>218.22625118299484</v>
      </c>
      <c r="W60" s="109">
        <f t="shared" si="30"/>
        <v>104.50102154427785</v>
      </c>
      <c r="X60" s="109">
        <f t="shared" si="31"/>
        <v>182.085618739707</v>
      </c>
      <c r="Y60" s="109">
        <f t="shared" si="32"/>
        <v>804.7486313904991</v>
      </c>
      <c r="Z60" s="109">
        <f t="shared" si="33"/>
        <v>692.78168134918008</v>
      </c>
      <c r="AA60" s="111" t="str">
        <f t="shared" si="34"/>
        <v>OK</v>
      </c>
      <c r="AB60" s="112">
        <f t="shared" si="35"/>
        <v>1.1454516170260822</v>
      </c>
    </row>
    <row r="61" spans="1:28" ht="12" customHeight="1" x14ac:dyDescent="0.45">
      <c r="A61" s="105">
        <v>18</v>
      </c>
      <c r="B61" s="105" t="s">
        <v>278</v>
      </c>
      <c r="C61" s="106" t="s">
        <v>199</v>
      </c>
      <c r="D61" s="106"/>
      <c r="E61" s="106">
        <v>0</v>
      </c>
      <c r="F61" s="107">
        <v>7.7</v>
      </c>
      <c r="G61" s="108">
        <v>0</v>
      </c>
      <c r="H61" s="108">
        <v>0</v>
      </c>
      <c r="I61" s="108">
        <v>0</v>
      </c>
      <c r="J61" s="108">
        <f t="shared" si="8"/>
        <v>74.874039999999994</v>
      </c>
      <c r="K61" s="108">
        <v>0</v>
      </c>
      <c r="L61" s="109">
        <f t="shared" si="23"/>
        <v>82.361444000000006</v>
      </c>
      <c r="M61" s="109" cm="1">
        <f t="array" ref="M61">Profile_SM(C61,P61*1000,12)/10^3</f>
        <v>714.81266231145048</v>
      </c>
      <c r="N61" s="109" cm="1">
        <f t="array" ref="N61">Profile_ShearArea(C61,P61,12)</f>
        <v>3900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28"/>
        <v>93.022128912071537</v>
      </c>
      <c r="T61" s="108">
        <v>0</v>
      </c>
      <c r="U61" s="108">
        <v>112.5</v>
      </c>
      <c r="V61" s="108">
        <f t="shared" si="29"/>
        <v>215.92097273617043</v>
      </c>
      <c r="W61" s="109">
        <f t="shared" si="30"/>
        <v>106.80629999110226</v>
      </c>
      <c r="X61" s="109">
        <f t="shared" si="31"/>
        <v>178.31052956966823</v>
      </c>
      <c r="Y61" s="109">
        <f t="shared" si="32"/>
        <v>719.72047597445601</v>
      </c>
      <c r="Z61" s="109">
        <f t="shared" si="33"/>
        <v>646.65851129643147</v>
      </c>
      <c r="AA61" s="111" t="str">
        <f t="shared" si="34"/>
        <v>N.G</v>
      </c>
      <c r="AB61" s="112">
        <f t="shared" si="35"/>
        <v>0.99318094478782104</v>
      </c>
    </row>
    <row r="62" spans="1:28" ht="12" customHeight="1" x14ac:dyDescent="0.45">
      <c r="A62" s="105">
        <v>19</v>
      </c>
      <c r="B62" s="105" t="s">
        <v>278</v>
      </c>
      <c r="C62" s="106" t="s">
        <v>271</v>
      </c>
      <c r="D62" s="106"/>
      <c r="E62" s="106">
        <v>0</v>
      </c>
      <c r="F62" s="107">
        <v>8.5000000000000018</v>
      </c>
      <c r="G62" s="108">
        <v>0</v>
      </c>
      <c r="H62" s="108">
        <v>0</v>
      </c>
      <c r="I62" s="108">
        <v>0</v>
      </c>
      <c r="J62" s="108">
        <f t="shared" ref="J62:J63" si="36">1.025*9.81*(($F$10+0.76)-F62)+25</f>
        <v>66.82983999999999</v>
      </c>
      <c r="K62" s="108">
        <v>0</v>
      </c>
      <c r="L62" s="109">
        <f t="shared" ref="L62:L63" si="37">J62*$F$19+K62*$F$18</f>
        <v>73.512823999999995</v>
      </c>
      <c r="M62" s="109" cm="1">
        <f t="array" ref="M62">Profile_SM(C62,P62*1000,12)/10^3</f>
        <v>948.92246512050053</v>
      </c>
      <c r="N62" s="109" cm="1">
        <f t="array" ref="N62">Profile_ShearArea(C62,P62,12)</f>
        <v>4200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ref="S62:S63" si="38">$M$11/ABS(($M$12/(F62-$M$13)))/1000</f>
        <v>122.10290387481378</v>
      </c>
      <c r="T62" s="108">
        <v>0</v>
      </c>
      <c r="U62" s="108">
        <v>105.2</v>
      </c>
      <c r="V62" s="108">
        <f t="shared" ref="V62:V63" si="39">SQRT(S62^2+T62^2-S62*T62+3*U62^2)</f>
        <v>219.34046397019864</v>
      </c>
      <c r="W62" s="109">
        <f t="shared" ref="W62:W63" si="40">(R62/$F$7-V62)</f>
        <v>103.38680875707405</v>
      </c>
      <c r="X62" s="109">
        <f t="shared" ref="X62:X63" si="41">0.577*SQRT((R62/$F$7)^2-S62^2)</f>
        <v>172.3712280033553</v>
      </c>
      <c r="Y62" s="109">
        <f t="shared" si="32"/>
        <v>663.64335925952457</v>
      </c>
      <c r="Z62" s="109">
        <f t="shared" si="33"/>
        <v>597.07153445583526</v>
      </c>
      <c r="AA62" s="111" t="str">
        <f t="shared" si="34"/>
        <v>OK</v>
      </c>
      <c r="AB62" s="112">
        <f t="shared" si="35"/>
        <v>1.429868093879946</v>
      </c>
    </row>
    <row r="63" spans="1:28" ht="12" customHeight="1" x14ac:dyDescent="0.45">
      <c r="A63" s="105">
        <v>20</v>
      </c>
      <c r="B63" s="105" t="s">
        <v>278</v>
      </c>
      <c r="C63" s="106" t="s">
        <v>272</v>
      </c>
      <c r="D63" s="106"/>
      <c r="E63" s="106">
        <v>0</v>
      </c>
      <c r="F63" s="107">
        <v>9.1999999999999993</v>
      </c>
      <c r="G63" s="108">
        <v>0</v>
      </c>
      <c r="H63" s="108">
        <v>0</v>
      </c>
      <c r="I63" s="108">
        <v>0</v>
      </c>
      <c r="J63" s="108">
        <f t="shared" si="36"/>
        <v>59.791165000000007</v>
      </c>
      <c r="K63" s="108">
        <v>0</v>
      </c>
      <c r="L63" s="109">
        <f t="shared" si="37"/>
        <v>65.77028150000001</v>
      </c>
      <c r="M63" s="109" cm="1">
        <f t="array" ref="M63">Profile_SM(C63,P63*1000,12)/10^3</f>
        <v>735.06173407402298</v>
      </c>
      <c r="N63" s="109" cm="1">
        <f t="array" ref="N63">Profile_ShearArea(C63,P63,12)</f>
        <v>3900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si="38"/>
        <v>147.5485819672131</v>
      </c>
      <c r="T63" s="108">
        <v>0</v>
      </c>
      <c r="U63" s="108">
        <v>97.9</v>
      </c>
      <c r="V63" s="108">
        <f t="shared" si="39"/>
        <v>224.77502984214107</v>
      </c>
      <c r="W63" s="109">
        <f t="shared" si="40"/>
        <v>97.952242885131625</v>
      </c>
      <c r="X63" s="109">
        <f t="shared" si="41"/>
        <v>165.61237753784337</v>
      </c>
      <c r="Y63" s="109">
        <f t="shared" si="32"/>
        <v>626.68902986380238</v>
      </c>
      <c r="Z63" s="109">
        <f t="shared" si="33"/>
        <v>555.98739338766859</v>
      </c>
      <c r="AA63" s="111" t="str">
        <f t="shared" si="34"/>
        <v>OK</v>
      </c>
      <c r="AB63" s="112">
        <f t="shared" si="35"/>
        <v>1.1729289951569331</v>
      </c>
    </row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</sheetData>
  <mergeCells count="12">
    <mergeCell ref="AB22:AB23"/>
    <mergeCell ref="F4:N5"/>
    <mergeCell ref="AA22:AA23"/>
    <mergeCell ref="M11:N11"/>
    <mergeCell ref="M12:N12"/>
    <mergeCell ref="M13:N13"/>
    <mergeCell ref="M14:N14"/>
    <mergeCell ref="M15:N15"/>
    <mergeCell ref="A22:A23"/>
    <mergeCell ref="B22:B23"/>
    <mergeCell ref="C22:D23"/>
    <mergeCell ref="Q22:Q23"/>
  </mergeCells>
  <phoneticPr fontId="5" type="noConversion"/>
  <conditionalFormatting sqref="AA24:AA63">
    <cfRule type="cellIs" dxfId="7" priority="2" operator="equal">
      <formula>"N.G"</formula>
    </cfRule>
  </conditionalFormatting>
  <conditionalFormatting sqref="Z24:Z30">
    <cfRule type="cellIs" dxfId="6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4"/>
  <sheetViews>
    <sheetView showGridLines="0" zoomScale="115" zoomScaleNormal="115" workbookViewId="0">
      <selection activeCell="J67" sqref="J66:J67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4">
        <f>'Global Strength'!G10</f>
        <v>731745</v>
      </c>
      <c r="N11" s="324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5">
        <f>'Global Strength'!G6</f>
        <v>17.173200000000001</v>
      </c>
      <c r="N12" s="325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25">
        <f>'Global Strength'!G5</f>
        <v>4.7869999999999999</v>
      </c>
      <c r="N13" s="325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24"/>
      <c r="N14" s="324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4">
        <f>'Global Strength'!G27</f>
        <v>48421.40625</v>
      </c>
      <c r="N15" s="324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Q18" s="131"/>
      <c r="R18" s="131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  <c r="Q19" s="131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  <c r="V21" s="68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279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Profile_SM(C24,P24*1000,12)/10^3</f>
        <v>1936.0000491714611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203.97266176367827</v>
      </c>
      <c r="T24" s="84">
        <v>0</v>
      </c>
      <c r="U24" s="84">
        <v>78.709809699999994</v>
      </c>
      <c r="V24" s="84">
        <f>SQRT(S24^2+T24^2-S24*T24+3*U24^2)</f>
        <v>245.33762283023478</v>
      </c>
      <c r="W24" s="81">
        <f t="shared" ref="W24:W29" si="2">(R24/$F$7-V24)</f>
        <v>77.389649897037913</v>
      </c>
      <c r="X24" s="81">
        <f>0.577*SQRT((R24/$F$7)^2-S24^2)</f>
        <v>144.30543421905486</v>
      </c>
      <c r="Y24" s="81">
        <f t="shared" ref="Y24:Y36" si="3">O24^2*P24*L24*1000000/($F$8*W24*Q24)/10^3</f>
        <v>2220.6364543403593</v>
      </c>
      <c r="Z24" s="81">
        <f t="shared" ref="Z24:Z36" si="4">O24*P24*L24*1000/(2*X24)</f>
        <v>1786.3597308032713</v>
      </c>
      <c r="AA24" s="89" t="str">
        <f t="shared" ref="AA24:AA36" si="5">IF(AND(M24&gt;=Y24,N24&gt;=Z24),"OK","N.G")</f>
        <v>N.G</v>
      </c>
      <c r="AB24" s="333">
        <f t="shared" ref="AB24:AB36" si="6">M24/Y24</f>
        <v>0.87182215053141177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30" si="7">1.025*9.81*(($F$10+0.76)-F25)</f>
        <v>127.29946499999998</v>
      </c>
      <c r="K25" s="84">
        <v>0</v>
      </c>
      <c r="L25" s="81">
        <f t="shared" ref="L25:L30" si="8">J25*$F$18</f>
        <v>171.85427774999999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9">$M$11/ABS(($M$12/(F25-$M$13)))/1000</f>
        <v>203.97266176367827</v>
      </c>
      <c r="T25" s="84">
        <v>0</v>
      </c>
      <c r="U25" s="84">
        <v>53.96938651</v>
      </c>
      <c r="V25" s="84">
        <f t="shared" ref="V25:V36" si="10">SQRT(S25^2+T25^2-S25*T25+3*U25^2)</f>
        <v>224.37230396766265</v>
      </c>
      <c r="W25" s="81">
        <f t="shared" si="2"/>
        <v>98.354968759610045</v>
      </c>
      <c r="X25" s="81">
        <f t="shared" ref="X25:X36" si="11">0.577*SQRT((R25/$F$7)^2-S25^2)</f>
        <v>144.30543421905486</v>
      </c>
      <c r="Y25" s="81">
        <f t="shared" si="3"/>
        <v>1747.2861810370769</v>
      </c>
      <c r="Z25" s="81">
        <f t="shared" si="4"/>
        <v>1786.3597308032713</v>
      </c>
      <c r="AA25" s="89" t="str">
        <f t="shared" si="5"/>
        <v>OK</v>
      </c>
      <c r="AB25" s="333">
        <f t="shared" si="6"/>
        <v>1.1080039836533109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203.97266176367827</v>
      </c>
      <c r="T26" s="84">
        <v>0</v>
      </c>
      <c r="U26" s="84">
        <v>29.228963319999998</v>
      </c>
      <c r="V26" s="84">
        <f t="shared" si="10"/>
        <v>210.16147039180521</v>
      </c>
      <c r="W26" s="81">
        <f t="shared" si="2"/>
        <v>112.56580233546748</v>
      </c>
      <c r="X26" s="81">
        <f t="shared" si="11"/>
        <v>144.30543421905486</v>
      </c>
      <c r="Y26" s="81">
        <f t="shared" si="3"/>
        <v>1526.7005980896545</v>
      </c>
      <c r="Z26" s="81">
        <f t="shared" si="4"/>
        <v>1786.3597308032713</v>
      </c>
      <c r="AA26" s="89" t="str">
        <f t="shared" si="5"/>
        <v>OK</v>
      </c>
      <c r="AB26" s="333">
        <f t="shared" si="6"/>
        <v>1.2680941185154175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203.97266176367827</v>
      </c>
      <c r="T27" s="84">
        <v>0</v>
      </c>
      <c r="U27" s="84">
        <v>5.9551003209999998</v>
      </c>
      <c r="V27" s="84">
        <f t="shared" si="10"/>
        <v>204.23328917309104</v>
      </c>
      <c r="W27" s="81">
        <f t="shared" si="2"/>
        <v>118.49398355418165</v>
      </c>
      <c r="X27" s="81">
        <f t="shared" si="11"/>
        <v>144.30543421905486</v>
      </c>
      <c r="Y27" s="81">
        <f t="shared" si="3"/>
        <v>1450.3207048602535</v>
      </c>
      <c r="Z27" s="81">
        <f t="shared" si="4"/>
        <v>1786.3597308032713</v>
      </c>
      <c r="AA27" s="89" t="str">
        <f t="shared" si="5"/>
        <v>OK</v>
      </c>
      <c r="AB27" s="333">
        <f t="shared" si="6"/>
        <v>1.3348772052164872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203.97266176367827</v>
      </c>
      <c r="T28" s="84">
        <v>0</v>
      </c>
      <c r="U28" s="84">
        <v>30.695523510000001</v>
      </c>
      <c r="V28" s="84">
        <f t="shared" si="10"/>
        <v>210.78778958378683</v>
      </c>
      <c r="W28" s="81">
        <f t="shared" si="2"/>
        <v>111.93948314348586</v>
      </c>
      <c r="X28" s="81">
        <f t="shared" si="11"/>
        <v>144.30543421905486</v>
      </c>
      <c r="Y28" s="81">
        <f t="shared" si="3"/>
        <v>1535.2427304824553</v>
      </c>
      <c r="Z28" s="81">
        <f t="shared" si="4"/>
        <v>1786.3597308032713</v>
      </c>
      <c r="AA28" s="89" t="str">
        <f t="shared" si="5"/>
        <v>OK</v>
      </c>
      <c r="AB28" s="333">
        <f t="shared" si="6"/>
        <v>1.2610384082802766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203.97266176367827</v>
      </c>
      <c r="T29" s="84">
        <v>0</v>
      </c>
      <c r="U29" s="84">
        <v>55.435946700000002</v>
      </c>
      <c r="V29" s="84">
        <f t="shared" si="10"/>
        <v>225.44240795940684</v>
      </c>
      <c r="W29" s="81">
        <f t="shared" si="2"/>
        <v>97.284864767865855</v>
      </c>
      <c r="X29" s="81">
        <f t="shared" si="11"/>
        <v>144.30543421905486</v>
      </c>
      <c r="Y29" s="81">
        <f t="shared" si="3"/>
        <v>1766.5057988214955</v>
      </c>
      <c r="Z29" s="81">
        <f t="shared" si="4"/>
        <v>1786.3597308032713</v>
      </c>
      <c r="AA29" s="89" t="str">
        <f t="shared" si="5"/>
        <v>OK</v>
      </c>
      <c r="AB29" s="333">
        <f t="shared" si="6"/>
        <v>1.0959488785505498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203.97266176367827</v>
      </c>
      <c r="T30" s="84">
        <v>0</v>
      </c>
      <c r="U30" s="84">
        <v>80.176369890000004</v>
      </c>
      <c r="V30" s="84">
        <f t="shared" si="10"/>
        <v>246.75817638565533</v>
      </c>
      <c r="W30" s="81">
        <f>(R30/$F$7-V30)</f>
        <v>75.969096341617359</v>
      </c>
      <c r="X30" s="81">
        <f t="shared" si="11"/>
        <v>144.30543421905486</v>
      </c>
      <c r="Y30" s="81">
        <f>O30^2*P30*L30*1000000/($F$8*W30*Q30)/10^3</f>
        <v>2262.1603523781141</v>
      </c>
      <c r="Z30" s="81">
        <f t="shared" si="4"/>
        <v>1786.3597308032713</v>
      </c>
      <c r="AA30" s="89" t="str">
        <f>IF(AND(M30&gt;=Y30,N30&gt;=Z30),"OK","N.G")</f>
        <v>N.G</v>
      </c>
      <c r="AB30" s="333">
        <f t="shared" si="6"/>
        <v>0.85581910545652773</v>
      </c>
    </row>
    <row r="31" spans="1:28" ht="12" customHeight="1" x14ac:dyDescent="0.45">
      <c r="A31" s="75">
        <v>8</v>
      </c>
      <c r="B31" s="75" t="s">
        <v>276</v>
      </c>
      <c r="C31" s="91" t="s">
        <v>204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ref="J25:J58" si="12">1.025*9.81*(($F$10+0.76)-F31)+25</f>
        <v>145.26078999999999</v>
      </c>
      <c r="K31" s="79">
        <v>0</v>
      </c>
      <c r="L31" s="76">
        <f t="shared" ref="L25:L39" si="13">J31*$F$19+K31*$F$18</f>
        <v>159.786869</v>
      </c>
      <c r="M31" s="76" cm="1">
        <f t="array" ref="M31">Profile_SM(C31,P31*1000,12)/10^3</f>
        <v>525.6335977958513</v>
      </c>
      <c r="N31" s="76" cm="1">
        <f t="array" ref="N31">Profile_ShearArea(C31,P31,12)</f>
        <v>3000</v>
      </c>
      <c r="O31" s="92">
        <v>2</v>
      </c>
      <c r="P31" s="92">
        <v>0.7</v>
      </c>
      <c r="Q31" s="79">
        <v>1</v>
      </c>
      <c r="R31" s="79">
        <v>355</v>
      </c>
      <c r="S31" s="128">
        <f>$M$11/ABS(($M$12/(F31-$M$13)))/1000</f>
        <v>174.14586768919008</v>
      </c>
      <c r="T31" s="79">
        <v>0</v>
      </c>
      <c r="U31" s="79">
        <v>118.3505577</v>
      </c>
      <c r="V31" s="79">
        <f t="shared" si="10"/>
        <v>268.97462102756828</v>
      </c>
      <c r="W31" s="76">
        <f t="shared" ref="W31:W36" si="14">(R31/$F$7-V31)</f>
        <v>53.752651699704415</v>
      </c>
      <c r="X31" s="76">
        <f t="shared" si="11"/>
        <v>156.77644195706054</v>
      </c>
      <c r="Y31" s="76">
        <f t="shared" si="3"/>
        <v>693.61420483878544</v>
      </c>
      <c r="Z31" s="76">
        <f t="shared" si="4"/>
        <v>713.44142591675086</v>
      </c>
      <c r="AA31" s="94" t="str">
        <f t="shared" si="5"/>
        <v>N.G</v>
      </c>
      <c r="AB31" s="334">
        <f t="shared" si="6"/>
        <v>0.75781838683367597</v>
      </c>
    </row>
    <row r="32" spans="1:28" ht="12" customHeight="1" x14ac:dyDescent="0.45">
      <c r="A32" s="75">
        <v>9</v>
      </c>
      <c r="B32" s="75" t="s">
        <v>276</v>
      </c>
      <c r="C32" s="91" t="s">
        <v>195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12"/>
        <v>138.22211499999997</v>
      </c>
      <c r="K32" s="79">
        <v>0</v>
      </c>
      <c r="L32" s="76">
        <f t="shared" si="13"/>
        <v>152.04432649999998</v>
      </c>
      <c r="M32" s="76" cm="1">
        <f t="array" ref="M32">Profile_SM(C32,P32*1000,12)/10^3</f>
        <v>482.64811540310143</v>
      </c>
      <c r="N32" s="76" cm="1">
        <f t="array" ref="N32">Profile_ShearArea(C32,P32,12)</f>
        <v>2500</v>
      </c>
      <c r="O32" s="92">
        <v>2</v>
      </c>
      <c r="P32" s="92">
        <v>0.7</v>
      </c>
      <c r="Q32" s="79">
        <v>1</v>
      </c>
      <c r="R32" s="79">
        <v>355</v>
      </c>
      <c r="S32" s="128">
        <f>$M$11/ABS(($M$12/(F32-$M$13)))/1000</f>
        <v>144.31907361470195</v>
      </c>
      <c r="T32" s="79">
        <v>0</v>
      </c>
      <c r="U32" s="79">
        <v>132.40240850000001</v>
      </c>
      <c r="V32" s="79">
        <f t="shared" si="10"/>
        <v>270.95975409423517</v>
      </c>
      <c r="W32" s="76">
        <f t="shared" si="14"/>
        <v>51.767518633037525</v>
      </c>
      <c r="X32" s="76">
        <f t="shared" si="11"/>
        <v>166.55712178533619</v>
      </c>
      <c r="Y32" s="76">
        <f t="shared" si="3"/>
        <v>685.31408214002329</v>
      </c>
      <c r="Z32" s="76">
        <f t="shared" si="4"/>
        <v>639.0061704306554</v>
      </c>
      <c r="AA32" s="94" t="str">
        <f t="shared" si="5"/>
        <v>N.G</v>
      </c>
      <c r="AB32" s="334">
        <f t="shared" si="6"/>
        <v>0.70427286988754279</v>
      </c>
    </row>
    <row r="33" spans="1:28" ht="12" customHeight="1" x14ac:dyDescent="0.45">
      <c r="A33" s="75">
        <v>10</v>
      </c>
      <c r="B33" s="75" t="s">
        <v>276</v>
      </c>
      <c r="C33" s="91" t="s">
        <v>195</v>
      </c>
      <c r="D33" s="91"/>
      <c r="E33" s="304">
        <v>6</v>
      </c>
      <c r="F33" s="92">
        <f t="shared" ref="F33:F37" si="15">F32+0.7</f>
        <v>2.0999999999999996</v>
      </c>
      <c r="G33" s="79">
        <v>0</v>
      </c>
      <c r="H33" s="79">
        <v>0</v>
      </c>
      <c r="I33" s="79">
        <v>0</v>
      </c>
      <c r="J33" s="79">
        <f t="shared" si="12"/>
        <v>131.18343999999999</v>
      </c>
      <c r="K33" s="79">
        <v>0</v>
      </c>
      <c r="L33" s="76">
        <f t="shared" si="13"/>
        <v>144.301784</v>
      </c>
      <c r="M33" s="76" cm="1">
        <f t="array" ref="M33">Profile_SM(C33,P33*1000,12)/10^3</f>
        <v>482.64811540310143</v>
      </c>
      <c r="N33" s="76" cm="1">
        <f t="array" ref="N33">Profile_ShearArea(C33,P33,12)</f>
        <v>2500</v>
      </c>
      <c r="O33" s="92">
        <v>2</v>
      </c>
      <c r="P33" s="92">
        <v>0.7</v>
      </c>
      <c r="Q33" s="79">
        <v>1</v>
      </c>
      <c r="R33" s="79">
        <v>355</v>
      </c>
      <c r="S33" s="128">
        <f t="shared" ref="S33:S36" si="16">$M$11/ABS(($M$12/(F33-$M$13)))/1000</f>
        <v>114.49227954021381</v>
      </c>
      <c r="T33" s="79">
        <v>0</v>
      </c>
      <c r="U33" s="79">
        <v>142.34961379999999</v>
      </c>
      <c r="V33" s="79">
        <f t="shared" si="10"/>
        <v>271.8431895805777</v>
      </c>
      <c r="W33" s="76">
        <f t="shared" si="14"/>
        <v>50.884083146694991</v>
      </c>
      <c r="X33" s="76">
        <f t="shared" si="11"/>
        <v>174.10147770552996</v>
      </c>
      <c r="Y33" s="76">
        <f t="shared" si="3"/>
        <v>661.70822356369058</v>
      </c>
      <c r="Z33" s="76">
        <f t="shared" si="4"/>
        <v>580.1860508665377</v>
      </c>
      <c r="AA33" s="94" t="str">
        <f t="shared" si="5"/>
        <v>N.G</v>
      </c>
      <c r="AB33" s="334">
        <f t="shared" si="6"/>
        <v>0.72939718476484328</v>
      </c>
    </row>
    <row r="34" spans="1:28" ht="12" customHeight="1" x14ac:dyDescent="0.45">
      <c r="A34" s="75">
        <v>11</v>
      </c>
      <c r="B34" s="75" t="s">
        <v>276</v>
      </c>
      <c r="C34" s="91" t="s">
        <v>195</v>
      </c>
      <c r="D34" s="91"/>
      <c r="E34" s="304">
        <v>6</v>
      </c>
      <c r="F34" s="92">
        <f t="shared" si="15"/>
        <v>2.8</v>
      </c>
      <c r="G34" s="79">
        <v>0</v>
      </c>
      <c r="H34" s="79">
        <v>0</v>
      </c>
      <c r="I34" s="79">
        <v>0</v>
      </c>
      <c r="J34" s="79">
        <f t="shared" si="12"/>
        <v>124.14476499999999</v>
      </c>
      <c r="K34" s="79">
        <v>0</v>
      </c>
      <c r="L34" s="76">
        <f t="shared" si="13"/>
        <v>136.55924150000001</v>
      </c>
      <c r="M34" s="76" cm="1">
        <f t="array" ref="M34">Profile_SM(C34,P34*1000,12)/10^3</f>
        <v>482.64811540310143</v>
      </c>
      <c r="N34" s="76" cm="1">
        <f t="array" ref="N34">Profile_ShearArea(C34,P34,12)</f>
        <v>2500</v>
      </c>
      <c r="O34" s="92">
        <v>2</v>
      </c>
      <c r="P34" s="92">
        <v>0.7</v>
      </c>
      <c r="Q34" s="79">
        <v>1</v>
      </c>
      <c r="R34" s="79">
        <v>355</v>
      </c>
      <c r="S34" s="128">
        <f t="shared" si="16"/>
        <v>84.665485465725666</v>
      </c>
      <c r="T34" s="79">
        <v>0</v>
      </c>
      <c r="U34" s="79">
        <v>148.47106690000001</v>
      </c>
      <c r="V34" s="79">
        <f t="shared" si="10"/>
        <v>270.73828238433487</v>
      </c>
      <c r="W34" s="76">
        <f t="shared" si="14"/>
        <v>51.988990342937825</v>
      </c>
      <c r="X34" s="76">
        <f t="shared" si="11"/>
        <v>179.69140746907487</v>
      </c>
      <c r="Y34" s="76">
        <f t="shared" si="3"/>
        <v>612.89559205673322</v>
      </c>
      <c r="Z34" s="76">
        <f t="shared" si="4"/>
        <v>531.97573771829582</v>
      </c>
      <c r="AA34" s="94" t="str">
        <f t="shared" si="5"/>
        <v>N.G</v>
      </c>
      <c r="AB34" s="334">
        <f t="shared" si="6"/>
        <v>0.78748831229712069</v>
      </c>
    </row>
    <row r="35" spans="1:28" ht="12" customHeight="1" x14ac:dyDescent="0.45">
      <c r="A35" s="75">
        <v>12</v>
      </c>
      <c r="B35" s="75" t="s">
        <v>276</v>
      </c>
      <c r="C35" s="91" t="s">
        <v>195</v>
      </c>
      <c r="D35" s="91"/>
      <c r="E35" s="304">
        <v>6</v>
      </c>
      <c r="F35" s="92">
        <f t="shared" si="15"/>
        <v>3.5</v>
      </c>
      <c r="G35" s="79">
        <v>0</v>
      </c>
      <c r="H35" s="79">
        <v>0</v>
      </c>
      <c r="I35" s="79">
        <v>0</v>
      </c>
      <c r="J35" s="79">
        <f t="shared" si="12"/>
        <v>117.10608999999999</v>
      </c>
      <c r="K35" s="79">
        <v>0</v>
      </c>
      <c r="L35" s="76">
        <f t="shared" si="13"/>
        <v>128.816699</v>
      </c>
      <c r="M35" s="76" cm="1">
        <f t="array" ref="M35">Profile_SM(C35,P35*1000,12)/10^3</f>
        <v>482.64811540310143</v>
      </c>
      <c r="N35" s="76" cm="1">
        <f t="array" ref="N35">Profile_ShearArea(C35,P35,12)</f>
        <v>2500</v>
      </c>
      <c r="O35" s="92">
        <v>2</v>
      </c>
      <c r="P35" s="92">
        <v>0.7</v>
      </c>
      <c r="Q35" s="79">
        <v>1</v>
      </c>
      <c r="R35" s="79">
        <v>355</v>
      </c>
      <c r="S35" s="128">
        <f t="shared" si="16"/>
        <v>54.838691391237504</v>
      </c>
      <c r="T35" s="79">
        <v>0</v>
      </c>
      <c r="U35" s="79">
        <v>150.7667677</v>
      </c>
      <c r="V35" s="79">
        <f t="shared" si="10"/>
        <v>266.83166379127624</v>
      </c>
      <c r="W35" s="76">
        <f t="shared" si="14"/>
        <v>55.895608935996449</v>
      </c>
      <c r="X35" s="76">
        <f t="shared" si="11"/>
        <v>183.50560469456832</v>
      </c>
      <c r="Y35" s="76">
        <f t="shared" si="3"/>
        <v>537.7386585247483</v>
      </c>
      <c r="Z35" s="76">
        <f t="shared" si="4"/>
        <v>491.38384328960518</v>
      </c>
      <c r="AA35" s="94" t="str">
        <f t="shared" si="5"/>
        <v>N.G</v>
      </c>
      <c r="AB35" s="334">
        <f t="shared" si="6"/>
        <v>0.89755145506409328</v>
      </c>
    </row>
    <row r="36" spans="1:28" ht="12" customHeight="1" x14ac:dyDescent="0.45">
      <c r="A36" s="75">
        <v>13</v>
      </c>
      <c r="B36" s="75" t="s">
        <v>276</v>
      </c>
      <c r="C36" s="91" t="s">
        <v>195</v>
      </c>
      <c r="D36" s="91"/>
      <c r="E36" s="304">
        <v>6</v>
      </c>
      <c r="F36" s="92">
        <f t="shared" si="15"/>
        <v>4.2</v>
      </c>
      <c r="G36" s="79">
        <v>0</v>
      </c>
      <c r="H36" s="79">
        <v>0</v>
      </c>
      <c r="I36" s="79">
        <v>0</v>
      </c>
      <c r="J36" s="79">
        <f t="shared" si="12"/>
        <v>110.067415</v>
      </c>
      <c r="K36" s="79">
        <v>0</v>
      </c>
      <c r="L36" s="76">
        <f t="shared" si="13"/>
        <v>121.0741565</v>
      </c>
      <c r="M36" s="76" cm="1">
        <f t="array" ref="M36">Profile_SM(C36,P36*1000,12)/10^3</f>
        <v>482.64811540310143</v>
      </c>
      <c r="N36" s="76" cm="1">
        <f t="array" ref="N36">Profile_ShearArea(C36,P36,12)</f>
        <v>2500</v>
      </c>
      <c r="O36" s="92">
        <v>2</v>
      </c>
      <c r="P36" s="92">
        <v>0.7</v>
      </c>
      <c r="Q36" s="79">
        <v>1</v>
      </c>
      <c r="R36" s="79">
        <v>355</v>
      </c>
      <c r="S36" s="128">
        <f t="shared" si="16"/>
        <v>25.011897316749341</v>
      </c>
      <c r="T36" s="79">
        <v>0</v>
      </c>
      <c r="U36" s="79">
        <v>150.18200759999999</v>
      </c>
      <c r="V36" s="79">
        <f t="shared" si="10"/>
        <v>261.32259991757883</v>
      </c>
      <c r="W36" s="76">
        <f t="shared" si="14"/>
        <v>61.404672809693864</v>
      </c>
      <c r="X36" s="76">
        <f t="shared" si="11"/>
        <v>185.65354736054834</v>
      </c>
      <c r="Y36" s="76">
        <f t="shared" si="3"/>
        <v>460.07307300897759</v>
      </c>
      <c r="Z36" s="76">
        <f t="shared" si="4"/>
        <v>456.50573746058086</v>
      </c>
      <c r="AA36" s="94" t="str">
        <f t="shared" si="5"/>
        <v>OK</v>
      </c>
      <c r="AB36" s="334">
        <f t="shared" si="6"/>
        <v>1.0490683843905015</v>
      </c>
    </row>
    <row r="37" spans="1:28" ht="12" customHeight="1" x14ac:dyDescent="0.45">
      <c r="A37" s="75">
        <v>14</v>
      </c>
      <c r="B37" s="75" t="s">
        <v>276</v>
      </c>
      <c r="C37" s="91" t="s">
        <v>196</v>
      </c>
      <c r="D37" s="91"/>
      <c r="E37" s="304">
        <v>6</v>
      </c>
      <c r="F37" s="92">
        <f t="shared" si="15"/>
        <v>4.9000000000000004</v>
      </c>
      <c r="G37" s="79">
        <v>0</v>
      </c>
      <c r="H37" s="79">
        <v>0</v>
      </c>
      <c r="I37" s="79">
        <v>0</v>
      </c>
      <c r="J37" s="79">
        <f t="shared" si="12"/>
        <v>103.02873999999998</v>
      </c>
      <c r="K37" s="79">
        <v>0</v>
      </c>
      <c r="L37" s="76">
        <f t="shared" si="13"/>
        <v>113.33161399999999</v>
      </c>
      <c r="M37" s="76"/>
      <c r="N37" s="76"/>
      <c r="O37" s="92"/>
      <c r="P37" s="92"/>
      <c r="Q37" s="79"/>
      <c r="R37" s="79"/>
      <c r="S37" s="128"/>
      <c r="T37" s="79"/>
      <c r="U37" s="79">
        <v>146.119517</v>
      </c>
      <c r="V37" s="79"/>
      <c r="W37" s="76"/>
      <c r="X37" s="76"/>
      <c r="Y37" s="76"/>
      <c r="Z37" s="76"/>
      <c r="AA37" s="94"/>
      <c r="AB37" s="334"/>
    </row>
    <row r="38" spans="1:28" ht="12" customHeight="1" x14ac:dyDescent="0.45">
      <c r="A38" s="75">
        <v>15</v>
      </c>
      <c r="B38" s="75" t="s">
        <v>276</v>
      </c>
      <c r="C38" s="91" t="s">
        <v>202</v>
      </c>
      <c r="D38" s="91"/>
      <c r="E38" s="304">
        <v>6</v>
      </c>
      <c r="F38" s="92">
        <f>6.3-0.7</f>
        <v>5.6</v>
      </c>
      <c r="G38" s="79">
        <v>0</v>
      </c>
      <c r="H38" s="79">
        <v>0</v>
      </c>
      <c r="I38" s="79">
        <v>0</v>
      </c>
      <c r="J38" s="79">
        <f t="shared" si="12"/>
        <v>95.990065000000001</v>
      </c>
      <c r="K38" s="79">
        <v>0</v>
      </c>
      <c r="L38" s="76">
        <f t="shared" si="13"/>
        <v>105.58907150000002</v>
      </c>
      <c r="M38" s="76" cm="1">
        <f t="array" ref="M38">Profile_SM(C38,P38*1000,12)/10^3</f>
        <v>1173.9558953306662</v>
      </c>
      <c r="N38" s="76" cm="1">
        <f t="array" ref="N38">Profile_ShearArea(C38,P38,12)</f>
        <v>5200</v>
      </c>
      <c r="O38" s="92">
        <v>4</v>
      </c>
      <c r="P38" s="92">
        <v>0.7</v>
      </c>
      <c r="Q38" s="79">
        <v>1</v>
      </c>
      <c r="R38" s="79">
        <v>355</v>
      </c>
      <c r="S38" s="128">
        <f t="shared" ref="S38:S55" si="17">$M$11/ABS(($M$12/(F38-$M$13)))/1000</f>
        <v>34.641690832226942</v>
      </c>
      <c r="T38" s="79">
        <v>0</v>
      </c>
      <c r="U38" s="79">
        <v>130.4142233</v>
      </c>
      <c r="V38" s="79">
        <f t="shared" ref="V38:V39" si="18">SQRT(S38^2+T38^2-S38*T38+3*U38^2)</f>
        <v>228.52495631887206</v>
      </c>
      <c r="W38" s="76">
        <f t="shared" ref="W38:W46" si="19">(R38/$F$7-V38)</f>
        <v>94.202316408400634</v>
      </c>
      <c r="X38" s="76">
        <f t="shared" ref="X38:X39" si="20">0.577*SQRT((R38/$F$7)^2-S38^2)</f>
        <v>185.13775413305115</v>
      </c>
      <c r="Y38" s="76">
        <f t="shared" ref="Y38:Y55" si="21">O38^2*P38*L38*1000000/($F$8*W38*Q38)/10^3</f>
        <v>1046.1504963361849</v>
      </c>
      <c r="Z38" s="76">
        <f t="shared" ref="Z38:Z55" si="22">O38*P38*L38*1000/(2*X38)</f>
        <v>798.45788770757292</v>
      </c>
      <c r="AA38" s="94" t="str">
        <f t="shared" ref="AA38:AA55" si="23">IF(AND(M38&gt;=Y38,N38&gt;=Z38),"OK","N.G")</f>
        <v>OK</v>
      </c>
      <c r="AB38" s="334">
        <f t="shared" ref="AB38:AB55" si="24">M38/Y38</f>
        <v>1.1221673166930377</v>
      </c>
    </row>
    <row r="39" spans="1:28" ht="12" customHeight="1" x14ac:dyDescent="0.45">
      <c r="A39" s="75">
        <v>16</v>
      </c>
      <c r="B39" s="75" t="s">
        <v>276</v>
      </c>
      <c r="C39" s="91" t="s">
        <v>202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12"/>
        <v>88.951390000000004</v>
      </c>
      <c r="K39" s="79">
        <v>0</v>
      </c>
      <c r="L39" s="76">
        <f t="shared" si="13"/>
        <v>97.846529000000018</v>
      </c>
      <c r="M39" s="76" cm="1">
        <f t="array" ref="M39">Profile_SM(C39,P39*1000,12)/10^3</f>
        <v>1173.9558953306662</v>
      </c>
      <c r="N39" s="76" cm="1">
        <f t="array" ref="N39">Profile_ShearArea(C39,P39,12)</f>
        <v>5200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17"/>
        <v>64.468484906715105</v>
      </c>
      <c r="T39" s="79">
        <v>0</v>
      </c>
      <c r="U39" s="79">
        <v>119.1303453</v>
      </c>
      <c r="V39" s="79">
        <f t="shared" si="18"/>
        <v>216.17655529695872</v>
      </c>
      <c r="W39" s="76">
        <f t="shared" si="19"/>
        <v>106.55071743031397</v>
      </c>
      <c r="X39" s="76">
        <f t="shared" si="20"/>
        <v>182.4604167211854</v>
      </c>
      <c r="Y39" s="76">
        <f t="shared" si="21"/>
        <v>857.08880492891853</v>
      </c>
      <c r="Z39" s="76">
        <f t="shared" si="22"/>
        <v>750.76634736247831</v>
      </c>
      <c r="AA39" s="94" t="str">
        <f t="shared" si="23"/>
        <v>OK</v>
      </c>
      <c r="AB39" s="334">
        <f t="shared" si="24"/>
        <v>1.3697015858561197</v>
      </c>
    </row>
    <row r="40" spans="1:28" ht="12" customHeight="1" x14ac:dyDescent="0.45">
      <c r="A40" s="75">
        <v>17</v>
      </c>
      <c r="B40" s="75" t="s">
        <v>276</v>
      </c>
      <c r="C40" s="91" t="s">
        <v>202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ref="J40:J42" si="25">1.025*9.81*(($F$10+0.76)-F40)+25</f>
        <v>81.912714999999992</v>
      </c>
      <c r="K40" s="79">
        <v>1</v>
      </c>
      <c r="L40" s="76">
        <f t="shared" ref="L40:L42" si="26">J40*$F$19+K40*$F$18</f>
        <v>91.453986499999999</v>
      </c>
      <c r="M40" s="76" cm="1">
        <f t="array" ref="M40">Profile_SM(C40,P40*1000,12)/10^3</f>
        <v>1173.9558953306662</v>
      </c>
      <c r="N40" s="76" cm="1">
        <f t="array" ref="N40">Profile_ShearArea(C40,P40,12)</f>
        <v>5200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ref="S40:S42" si="27">$M$11/ABS(($M$12/(F40-$M$13)))/1000</f>
        <v>94.295278981203268</v>
      </c>
      <c r="T40" s="79">
        <v>0</v>
      </c>
      <c r="U40" s="79">
        <v>119.1303453</v>
      </c>
      <c r="V40" s="79">
        <f t="shared" ref="V40:V42" si="28">SQRT(S40^2+T40^2-S40*T40+3*U40^2)</f>
        <v>226.86497559569358</v>
      </c>
      <c r="W40" s="76">
        <f t="shared" ref="W40:W42" si="29">(R40/$F$7-V40)</f>
        <v>95.862297131579112</v>
      </c>
      <c r="X40" s="76">
        <f t="shared" ref="X40:X42" si="30">0.577*SQRT((R40/$F$7)^2-S40^2)</f>
        <v>178.0877508191995</v>
      </c>
      <c r="Y40" s="76">
        <f t="shared" ref="Y40:Y42" si="31">O40^2*P40*L40*1000000/($F$8*W40*Q40)/10^3</f>
        <v>890.41319288966019</v>
      </c>
      <c r="Z40" s="76">
        <f t="shared" ref="Z40:Z42" si="32">O40*P40*L40*1000/(2*X40)</f>
        <v>718.9465895943955</v>
      </c>
      <c r="AA40" s="94" t="str">
        <f t="shared" ref="AA40:AA42" si="33">IF(AND(M40&gt;=Y40,N40&gt;=Z40),"OK","N.G")</f>
        <v>OK</v>
      </c>
      <c r="AB40" s="334">
        <f t="shared" ref="AB40:AB42" si="34">M40/Y40</f>
        <v>1.318439466873603</v>
      </c>
    </row>
    <row r="41" spans="1:28" ht="12" customHeight="1" x14ac:dyDescent="0.45">
      <c r="A41" s="75">
        <v>18</v>
      </c>
      <c r="B41" s="75" t="s">
        <v>276</v>
      </c>
      <c r="C41" s="91" t="s">
        <v>202</v>
      </c>
      <c r="D41" s="91"/>
      <c r="E41" s="304">
        <v>6</v>
      </c>
      <c r="F41" s="92">
        <f>F42-0.7</f>
        <v>7.7500000000000009</v>
      </c>
      <c r="G41" s="79">
        <v>0</v>
      </c>
      <c r="H41" s="79">
        <v>0</v>
      </c>
      <c r="I41" s="79">
        <v>0</v>
      </c>
      <c r="J41" s="79">
        <f t="shared" si="25"/>
        <v>74.371277499999991</v>
      </c>
      <c r="K41" s="79">
        <v>2</v>
      </c>
      <c r="L41" s="76">
        <f t="shared" si="26"/>
        <v>84.508405249999996</v>
      </c>
      <c r="M41" s="76" cm="1">
        <f t="array" ref="M41">Profile_SM(C41,P41*1000,12)/10^3</f>
        <v>1173.9558953306662</v>
      </c>
      <c r="N41" s="76" cm="1">
        <f t="array" ref="N41">Profile_ShearArea(C41,P41,12)</f>
        <v>5200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7"/>
        <v>126.25255834672632</v>
      </c>
      <c r="T41" s="79">
        <v>0</v>
      </c>
      <c r="U41" s="79">
        <v>119.1303453</v>
      </c>
      <c r="V41" s="79">
        <f t="shared" si="28"/>
        <v>241.90044647123995</v>
      </c>
      <c r="W41" s="76">
        <f t="shared" si="29"/>
        <v>80.826826256032746</v>
      </c>
      <c r="X41" s="76">
        <f t="shared" si="30"/>
        <v>171.37306427850078</v>
      </c>
      <c r="Y41" s="76">
        <f t="shared" si="31"/>
        <v>975.84570890879957</v>
      </c>
      <c r="Z41" s="76">
        <f t="shared" si="32"/>
        <v>690.37551407571186</v>
      </c>
      <c r="AA41" s="94" t="str">
        <f t="shared" si="33"/>
        <v>OK</v>
      </c>
      <c r="AB41" s="334">
        <f t="shared" si="34"/>
        <v>1.2030138418535399</v>
      </c>
    </row>
    <row r="42" spans="1:28" ht="12" customHeight="1" x14ac:dyDescent="0.45">
      <c r="A42" s="75">
        <v>19</v>
      </c>
      <c r="B42" s="75" t="s">
        <v>276</v>
      </c>
      <c r="C42" s="91" t="s">
        <v>202</v>
      </c>
      <c r="D42" s="91"/>
      <c r="E42" s="304">
        <v>6</v>
      </c>
      <c r="F42" s="92">
        <f>9.15-0.7</f>
        <v>8.4500000000000011</v>
      </c>
      <c r="G42" s="79">
        <v>0</v>
      </c>
      <c r="H42" s="79">
        <v>0</v>
      </c>
      <c r="I42" s="79">
        <v>0</v>
      </c>
      <c r="J42" s="79">
        <f t="shared" si="25"/>
        <v>67.332602499999979</v>
      </c>
      <c r="K42" s="79">
        <v>3</v>
      </c>
      <c r="L42" s="76">
        <f t="shared" si="26"/>
        <v>78.115862749999977</v>
      </c>
      <c r="M42" s="76" cm="1">
        <f t="array" ref="M42">Profile_SM(C42,P42*1000,12)/10^3</f>
        <v>1173.9558953306662</v>
      </c>
      <c r="N42" s="76" cm="1">
        <f t="array" ref="N42">Profile_ShearArea(C42,P42,12)</f>
        <v>5200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27"/>
        <v>156.07935242121448</v>
      </c>
      <c r="T42" s="79">
        <v>0</v>
      </c>
      <c r="U42" s="79">
        <v>119.1303453</v>
      </c>
      <c r="V42" s="79">
        <f t="shared" si="28"/>
        <v>258.72162987681833</v>
      </c>
      <c r="W42" s="76">
        <f t="shared" si="29"/>
        <v>64.005642850454365</v>
      </c>
      <c r="X42" s="76">
        <f t="shared" si="30"/>
        <v>162.98807774202177</v>
      </c>
      <c r="Y42" s="76">
        <f t="shared" si="31"/>
        <v>1139.0892321324304</v>
      </c>
      <c r="Z42" s="76">
        <f t="shared" si="32"/>
        <v>670.98286798068102</v>
      </c>
      <c r="AA42" s="94" t="str">
        <f t="shared" si="33"/>
        <v>OK</v>
      </c>
      <c r="AB42" s="334">
        <f t="shared" si="34"/>
        <v>1.0306092465934067</v>
      </c>
    </row>
    <row r="43" spans="1:28" ht="12" customHeight="1" x14ac:dyDescent="0.45">
      <c r="A43" s="96">
        <v>1</v>
      </c>
      <c r="B43" s="96" t="s">
        <v>132</v>
      </c>
      <c r="C43" s="104" t="s">
        <v>197</v>
      </c>
      <c r="D43" s="97"/>
      <c r="E43" s="305">
        <v>0.75</v>
      </c>
      <c r="F43" s="98">
        <v>9.15</v>
      </c>
      <c r="G43" s="99">
        <v>0</v>
      </c>
      <c r="H43" s="99">
        <v>0</v>
      </c>
      <c r="I43" s="99">
        <v>0</v>
      </c>
      <c r="J43" s="99">
        <f t="shared" si="12"/>
        <v>60.293927499999995</v>
      </c>
      <c r="K43" s="99">
        <v>0</v>
      </c>
      <c r="L43" s="100">
        <f>J43*$F$19+K43*$F$18</f>
        <v>66.323320249999995</v>
      </c>
      <c r="M43" s="100" cm="1">
        <f t="array" ref="M43">Profile_SM(C43,P43*1000,12)/10^3</f>
        <v>926.93146753714063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>$M$11/ABS(($M$12/(F43-$M$13)))/1000</f>
        <v>185.90614649570261</v>
      </c>
      <c r="T43" s="99">
        <v>0</v>
      </c>
      <c r="U43" s="99">
        <v>60.600591909999999</v>
      </c>
      <c r="V43" s="99">
        <f>SQRT(S43^2+T43^2-S43*T43+3*U43^2)</f>
        <v>213.49096122414343</v>
      </c>
      <c r="W43" s="100">
        <f t="shared" si="19"/>
        <v>109.23631150312926</v>
      </c>
      <c r="X43" s="100">
        <f t="shared" ref="X43:X49" si="35">0.577*SQRT((R43/$F$7)^2-S43^2)</f>
        <v>152.21408433193571</v>
      </c>
      <c r="Y43" s="100">
        <f t="shared" si="21"/>
        <v>607.15451975051405</v>
      </c>
      <c r="Z43" s="100">
        <f t="shared" si="22"/>
        <v>653.58590705740141</v>
      </c>
      <c r="AA43" s="102" t="str">
        <f t="shared" si="23"/>
        <v>OK</v>
      </c>
      <c r="AB43" s="335">
        <f t="shared" si="24"/>
        <v>1.5266813263912227</v>
      </c>
    </row>
    <row r="44" spans="1:28" ht="12" customHeight="1" x14ac:dyDescent="0.45">
      <c r="A44" s="96">
        <v>2</v>
      </c>
      <c r="B44" s="96" t="s">
        <v>132</v>
      </c>
      <c r="C44" s="104" t="s">
        <v>197</v>
      </c>
      <c r="D44" s="97"/>
      <c r="E44" s="305">
        <v>1.5</v>
      </c>
      <c r="F44" s="98">
        <v>9.15</v>
      </c>
      <c r="G44" s="99">
        <v>0</v>
      </c>
      <c r="H44" s="99">
        <v>0</v>
      </c>
      <c r="I44" s="99">
        <v>0</v>
      </c>
      <c r="J44" s="99">
        <f t="shared" si="12"/>
        <v>60.293927499999995</v>
      </c>
      <c r="K44" s="99">
        <v>0</v>
      </c>
      <c r="L44" s="100">
        <f t="shared" ref="L44:L58" si="36">J44*$F$19+K44*$F$18</f>
        <v>66.323320249999995</v>
      </c>
      <c r="M44" s="100" cm="1">
        <f t="array" ref="M44">Profile_SM(C44,P44*1000,12)/10^3</f>
        <v>926.93146753714063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17"/>
        <v>185.90614649570261</v>
      </c>
      <c r="T44" s="99">
        <v>0</v>
      </c>
      <c r="U44" s="99">
        <v>41.978815330000003</v>
      </c>
      <c r="V44" s="99">
        <f t="shared" ref="V44:V46" si="37">SQRT(S44^2+T44^2-S44*T44+3*U44^2)</f>
        <v>199.61903244533667</v>
      </c>
      <c r="W44" s="100">
        <f t="shared" si="19"/>
        <v>123.10824028193602</v>
      </c>
      <c r="X44" s="100">
        <f t="shared" si="35"/>
        <v>152.21408433193571</v>
      </c>
      <c r="Y44" s="100">
        <f t="shared" si="21"/>
        <v>538.73989343125857</v>
      </c>
      <c r="Z44" s="100">
        <f t="shared" si="22"/>
        <v>653.58590705740141</v>
      </c>
      <c r="AA44" s="102" t="str">
        <f t="shared" si="23"/>
        <v>OK</v>
      </c>
      <c r="AB44" s="335">
        <f t="shared" si="24"/>
        <v>1.7205547219335708</v>
      </c>
    </row>
    <row r="45" spans="1:28" ht="12" customHeight="1" x14ac:dyDescent="0.45">
      <c r="A45" s="96">
        <v>3</v>
      </c>
      <c r="B45" s="96" t="s">
        <v>132</v>
      </c>
      <c r="C45" s="104" t="s">
        <v>197</v>
      </c>
      <c r="D45" s="97"/>
      <c r="E45" s="305">
        <v>2.25</v>
      </c>
      <c r="F45" s="98">
        <v>9.15</v>
      </c>
      <c r="G45" s="99">
        <v>0</v>
      </c>
      <c r="H45" s="99">
        <v>0</v>
      </c>
      <c r="I45" s="99">
        <v>0</v>
      </c>
      <c r="J45" s="99">
        <f t="shared" si="12"/>
        <v>60.293927499999995</v>
      </c>
      <c r="K45" s="99">
        <v>0</v>
      </c>
      <c r="L45" s="100">
        <f t="shared" si="36"/>
        <v>66.323320249999995</v>
      </c>
      <c r="M45" s="100" cm="1">
        <f t="array" ref="M45">Profile_SM(C45,P45*1000,12)/10^3</f>
        <v>926.93146753714063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17"/>
        <v>185.90614649570261</v>
      </c>
      <c r="T45" s="99">
        <v>0</v>
      </c>
      <c r="U45" s="99">
        <v>23.35703874</v>
      </c>
      <c r="V45" s="99">
        <f t="shared" si="37"/>
        <v>190.25706052861014</v>
      </c>
      <c r="W45" s="100">
        <f t="shared" si="19"/>
        <v>132.47021219866255</v>
      </c>
      <c r="X45" s="100">
        <f t="shared" si="35"/>
        <v>152.21408433193571</v>
      </c>
      <c r="Y45" s="100">
        <f t="shared" si="21"/>
        <v>500.66591688202647</v>
      </c>
      <c r="Z45" s="100">
        <f t="shared" si="22"/>
        <v>653.58590705740141</v>
      </c>
      <c r="AA45" s="102" t="str">
        <f t="shared" si="23"/>
        <v>OK</v>
      </c>
      <c r="AB45" s="335">
        <f t="shared" si="24"/>
        <v>1.8513971817968917</v>
      </c>
    </row>
    <row r="46" spans="1:28" ht="12" customHeight="1" x14ac:dyDescent="0.45">
      <c r="A46" s="96">
        <v>4</v>
      </c>
      <c r="B46" s="96" t="s">
        <v>132</v>
      </c>
      <c r="C46" s="104" t="s">
        <v>197</v>
      </c>
      <c r="D46" s="97"/>
      <c r="E46" s="305">
        <v>3</v>
      </c>
      <c r="F46" s="98">
        <v>9.15</v>
      </c>
      <c r="G46" s="99">
        <v>0</v>
      </c>
      <c r="H46" s="99">
        <v>0</v>
      </c>
      <c r="I46" s="99">
        <v>0</v>
      </c>
      <c r="J46" s="99">
        <f t="shared" si="12"/>
        <v>60.293927499999995</v>
      </c>
      <c r="K46" s="99">
        <v>0</v>
      </c>
      <c r="L46" s="100">
        <f t="shared" si="36"/>
        <v>66.323320249999995</v>
      </c>
      <c r="M46" s="100" cm="1">
        <f t="array" ref="M46">Profile_SM(C46,P46*1000,12)/10^3</f>
        <v>926.93146753714063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17"/>
        <v>185.90614649570261</v>
      </c>
      <c r="T46" s="99">
        <v>0</v>
      </c>
      <c r="U46" s="99">
        <v>4.7352621560000001</v>
      </c>
      <c r="V46" s="99">
        <f t="shared" si="37"/>
        <v>186.08697812565978</v>
      </c>
      <c r="W46" s="100">
        <f t="shared" si="19"/>
        <v>136.64029460161291</v>
      </c>
      <c r="X46" s="100">
        <f t="shared" si="35"/>
        <v>152.21408433193571</v>
      </c>
      <c r="Y46" s="100">
        <f t="shared" si="21"/>
        <v>485.38625039832954</v>
      </c>
      <c r="Z46" s="100">
        <f t="shared" si="22"/>
        <v>653.58590705740141</v>
      </c>
      <c r="AA46" s="102" t="str">
        <f t="shared" si="23"/>
        <v>OK</v>
      </c>
      <c r="AB46" s="335">
        <f t="shared" si="24"/>
        <v>1.9096780487219394</v>
      </c>
    </row>
    <row r="47" spans="1:28" ht="12" customHeight="1" x14ac:dyDescent="0.45">
      <c r="A47" s="96">
        <v>5</v>
      </c>
      <c r="B47" s="96" t="s">
        <v>132</v>
      </c>
      <c r="C47" s="104" t="s">
        <v>197</v>
      </c>
      <c r="D47" s="97"/>
      <c r="E47" s="305">
        <v>3.75</v>
      </c>
      <c r="F47" s="98">
        <v>9.15</v>
      </c>
      <c r="G47" s="99">
        <v>0</v>
      </c>
      <c r="H47" s="99">
        <v>0</v>
      </c>
      <c r="I47" s="99">
        <v>0</v>
      </c>
      <c r="J47" s="99">
        <f t="shared" si="12"/>
        <v>60.293927499999995</v>
      </c>
      <c r="K47" s="99">
        <v>0</v>
      </c>
      <c r="L47" s="100">
        <f t="shared" si="36"/>
        <v>66.323320249999995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17"/>
        <v>185.90614649570261</v>
      </c>
      <c r="T47" s="99">
        <v>0</v>
      </c>
      <c r="U47" s="99">
        <v>19.671781630000002</v>
      </c>
      <c r="V47" s="99">
        <f>SQRT(S47^2+T47^2-S47*T47+3*U47^2)</f>
        <v>189.00273088602941</v>
      </c>
      <c r="W47" s="100">
        <f>(R47/$F$7-V47)</f>
        <v>133.72454184124328</v>
      </c>
      <c r="X47" s="100">
        <f t="shared" si="35"/>
        <v>152.21408433193571</v>
      </c>
      <c r="Y47" s="100">
        <f t="shared" si="21"/>
        <v>495.96969514196212</v>
      </c>
      <c r="Z47" s="100">
        <f t="shared" si="22"/>
        <v>653.58590705740141</v>
      </c>
      <c r="AA47" s="102" t="str">
        <f t="shared" si="23"/>
        <v>OK</v>
      </c>
      <c r="AB47" s="335">
        <f t="shared" si="24"/>
        <v>1.8689276312977625</v>
      </c>
    </row>
    <row r="48" spans="1:28" ht="12" customHeight="1" x14ac:dyDescent="0.45">
      <c r="A48" s="96">
        <v>6</v>
      </c>
      <c r="B48" s="96" t="s">
        <v>132</v>
      </c>
      <c r="C48" s="104" t="s">
        <v>197</v>
      </c>
      <c r="D48" s="97"/>
      <c r="E48" s="305">
        <v>4.5</v>
      </c>
      <c r="F48" s="98">
        <v>9.15</v>
      </c>
      <c r="G48" s="99">
        <v>0</v>
      </c>
      <c r="H48" s="99">
        <v>0</v>
      </c>
      <c r="I48" s="99">
        <v>0</v>
      </c>
      <c r="J48" s="99">
        <f t="shared" si="12"/>
        <v>60.293927499999995</v>
      </c>
      <c r="K48" s="99">
        <v>0</v>
      </c>
      <c r="L48" s="100">
        <f t="shared" si="36"/>
        <v>66.323320249999995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17"/>
        <v>185.90614649570261</v>
      </c>
      <c r="T48" s="99">
        <v>0</v>
      </c>
      <c r="U48" s="99">
        <v>38.293558220000001</v>
      </c>
      <c r="V48" s="99">
        <f>SQRT(S48^2+T48^2)</f>
        <v>185.90614649570261</v>
      </c>
      <c r="W48" s="100">
        <f t="shared" ref="W48:W55" si="38">(R48/$F$7-V48)</f>
        <v>136.82112623157008</v>
      </c>
      <c r="X48" s="100">
        <f t="shared" si="35"/>
        <v>152.21408433193571</v>
      </c>
      <c r="Y48" s="100">
        <f t="shared" si="21"/>
        <v>484.74473260618845</v>
      </c>
      <c r="Z48" s="100">
        <f t="shared" si="22"/>
        <v>653.58590705740141</v>
      </c>
      <c r="AA48" s="102" t="str">
        <f t="shared" si="23"/>
        <v>OK</v>
      </c>
      <c r="AB48" s="335">
        <f t="shared" si="24"/>
        <v>1.9122053427039283</v>
      </c>
    </row>
    <row r="49" spans="1:28" ht="12" customHeight="1" x14ac:dyDescent="0.45">
      <c r="A49" s="96">
        <v>7</v>
      </c>
      <c r="B49" s="96" t="s">
        <v>132</v>
      </c>
      <c r="C49" s="104" t="s">
        <v>197</v>
      </c>
      <c r="D49" s="97"/>
      <c r="E49" s="305">
        <v>5.25</v>
      </c>
      <c r="F49" s="98">
        <v>9.15</v>
      </c>
      <c r="G49" s="99">
        <v>0</v>
      </c>
      <c r="H49" s="99">
        <v>0</v>
      </c>
      <c r="I49" s="99">
        <v>0</v>
      </c>
      <c r="J49" s="99">
        <f t="shared" si="12"/>
        <v>60.293927499999995</v>
      </c>
      <c r="K49" s="99">
        <v>0</v>
      </c>
      <c r="L49" s="100">
        <f t="shared" si="36"/>
        <v>66.323320249999995</v>
      </c>
      <c r="M49" s="100" cm="1">
        <f t="array" ref="M49">Profile_SM(C49,P49*1000,12)/10^3</f>
        <v>926.93146753714063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>$M$11/ABS(($M$12/(F49-$M$13)))/1000</f>
        <v>185.90614649570261</v>
      </c>
      <c r="T49" s="99">
        <v>0</v>
      </c>
      <c r="U49" s="99">
        <v>56.915334799999997</v>
      </c>
      <c r="V49" s="99">
        <f>SQRT(S49^2+T49^2)</f>
        <v>185.90614649570261</v>
      </c>
      <c r="W49" s="100">
        <f t="shared" si="38"/>
        <v>136.82112623157008</v>
      </c>
      <c r="X49" s="100">
        <f t="shared" si="35"/>
        <v>152.21408433193571</v>
      </c>
      <c r="Y49" s="100">
        <f t="shared" si="21"/>
        <v>484.74473260618845</v>
      </c>
      <c r="Z49" s="100">
        <f t="shared" si="22"/>
        <v>653.58590705740141</v>
      </c>
      <c r="AA49" s="102" t="str">
        <f t="shared" si="23"/>
        <v>OK</v>
      </c>
      <c r="AB49" s="335">
        <f t="shared" si="24"/>
        <v>1.9122053427039283</v>
      </c>
    </row>
    <row r="50" spans="1:28" ht="12" customHeight="1" x14ac:dyDescent="0.45">
      <c r="A50" s="105">
        <v>8</v>
      </c>
      <c r="B50" s="105" t="s">
        <v>133</v>
      </c>
      <c r="C50" s="106" t="s">
        <v>205</v>
      </c>
      <c r="D50" s="106"/>
      <c r="E50" s="332">
        <v>0</v>
      </c>
      <c r="F50" s="107">
        <v>0.7</v>
      </c>
      <c r="G50" s="108">
        <v>0</v>
      </c>
      <c r="H50" s="108">
        <v>0</v>
      </c>
      <c r="I50" s="108">
        <v>0</v>
      </c>
      <c r="J50" s="108">
        <f t="shared" si="12"/>
        <v>145.26078999999999</v>
      </c>
      <c r="K50" s="108">
        <v>0</v>
      </c>
      <c r="L50" s="109">
        <f t="shared" si="36"/>
        <v>159.786869</v>
      </c>
      <c r="M50" s="109" cm="1">
        <f t="array" ref="M50">Profile_SM(C50,P50*1000,12)/10^3</f>
        <v>658.37622081916322</v>
      </c>
      <c r="N50" s="109" cm="1">
        <f t="array" ref="N50">Profile_ShearArea(C50,P50,12)</f>
        <v>3300</v>
      </c>
      <c r="O50" s="107">
        <v>2</v>
      </c>
      <c r="P50" s="107">
        <v>0.7</v>
      </c>
      <c r="Q50" s="108">
        <v>1</v>
      </c>
      <c r="R50" s="108">
        <v>355</v>
      </c>
      <c r="S50" s="130">
        <f>$M$11/ABS(($M$12/(F50-$M$13)))/1000</f>
        <v>174.14586768919008</v>
      </c>
      <c r="T50" s="108">
        <v>0</v>
      </c>
      <c r="U50" s="108">
        <v>123.6853545</v>
      </c>
      <c r="V50" s="108">
        <f t="shared" ref="V50:V55" si="39">SQRT(S50^2+T50^2-S50*T50+3*U50^2)</f>
        <v>276.0814807019712</v>
      </c>
      <c r="W50" s="109">
        <f t="shared" si="38"/>
        <v>46.645792025301489</v>
      </c>
      <c r="X50" s="109">
        <f t="shared" ref="X50:X55" si="40">0.577*SQRT((R50/$F$7)^2-S50^2)</f>
        <v>156.77644195706054</v>
      </c>
      <c r="Y50" s="109">
        <f t="shared" si="21"/>
        <v>799.29187924268479</v>
      </c>
      <c r="Z50" s="109">
        <f t="shared" si="22"/>
        <v>713.44142591675086</v>
      </c>
      <c r="AA50" s="111" t="str">
        <f t="shared" si="23"/>
        <v>N.G</v>
      </c>
      <c r="AB50" s="336">
        <f t="shared" si="24"/>
        <v>0.82369937430487006</v>
      </c>
    </row>
    <row r="51" spans="1:28" ht="12" customHeight="1" x14ac:dyDescent="0.45">
      <c r="A51" s="105">
        <v>9</v>
      </c>
      <c r="B51" s="105" t="s">
        <v>133</v>
      </c>
      <c r="C51" s="106" t="s">
        <v>205</v>
      </c>
      <c r="D51" s="106"/>
      <c r="E51" s="332">
        <v>0</v>
      </c>
      <c r="F51" s="107">
        <v>1.4</v>
      </c>
      <c r="G51" s="108">
        <v>0</v>
      </c>
      <c r="H51" s="108">
        <v>0</v>
      </c>
      <c r="I51" s="108">
        <v>0</v>
      </c>
      <c r="J51" s="108">
        <f t="shared" si="12"/>
        <v>138.22211499999997</v>
      </c>
      <c r="K51" s="108">
        <v>0</v>
      </c>
      <c r="L51" s="109">
        <f t="shared" si="36"/>
        <v>152.04432649999998</v>
      </c>
      <c r="M51" s="109" cm="1">
        <f t="array" ref="M51">Profile_SM(C51,P51*1000,12)/10^3</f>
        <v>658.37622081916322</v>
      </c>
      <c r="N51" s="109" cm="1">
        <f t="array" ref="N51">Profile_ShearArea(C51,P51,12)</f>
        <v>3300</v>
      </c>
      <c r="O51" s="107">
        <v>2</v>
      </c>
      <c r="P51" s="107">
        <v>0.7</v>
      </c>
      <c r="Q51" s="108">
        <v>1</v>
      </c>
      <c r="R51" s="108">
        <v>355</v>
      </c>
      <c r="S51" s="130">
        <f t="shared" si="17"/>
        <v>144.31907361470195</v>
      </c>
      <c r="T51" s="108">
        <v>0</v>
      </c>
      <c r="U51" s="108">
        <v>133.23035730000001</v>
      </c>
      <c r="V51" s="108">
        <f t="shared" si="39"/>
        <v>272.17453835335658</v>
      </c>
      <c r="W51" s="109">
        <f t="shared" si="38"/>
        <v>50.55273437391611</v>
      </c>
      <c r="X51" s="109">
        <f t="shared" si="40"/>
        <v>166.55712178533619</v>
      </c>
      <c r="Y51" s="109">
        <f t="shared" si="21"/>
        <v>701.78220735319655</v>
      </c>
      <c r="Z51" s="109">
        <f t="shared" si="22"/>
        <v>639.0061704306554</v>
      </c>
      <c r="AA51" s="111" t="str">
        <f t="shared" si="23"/>
        <v>N.G</v>
      </c>
      <c r="AB51" s="336">
        <f t="shared" si="24"/>
        <v>0.93814892130460104</v>
      </c>
    </row>
    <row r="52" spans="1:28" ht="12" customHeight="1" x14ac:dyDescent="0.45">
      <c r="A52" s="105">
        <v>10</v>
      </c>
      <c r="B52" s="105" t="s">
        <v>133</v>
      </c>
      <c r="C52" s="106" t="s">
        <v>195</v>
      </c>
      <c r="D52" s="106"/>
      <c r="E52" s="332">
        <v>0</v>
      </c>
      <c r="F52" s="107">
        <v>2.0999999999999996</v>
      </c>
      <c r="G52" s="108">
        <v>0</v>
      </c>
      <c r="H52" s="108">
        <v>0</v>
      </c>
      <c r="I52" s="108">
        <v>0</v>
      </c>
      <c r="J52" s="108">
        <f t="shared" si="12"/>
        <v>131.18343999999999</v>
      </c>
      <c r="K52" s="108">
        <v>0</v>
      </c>
      <c r="L52" s="109">
        <f t="shared" si="36"/>
        <v>144.301784</v>
      </c>
      <c r="M52" s="109" cm="1">
        <f t="array" ref="M52">Profile_SM(C52,P52*1000,12)/10^3</f>
        <v>482.64811540310143</v>
      </c>
      <c r="N52" s="109" cm="1">
        <f t="array" ref="N52">Profile_ShearArea(C52,P52,12)</f>
        <v>2500</v>
      </c>
      <c r="O52" s="107">
        <v>2</v>
      </c>
      <c r="P52" s="107">
        <v>0.7</v>
      </c>
      <c r="Q52" s="108">
        <v>1</v>
      </c>
      <c r="R52" s="108">
        <v>355</v>
      </c>
      <c r="S52" s="130">
        <f t="shared" si="17"/>
        <v>114.49227954021381</v>
      </c>
      <c r="T52" s="108">
        <v>0</v>
      </c>
      <c r="U52" s="108">
        <v>140.24291940000001</v>
      </c>
      <c r="V52" s="108">
        <f t="shared" si="39"/>
        <v>268.53810046214886</v>
      </c>
      <c r="W52" s="109">
        <f t="shared" si="38"/>
        <v>54.18917226512383</v>
      </c>
      <c r="X52" s="109">
        <f t="shared" si="40"/>
        <v>174.10147770552996</v>
      </c>
      <c r="Y52" s="109">
        <f t="shared" si="21"/>
        <v>621.34952167071492</v>
      </c>
      <c r="Z52" s="109">
        <f t="shared" si="22"/>
        <v>580.1860508665377</v>
      </c>
      <c r="AA52" s="111" t="str">
        <f t="shared" si="23"/>
        <v>N.G</v>
      </c>
      <c r="AB52" s="336">
        <f t="shared" si="24"/>
        <v>0.77677393893429514</v>
      </c>
    </row>
    <row r="53" spans="1:28" ht="12" customHeight="1" x14ac:dyDescent="0.45">
      <c r="A53" s="105">
        <v>11</v>
      </c>
      <c r="B53" s="105" t="s">
        <v>133</v>
      </c>
      <c r="C53" s="106" t="s">
        <v>195</v>
      </c>
      <c r="D53" s="106"/>
      <c r="E53" s="332">
        <v>0</v>
      </c>
      <c r="F53" s="107">
        <v>2.8</v>
      </c>
      <c r="G53" s="108">
        <v>0</v>
      </c>
      <c r="H53" s="108">
        <v>0</v>
      </c>
      <c r="I53" s="108">
        <v>0</v>
      </c>
      <c r="J53" s="108">
        <f t="shared" si="12"/>
        <v>124.14476499999999</v>
      </c>
      <c r="K53" s="108">
        <v>0</v>
      </c>
      <c r="L53" s="109">
        <f t="shared" si="36"/>
        <v>136.55924150000001</v>
      </c>
      <c r="M53" s="109" cm="1">
        <f t="array" ref="M53">Profile_SM(C53,P53*1000,12)/10^3</f>
        <v>482.64811540310143</v>
      </c>
      <c r="N53" s="109" cm="1">
        <f t="array" ref="N53">Profile_ShearArea(C53,P53,12)</f>
        <v>2500</v>
      </c>
      <c r="O53" s="107">
        <v>2</v>
      </c>
      <c r="P53" s="107">
        <v>0.7</v>
      </c>
      <c r="Q53" s="108">
        <v>1</v>
      </c>
      <c r="R53" s="108">
        <v>355</v>
      </c>
      <c r="S53" s="130">
        <f t="shared" si="17"/>
        <v>84.665485465725666</v>
      </c>
      <c r="T53" s="108">
        <v>0</v>
      </c>
      <c r="U53" s="108">
        <v>144.72304080000001</v>
      </c>
      <c r="V53" s="108">
        <f t="shared" si="39"/>
        <v>264.57989349975634</v>
      </c>
      <c r="W53" s="109">
        <f t="shared" si="38"/>
        <v>58.147379227516353</v>
      </c>
      <c r="X53" s="109">
        <f t="shared" si="40"/>
        <v>179.69140746907487</v>
      </c>
      <c r="Y53" s="109">
        <f t="shared" si="21"/>
        <v>547.98382042278092</v>
      </c>
      <c r="Z53" s="109">
        <f t="shared" si="22"/>
        <v>531.97573771829582</v>
      </c>
      <c r="AA53" s="111" t="str">
        <f t="shared" si="23"/>
        <v>N.G</v>
      </c>
      <c r="AB53" s="336">
        <f t="shared" si="24"/>
        <v>0.88077074069582628</v>
      </c>
    </row>
    <row r="54" spans="1:28" ht="12" customHeight="1" x14ac:dyDescent="0.45">
      <c r="A54" s="105">
        <v>12</v>
      </c>
      <c r="B54" s="105" t="s">
        <v>133</v>
      </c>
      <c r="C54" s="106" t="s">
        <v>195</v>
      </c>
      <c r="D54" s="106"/>
      <c r="E54" s="332">
        <v>0</v>
      </c>
      <c r="F54" s="107">
        <v>3.5</v>
      </c>
      <c r="G54" s="108">
        <v>0</v>
      </c>
      <c r="H54" s="108">
        <v>0</v>
      </c>
      <c r="I54" s="108">
        <v>0</v>
      </c>
      <c r="J54" s="108">
        <f t="shared" si="12"/>
        <v>117.10608999999999</v>
      </c>
      <c r="K54" s="108">
        <v>0</v>
      </c>
      <c r="L54" s="109" t="s">
        <v>96</v>
      </c>
      <c r="M54" s="109" cm="1">
        <f t="array" ref="M54">Profile_SM(C54,P54*1000,12)/10^3</f>
        <v>482.64811540310143</v>
      </c>
      <c r="N54" s="109" cm="1">
        <f t="array" ref="N54">Profile_ShearArea(C54,P54,12)</f>
        <v>2500</v>
      </c>
      <c r="O54" s="107">
        <v>2</v>
      </c>
      <c r="P54" s="107">
        <v>0.7</v>
      </c>
      <c r="Q54" s="108">
        <v>1</v>
      </c>
      <c r="R54" s="108">
        <v>355</v>
      </c>
      <c r="S54" s="130">
        <f t="shared" si="17"/>
        <v>54.838691391237504</v>
      </c>
      <c r="T54" s="108">
        <v>0</v>
      </c>
      <c r="U54" s="108">
        <v>146.67072139999999</v>
      </c>
      <c r="V54" s="108">
        <f t="shared" si="39"/>
        <v>259.89263864429216</v>
      </c>
      <c r="W54" s="109">
        <f t="shared" si="38"/>
        <v>62.834634082980529</v>
      </c>
      <c r="X54" s="109">
        <f t="shared" si="40"/>
        <v>183.50560469456832</v>
      </c>
      <c r="Y54" s="109" t="e">
        <f t="shared" si="21"/>
        <v>#VALUE!</v>
      </c>
      <c r="Z54" s="109" t="e">
        <f t="shared" si="22"/>
        <v>#VALUE!</v>
      </c>
      <c r="AA54" s="111" t="e">
        <f t="shared" si="23"/>
        <v>#VALUE!</v>
      </c>
      <c r="AB54" s="336" t="e">
        <f t="shared" si="24"/>
        <v>#VALUE!</v>
      </c>
    </row>
    <row r="55" spans="1:28" ht="12" customHeight="1" x14ac:dyDescent="0.45">
      <c r="A55" s="105">
        <v>13</v>
      </c>
      <c r="B55" s="105" t="s">
        <v>133</v>
      </c>
      <c r="C55" s="106" t="s">
        <v>195</v>
      </c>
      <c r="D55" s="106"/>
      <c r="E55" s="332">
        <v>0</v>
      </c>
      <c r="F55" s="107">
        <v>4.2</v>
      </c>
      <c r="G55" s="108">
        <v>0</v>
      </c>
      <c r="H55" s="108">
        <v>0</v>
      </c>
      <c r="I55" s="108">
        <v>0</v>
      </c>
      <c r="J55" s="108">
        <f t="shared" si="12"/>
        <v>110.067415</v>
      </c>
      <c r="K55" s="108">
        <v>0</v>
      </c>
      <c r="L55" s="109">
        <f t="shared" si="36"/>
        <v>121.0741565</v>
      </c>
      <c r="M55" s="109" cm="1">
        <f t="array" ref="M55">Profile_SM(C55,P55*1000,12)/10^3</f>
        <v>482.64811540310143</v>
      </c>
      <c r="N55" s="109" cm="1">
        <f t="array" ref="N55">Profile_ShearArea(C55,P55,12)</f>
        <v>2500</v>
      </c>
      <c r="O55" s="107">
        <v>2</v>
      </c>
      <c r="P55" s="107">
        <v>0.7</v>
      </c>
      <c r="Q55" s="108">
        <v>1</v>
      </c>
      <c r="R55" s="108">
        <v>355</v>
      </c>
      <c r="S55" s="130">
        <f t="shared" si="17"/>
        <v>25.011897316749341</v>
      </c>
      <c r="T55" s="108">
        <v>0</v>
      </c>
      <c r="U55" s="108">
        <v>146.0859614</v>
      </c>
      <c r="V55" s="108">
        <f t="shared" si="39"/>
        <v>254.26151765823803</v>
      </c>
      <c r="W55" s="109">
        <f t="shared" si="38"/>
        <v>68.465755069034657</v>
      </c>
      <c r="X55" s="109">
        <f t="shared" si="40"/>
        <v>185.65354736054834</v>
      </c>
      <c r="Y55" s="109">
        <f t="shared" si="21"/>
        <v>412.62433297027525</v>
      </c>
      <c r="Z55" s="109">
        <f t="shared" si="22"/>
        <v>456.50573746058086</v>
      </c>
      <c r="AA55" s="111" t="str">
        <f t="shared" si="23"/>
        <v>OK</v>
      </c>
      <c r="AB55" s="336">
        <f t="shared" si="24"/>
        <v>1.1697034732022713</v>
      </c>
    </row>
    <row r="56" spans="1:28" ht="12" customHeight="1" x14ac:dyDescent="0.45">
      <c r="A56" s="105">
        <v>14</v>
      </c>
      <c r="B56" s="105" t="s">
        <v>133</v>
      </c>
      <c r="C56" s="106" t="s">
        <v>195</v>
      </c>
      <c r="D56" s="106"/>
      <c r="E56" s="332">
        <v>0</v>
      </c>
      <c r="F56" s="107">
        <v>4.9000000000000004</v>
      </c>
      <c r="G56" s="108">
        <v>0</v>
      </c>
      <c r="H56" s="108">
        <v>0</v>
      </c>
      <c r="I56" s="108">
        <v>0</v>
      </c>
      <c r="J56" s="108">
        <f t="shared" ref="J56" si="41">1.025*9.81*(($F$10+0.76)-F56)+25</f>
        <v>103.02873999999998</v>
      </c>
      <c r="K56" s="108">
        <v>1</v>
      </c>
      <c r="L56" s="109">
        <f t="shared" ref="L56" si="42">J56*$F$19+K56*$F$18</f>
        <v>114.68161399999998</v>
      </c>
      <c r="M56" s="109" cm="1">
        <f t="array" ref="M56">Profile_SM(C56,P56*1000,12)/10^3</f>
        <v>482.64811540310143</v>
      </c>
      <c r="N56" s="109" cm="1">
        <f t="array" ref="N56">Profile_ShearArea(C56,P56,12)</f>
        <v>2500</v>
      </c>
      <c r="O56" s="107">
        <v>2</v>
      </c>
      <c r="P56" s="107">
        <v>0.7</v>
      </c>
      <c r="Q56" s="108">
        <v>1</v>
      </c>
      <c r="R56" s="108">
        <v>355</v>
      </c>
      <c r="S56" s="130">
        <f t="shared" ref="S56" si="43">$M$11/ABS(($M$12/(F56-$M$13)))/1000</f>
        <v>4.8148967577388202</v>
      </c>
      <c r="T56" s="108">
        <v>0</v>
      </c>
      <c r="U56" s="108">
        <v>146.0859614</v>
      </c>
      <c r="V56" s="108">
        <f t="shared" ref="V56" si="44">SQRT(S56^2+T56^2-S56*T56+3*U56^2)</f>
        <v>253.07411480685764</v>
      </c>
      <c r="W56" s="109">
        <f t="shared" ref="W56" si="45">(R56/$F$7-V56)</f>
        <v>69.653157920415055</v>
      </c>
      <c r="X56" s="109">
        <f t="shared" ref="X56" si="46">0.577*SQRT((R56/$F$7)^2-S56^2)</f>
        <v>186.19291070802257</v>
      </c>
      <c r="Y56" s="109">
        <f t="shared" ref="Y56" si="47">O56^2*P56*L56*1000000/($F$8*W56*Q56)/10^3</f>
        <v>384.17559326227899</v>
      </c>
      <c r="Z56" s="109">
        <f t="shared" ref="Z56" si="48">O56*P56*L56*1000/(2*X56)</f>
        <v>431.15030263362786</v>
      </c>
      <c r="AA56" s="111" t="str">
        <f t="shared" ref="AA56" si="49">IF(AND(M56&gt;=Y56,N56&gt;=Z56),"OK","N.G")</f>
        <v>OK</v>
      </c>
      <c r="AB56" s="336">
        <f t="shared" ref="AB56" si="50">M56/Y56</f>
        <v>1.2563216504844301</v>
      </c>
    </row>
    <row r="57" spans="1:28" ht="12" customHeight="1" x14ac:dyDescent="0.45">
      <c r="A57" s="105">
        <v>15</v>
      </c>
      <c r="B57" s="105" t="s">
        <v>133</v>
      </c>
      <c r="C57" s="106" t="s">
        <v>196</v>
      </c>
      <c r="D57" s="106"/>
      <c r="E57" s="332">
        <v>0</v>
      </c>
      <c r="F57" s="107">
        <v>5.6</v>
      </c>
      <c r="G57" s="108"/>
      <c r="H57" s="108"/>
      <c r="I57" s="108"/>
      <c r="J57" s="108"/>
      <c r="K57" s="108"/>
      <c r="L57" s="109"/>
      <c r="M57" s="109"/>
      <c r="N57" s="109"/>
      <c r="O57" s="107"/>
      <c r="P57" s="107"/>
      <c r="Q57" s="108"/>
      <c r="R57" s="108"/>
      <c r="S57" s="130"/>
      <c r="T57" s="108"/>
      <c r="U57" s="108"/>
      <c r="V57" s="108"/>
      <c r="W57" s="109"/>
      <c r="X57" s="109"/>
      <c r="Y57" s="109"/>
      <c r="Z57" s="109"/>
      <c r="AA57" s="111"/>
      <c r="AB57" s="336"/>
    </row>
    <row r="58" spans="1:28" ht="12" customHeight="1" x14ac:dyDescent="0.45">
      <c r="A58" s="105">
        <v>16</v>
      </c>
      <c r="B58" s="105" t="s">
        <v>133</v>
      </c>
      <c r="C58" s="106" t="s">
        <v>202</v>
      </c>
      <c r="D58" s="106"/>
      <c r="E58" s="332">
        <v>0</v>
      </c>
      <c r="F58" s="107">
        <v>6.3</v>
      </c>
      <c r="G58" s="108">
        <v>0</v>
      </c>
      <c r="H58" s="108">
        <v>0</v>
      </c>
      <c r="I58" s="108">
        <v>0</v>
      </c>
      <c r="J58" s="108">
        <f t="shared" si="12"/>
        <v>88.951390000000004</v>
      </c>
      <c r="K58" s="108">
        <v>0</v>
      </c>
      <c r="L58" s="109">
        <f t="shared" si="36"/>
        <v>97.846529000000018</v>
      </c>
      <c r="M58" s="109" cm="1">
        <f t="array" ref="M58">Profile_SM(C58,P58*1000,12)/10^3</f>
        <v>1173.9558953306662</v>
      </c>
      <c r="N58" s="109" cm="1">
        <f t="array" ref="N58">Profile_ShearArea(C58,P58,12)</f>
        <v>5200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" si="51">$M$11/ABS(($M$12/(F58-$M$13)))/1000</f>
        <v>64.468484906715105</v>
      </c>
      <c r="T58" s="108">
        <v>0</v>
      </c>
      <c r="U58" s="108">
        <v>124.1775092</v>
      </c>
      <c r="V58" s="108">
        <f t="shared" ref="V58" si="52">SQRT(S58^2+T58^2-S58*T58+3*U58^2)</f>
        <v>224.53584773820774</v>
      </c>
      <c r="W58" s="109">
        <f t="shared" ref="W58" si="53">(R58/$F$7-V58)</f>
        <v>98.191424989064956</v>
      </c>
      <c r="X58" s="109">
        <f t="shared" ref="X58" si="54">0.577*SQRT((R58/$F$7)^2-S58^2)</f>
        <v>182.4604167211854</v>
      </c>
      <c r="Y58" s="109">
        <f>O58^2*P58*L58*1000000/($F$8*W58*Q58)/10^3</f>
        <v>930.05501322378075</v>
      </c>
      <c r="Z58" s="109">
        <f>O58*P58*L58*1000/(2*X58)</f>
        <v>750.76634736247831</v>
      </c>
      <c r="AA58" s="111" t="str">
        <f>IF(AND(M58&gt;=Y58,N58&gt;=Z58),"OK","N.G")</f>
        <v>OK</v>
      </c>
      <c r="AB58" s="336">
        <f>M58/Y58</f>
        <v>1.2622435002650756</v>
      </c>
    </row>
    <row r="59" spans="1:28" ht="12" customHeight="1" x14ac:dyDescent="0.45">
      <c r="A59" s="105">
        <v>17</v>
      </c>
      <c r="B59" s="105" t="s">
        <v>133</v>
      </c>
      <c r="C59" s="106" t="s">
        <v>266</v>
      </c>
      <c r="D59" s="106"/>
      <c r="E59" s="332">
        <v>0</v>
      </c>
      <c r="F59" s="107">
        <v>7</v>
      </c>
      <c r="G59" s="108">
        <v>0</v>
      </c>
      <c r="H59" s="108">
        <v>0</v>
      </c>
      <c r="I59" s="108">
        <v>0</v>
      </c>
      <c r="J59" s="108">
        <f t="shared" ref="J59:J61" si="55">1.025*9.81*(($F$10+0.76)-F59)+25</f>
        <v>81.912714999999992</v>
      </c>
      <c r="K59" s="108">
        <v>1</v>
      </c>
      <c r="L59" s="109">
        <f t="shared" ref="L59:L61" si="56">J59*$F$19+K59*$F$18</f>
        <v>91.453986499999999</v>
      </c>
      <c r="M59" s="109" cm="1">
        <f t="array" ref="M59">Profile_SM(C59,P59*1000,12)/10^3</f>
        <v>1203.904123534692</v>
      </c>
      <c r="N59" s="109" cm="1">
        <f t="array" ref="N59">Profile_ShearArea(C59,P59,12)</f>
        <v>5200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9:S61" si="57">$M$11/ABS(($M$12/(F59-$M$13)))/1000</f>
        <v>94.295278981203268</v>
      </c>
      <c r="T59" s="108">
        <v>0</v>
      </c>
      <c r="U59" s="108">
        <v>124.1775092</v>
      </c>
      <c r="V59" s="108">
        <f t="shared" ref="V59:V61" si="58">SQRT(S59^2+T59^2-S59*T59+3*U59^2)</f>
        <v>234.84412066622235</v>
      </c>
      <c r="W59" s="109">
        <f t="shared" ref="W59:W61" si="59">(R59/$F$7-V59)</f>
        <v>87.883152061050339</v>
      </c>
      <c r="X59" s="109">
        <f t="shared" ref="X59:X61" si="60">0.577*SQRT((R59/$F$7)^2-S59^2)</f>
        <v>178.0877508191995</v>
      </c>
      <c r="Y59" s="109">
        <f t="shared" ref="Y59:Y61" si="61">O59^2*P59*L59*1000000/($F$8*W59*Q59)/10^3</f>
        <v>971.2561744186321</v>
      </c>
      <c r="Z59" s="109">
        <f t="shared" ref="Z59:Z61" si="62">O59*P59*L59*1000/(2*X59)</f>
        <v>718.9465895943955</v>
      </c>
      <c r="AA59" s="111" t="str">
        <f t="shared" ref="AA59:AA61" si="63">IF(AND(M59&gt;=Y59,N59&gt;=Z59),"OK","N.G")</f>
        <v>OK</v>
      </c>
      <c r="AB59" s="336">
        <f t="shared" ref="AB59:AB61" si="64">M59/Y59</f>
        <v>1.2395330451879152</v>
      </c>
    </row>
    <row r="60" spans="1:28" ht="12" customHeight="1" x14ac:dyDescent="0.45">
      <c r="A60" s="105">
        <v>18</v>
      </c>
      <c r="B60" s="105" t="s">
        <v>133</v>
      </c>
      <c r="C60" s="106" t="s">
        <v>267</v>
      </c>
      <c r="D60" s="106"/>
      <c r="E60" s="332">
        <v>0</v>
      </c>
      <c r="F60" s="107">
        <v>7.7500000000000009</v>
      </c>
      <c r="G60" s="108">
        <v>0</v>
      </c>
      <c r="H60" s="108">
        <v>0</v>
      </c>
      <c r="I60" s="108">
        <v>0</v>
      </c>
      <c r="J60" s="108">
        <f t="shared" si="55"/>
        <v>74.371277499999991</v>
      </c>
      <c r="K60" s="108">
        <v>2</v>
      </c>
      <c r="L60" s="109">
        <f t="shared" si="56"/>
        <v>84.508405249999996</v>
      </c>
      <c r="M60" s="109" cm="1">
        <f t="array" ref="M60">Profile_SM(C60,P60*1000,12)/10^3</f>
        <v>1233.8109416712377</v>
      </c>
      <c r="N60" s="109" cm="1">
        <f t="array" ref="N60">Profile_ShearArea(C60,P60,12)</f>
        <v>5200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7"/>
        <v>126.25255834672632</v>
      </c>
      <c r="T60" s="108">
        <v>0</v>
      </c>
      <c r="U60" s="108">
        <v>124.1775092</v>
      </c>
      <c r="V60" s="108">
        <f t="shared" si="58"/>
        <v>249.39901736462753</v>
      </c>
      <c r="W60" s="109">
        <f t="shared" si="59"/>
        <v>73.328255362645166</v>
      </c>
      <c r="X60" s="109">
        <f t="shared" si="60"/>
        <v>171.37306427850078</v>
      </c>
      <c r="Y60" s="109">
        <f t="shared" si="61"/>
        <v>1075.6360038377084</v>
      </c>
      <c r="Z60" s="109">
        <f t="shared" si="62"/>
        <v>690.37551407571186</v>
      </c>
      <c r="AA60" s="111" t="str">
        <f t="shared" si="63"/>
        <v>OK</v>
      </c>
      <c r="AB60" s="336">
        <f t="shared" si="64"/>
        <v>1.1470524761807757</v>
      </c>
    </row>
    <row r="61" spans="1:28" ht="12" customHeight="1" x14ac:dyDescent="0.45">
      <c r="A61" s="105">
        <v>19</v>
      </c>
      <c r="B61" s="105" t="s">
        <v>133</v>
      </c>
      <c r="C61" s="106" t="s">
        <v>268</v>
      </c>
      <c r="D61" s="106"/>
      <c r="E61" s="332">
        <v>0</v>
      </c>
      <c r="F61" s="107">
        <v>8.4500000000000011</v>
      </c>
      <c r="G61" s="108">
        <v>0</v>
      </c>
      <c r="H61" s="108">
        <v>0</v>
      </c>
      <c r="I61" s="108">
        <v>0</v>
      </c>
      <c r="J61" s="108">
        <f t="shared" si="55"/>
        <v>67.332602499999979</v>
      </c>
      <c r="K61" s="108">
        <v>3</v>
      </c>
      <c r="L61" s="109">
        <f t="shared" si="56"/>
        <v>78.115862749999977</v>
      </c>
      <c r="M61" s="109" cm="1">
        <f t="array" ref="M61">Profile_SM(C61,P61*1000,12)/10^3</f>
        <v>1263.6756675791974</v>
      </c>
      <c r="N61" s="109" cm="1">
        <f t="array" ref="N61">Profile_ShearArea(C61,P61,12)</f>
        <v>5200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7"/>
        <v>156.07935242121448</v>
      </c>
      <c r="T61" s="108">
        <v>0</v>
      </c>
      <c r="U61" s="108">
        <v>124.1775092</v>
      </c>
      <c r="V61" s="108">
        <f t="shared" si="58"/>
        <v>265.74597950970758</v>
      </c>
      <c r="W61" s="109">
        <f t="shared" si="59"/>
        <v>56.98129321756511</v>
      </c>
      <c r="X61" s="109">
        <f t="shared" si="60"/>
        <v>162.98807774202177</v>
      </c>
      <c r="Y61" s="109">
        <f t="shared" si="61"/>
        <v>1279.5100716350873</v>
      </c>
      <c r="Z61" s="109">
        <f t="shared" si="62"/>
        <v>670.98286798068102</v>
      </c>
      <c r="AA61" s="111" t="str">
        <f t="shared" si="63"/>
        <v>N.G</v>
      </c>
      <c r="AB61" s="336">
        <f t="shared" si="64"/>
        <v>0.98762463507953857</v>
      </c>
    </row>
    <row r="62" spans="1:28" ht="12" customHeight="1" x14ac:dyDescent="0.45">
      <c r="F62" s="311"/>
    </row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</sheetData>
  <mergeCells count="12">
    <mergeCell ref="AB22:AB23"/>
    <mergeCell ref="F4:N5"/>
    <mergeCell ref="AA22:AA23"/>
    <mergeCell ref="M11:N11"/>
    <mergeCell ref="M12:N12"/>
    <mergeCell ref="M13:N13"/>
    <mergeCell ref="M14:N14"/>
    <mergeCell ref="M15:N15"/>
    <mergeCell ref="A22:A23"/>
    <mergeCell ref="B22:B23"/>
    <mergeCell ref="C22:D23"/>
    <mergeCell ref="Q22:Q23"/>
  </mergeCells>
  <phoneticPr fontId="5" type="noConversion"/>
  <conditionalFormatting sqref="AA24:AA61">
    <cfRule type="cellIs" dxfId="5" priority="2" operator="equal">
      <formula>"N.G"</formula>
    </cfRule>
  </conditionalFormatting>
  <conditionalFormatting sqref="Z24:Z30">
    <cfRule type="cellIs" dxfId="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D8F3F-1327-48C4-9AA6-9FD2A5531CC2}">
  <sheetPr codeName="Sheet18"/>
  <dimension ref="A1:AC106"/>
  <sheetViews>
    <sheetView showGridLines="0" topLeftCell="A16" zoomScale="130" zoomScaleNormal="130" workbookViewId="0">
      <selection activeCell="C24" sqref="C24:C30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4">
        <f>'Global Strength'!H10</f>
        <v>731745</v>
      </c>
      <c r="N11" s="324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5">
        <f>'Global Strength'!H6</f>
        <v>13.648899999999999</v>
      </c>
      <c r="N12" s="325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25">
        <f>'Global Strength'!H5</f>
        <v>4.4139999999999997</v>
      </c>
      <c r="N13" s="325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25"/>
      <c r="N14" s="325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4">
        <f>'Global Strength'!H27</f>
        <v>54033</v>
      </c>
      <c r="N15" s="324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130</v>
      </c>
      <c r="C24" s="87" t="s">
        <v>279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Profile_SM(C24,P24*1000,12)/10^3</f>
        <v>1936.0000491714611</v>
      </c>
      <c r="N24" s="81" cm="1">
        <f t="array" ref="N24">Profile_ShearArea(C24,P24,12)</f>
        <v>7500</v>
      </c>
      <c r="O24" s="88">
        <v>2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236.64342401219145</v>
      </c>
      <c r="T24" s="84">
        <v>0</v>
      </c>
      <c r="U24" s="84">
        <v>34.58480651</v>
      </c>
      <c r="V24" s="84">
        <f>SQRT(S24^2+T24^2-S24*T24+3*U24^2)</f>
        <v>244.1074285068282</v>
      </c>
      <c r="W24" s="81">
        <f t="shared" ref="W24:W36" si="3">(R24/$F$7-V24)</f>
        <v>78.619844220444492</v>
      </c>
      <c r="X24" s="81">
        <f>0.577*SQRT((R24/$F$7)^2-S24^2)</f>
        <v>126.61539283551777</v>
      </c>
      <c r="Y24" s="81">
        <f t="shared" ref="Y24:Y36" si="4">O24^2*P24*L24*1000000/($F$8*W24*Q24)/10^3</f>
        <v>546.47232977253418</v>
      </c>
      <c r="Z24" s="81">
        <f t="shared" ref="Z24:Z36" si="5">O24*P24*L24*1000/(2*X24)</f>
        <v>1017.9702911788777</v>
      </c>
      <c r="AA24" s="89" t="str">
        <f t="shared" ref="AA24:AA36" si="6">IF(AND(M24&gt;=Y24,N24&gt;=Z24),"OK","N.G")</f>
        <v>OK</v>
      </c>
      <c r="AB24" s="333">
        <f t="shared" ref="AB24:AB36" si="7">M24/Y24</f>
        <v>3.542722922453017</v>
      </c>
    </row>
    <row r="25" spans="1:28" ht="12" customHeight="1" x14ac:dyDescent="0.45">
      <c r="A25" s="80">
        <v>2</v>
      </c>
      <c r="B25" s="80" t="s">
        <v>130</v>
      </c>
      <c r="C25" s="87" t="s">
        <v>279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9" si="8">1.025*9.81*(($F$10+0.76)-F25)+25</f>
        <v>152.299465</v>
      </c>
      <c r="K25" s="84">
        <v>0</v>
      </c>
      <c r="L25" s="81">
        <f t="shared" ref="L25:L41" si="9">J25*$F$19+K25*$F$18</f>
        <v>167.52941150000001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236.64342401219145</v>
      </c>
      <c r="T25" s="84">
        <v>0</v>
      </c>
      <c r="U25" s="84">
        <v>19.511098350000001</v>
      </c>
      <c r="V25" s="84">
        <f t="shared" ref="V25:V36" si="10">SQRT(S25^2+T25^2-S25*T25+3*U25^2)</f>
        <v>239.04426160166227</v>
      </c>
      <c r="W25" s="81">
        <f t="shared" si="3"/>
        <v>83.68301112561042</v>
      </c>
      <c r="X25" s="81">
        <f t="shared" ref="X25:X36" si="11">0.577*SQRT((R25/$F$7)^2-S25^2)</f>
        <v>126.61539283551777</v>
      </c>
      <c r="Y25" s="81">
        <f t="shared" si="4"/>
        <v>2001.9524781264611</v>
      </c>
      <c r="Z25" s="81">
        <f t="shared" si="5"/>
        <v>1984.7043208754926</v>
      </c>
      <c r="AA25" s="89" t="str">
        <f t="shared" si="6"/>
        <v>N.G</v>
      </c>
      <c r="AB25" s="333">
        <f t="shared" si="7"/>
        <v>0.96705594679414075</v>
      </c>
    </row>
    <row r="26" spans="1:28" ht="12" customHeight="1" x14ac:dyDescent="0.45">
      <c r="A26" s="80">
        <v>3</v>
      </c>
      <c r="B26" s="80" t="s">
        <v>130</v>
      </c>
      <c r="C26" s="87" t="s">
        <v>279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152.299465</v>
      </c>
      <c r="K26" s="84">
        <v>0</v>
      </c>
      <c r="L26" s="81">
        <f t="shared" si="9"/>
        <v>167.52941150000001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236.64342401219145</v>
      </c>
      <c r="T26" s="84">
        <v>0</v>
      </c>
      <c r="U26" s="84">
        <v>4.4373901919999996</v>
      </c>
      <c r="V26" s="84">
        <f t="shared" si="10"/>
        <v>236.76820188395655</v>
      </c>
      <c r="W26" s="81">
        <f t="shared" si="3"/>
        <v>85.959070843316141</v>
      </c>
      <c r="X26" s="81">
        <f t="shared" si="11"/>
        <v>126.61539283551777</v>
      </c>
      <c r="Y26" s="81">
        <f t="shared" si="4"/>
        <v>1948.9439550291097</v>
      </c>
      <c r="Z26" s="81">
        <f t="shared" si="5"/>
        <v>1984.7043208754926</v>
      </c>
      <c r="AA26" s="89" t="str">
        <f t="shared" si="6"/>
        <v>N.G</v>
      </c>
      <c r="AB26" s="333">
        <f t="shared" si="7"/>
        <v>0.9933585027808276</v>
      </c>
    </row>
    <row r="27" spans="1:28" ht="12" customHeight="1" x14ac:dyDescent="0.45">
      <c r="A27" s="80">
        <v>4</v>
      </c>
      <c r="B27" s="80" t="s">
        <v>130</v>
      </c>
      <c r="C27" s="87" t="s">
        <v>279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152.299465</v>
      </c>
      <c r="K27" s="84">
        <v>0</v>
      </c>
      <c r="L27" s="81">
        <f t="shared" si="9"/>
        <v>167.52941150000001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236.64342401219145</v>
      </c>
      <c r="T27" s="84">
        <v>0</v>
      </c>
      <c r="U27" s="84">
        <v>16.99936143</v>
      </c>
      <c r="V27" s="84">
        <f t="shared" si="10"/>
        <v>238.46812154939522</v>
      </c>
      <c r="W27" s="81">
        <f t="shared" si="3"/>
        <v>84.25915117787747</v>
      </c>
      <c r="X27" s="81">
        <f t="shared" si="11"/>
        <v>126.61539283551777</v>
      </c>
      <c r="Y27" s="81">
        <f t="shared" si="4"/>
        <v>1988.2636978662731</v>
      </c>
      <c r="Z27" s="81">
        <f t="shared" si="5"/>
        <v>1984.7043208754926</v>
      </c>
      <c r="AA27" s="89" t="str">
        <f t="shared" si="6"/>
        <v>N.G</v>
      </c>
      <c r="AB27" s="333">
        <f t="shared" si="7"/>
        <v>0.97371392499350096</v>
      </c>
    </row>
    <row r="28" spans="1:28" ht="12" customHeight="1" x14ac:dyDescent="0.45">
      <c r="A28" s="80">
        <v>5</v>
      </c>
      <c r="B28" s="80" t="s">
        <v>130</v>
      </c>
      <c r="C28" s="87" t="s">
        <v>279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152.299465</v>
      </c>
      <c r="K28" s="84">
        <v>0</v>
      </c>
      <c r="L28" s="81">
        <f t="shared" si="9"/>
        <v>167.52941150000001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236.64342401219145</v>
      </c>
      <c r="T28" s="84">
        <v>0</v>
      </c>
      <c r="U28" s="84">
        <v>32.073069590000003</v>
      </c>
      <c r="V28" s="84">
        <f t="shared" si="10"/>
        <v>243.0764396377995</v>
      </c>
      <c r="W28" s="81">
        <f t="shared" si="3"/>
        <v>79.650833089473196</v>
      </c>
      <c r="X28" s="81">
        <f t="shared" si="11"/>
        <v>126.61539283551777</v>
      </c>
      <c r="Y28" s="81">
        <f t="shared" si="4"/>
        <v>2103.2976681086466</v>
      </c>
      <c r="Z28" s="81">
        <f t="shared" si="5"/>
        <v>1984.7043208754926</v>
      </c>
      <c r="AA28" s="89" t="str">
        <f t="shared" si="6"/>
        <v>N.G</v>
      </c>
      <c r="AB28" s="333">
        <f t="shared" si="7"/>
        <v>0.92045937126549238</v>
      </c>
    </row>
    <row r="29" spans="1:28" ht="12" customHeight="1" x14ac:dyDescent="0.45">
      <c r="A29" s="80">
        <v>6</v>
      </c>
      <c r="B29" s="80" t="s">
        <v>130</v>
      </c>
      <c r="C29" s="87" t="s">
        <v>279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152.299465</v>
      </c>
      <c r="K29" s="84">
        <v>0</v>
      </c>
      <c r="L29" s="81">
        <f t="shared" si="9"/>
        <v>167.52941150000001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236.64342401219145</v>
      </c>
      <c r="T29" s="84">
        <v>0</v>
      </c>
      <c r="U29" s="84">
        <v>47.146777749999998</v>
      </c>
      <c r="V29" s="84">
        <f t="shared" si="10"/>
        <v>250.33690515950204</v>
      </c>
      <c r="W29" s="81">
        <f t="shared" si="3"/>
        <v>72.390367567770653</v>
      </c>
      <c r="X29" s="81">
        <f t="shared" si="11"/>
        <v>126.61539283551777</v>
      </c>
      <c r="Y29" s="81">
        <f t="shared" si="4"/>
        <v>2314.2500463637207</v>
      </c>
      <c r="Z29" s="81">
        <f t="shared" si="5"/>
        <v>1984.7043208754926</v>
      </c>
      <c r="AA29" s="89" t="str">
        <f t="shared" si="6"/>
        <v>N.G</v>
      </c>
      <c r="AB29" s="333">
        <f t="shared" si="7"/>
        <v>0.83655612418088221</v>
      </c>
    </row>
    <row r="30" spans="1:28" ht="12" customHeight="1" x14ac:dyDescent="0.45">
      <c r="A30" s="80">
        <v>7</v>
      </c>
      <c r="B30" s="80" t="s">
        <v>130</v>
      </c>
      <c r="C30" s="87" t="s">
        <v>279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152.299465</v>
      </c>
      <c r="K30" s="84">
        <v>0</v>
      </c>
      <c r="L30" s="81">
        <f t="shared" si="9"/>
        <v>167.52941150000001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2</v>
      </c>
      <c r="P30" s="88">
        <v>0.75</v>
      </c>
      <c r="Q30" s="84">
        <v>1</v>
      </c>
      <c r="R30" s="84">
        <v>355</v>
      </c>
      <c r="S30" s="84">
        <f>$M$11/ABS(($M$12/(F30-$M$13)))/1000</f>
        <v>236.64342401219145</v>
      </c>
      <c r="T30" s="84">
        <v>0</v>
      </c>
      <c r="U30" s="84">
        <v>62.2204859</v>
      </c>
      <c r="V30" s="84">
        <f t="shared" si="10"/>
        <v>260.02745379115282</v>
      </c>
      <c r="W30" s="81">
        <f t="shared" si="3"/>
        <v>62.699818936119868</v>
      </c>
      <c r="X30" s="81">
        <f t="shared" si="11"/>
        <v>126.61539283551777</v>
      </c>
      <c r="Y30" s="81">
        <f t="shared" si="4"/>
        <v>667.98203863508411</v>
      </c>
      <c r="Z30" s="81">
        <f t="shared" si="5"/>
        <v>992.35216043774631</v>
      </c>
      <c r="AA30" s="89" t="str">
        <f t="shared" si="6"/>
        <v>OK</v>
      </c>
      <c r="AB30" s="333">
        <f t="shared" si="7"/>
        <v>2.8982815962048498</v>
      </c>
    </row>
    <row r="31" spans="1:28" ht="12" customHeight="1" x14ac:dyDescent="0.45">
      <c r="A31" s="75">
        <v>8</v>
      </c>
      <c r="B31" s="75" t="s">
        <v>276</v>
      </c>
      <c r="C31" s="91" t="s">
        <v>201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145.26078999999999</v>
      </c>
      <c r="K31" s="79">
        <v>0</v>
      </c>
      <c r="L31" s="76">
        <f t="shared" si="9"/>
        <v>159.786869</v>
      </c>
      <c r="M31" s="76" cm="1">
        <f t="array" ref="M31">Profile_SM(C31,P31*1000,12)/10^3</f>
        <v>482.64811540310143</v>
      </c>
      <c r="N31" s="76" cm="1">
        <f t="array" ref="N31">Profile_ShearArea(C31,P31,12)</f>
        <v>2500</v>
      </c>
      <c r="O31" s="92">
        <v>2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199.11501512942434</v>
      </c>
      <c r="T31" s="79">
        <v>0</v>
      </c>
      <c r="U31" s="79">
        <v>86.492462459999999</v>
      </c>
      <c r="V31" s="79">
        <f t="shared" si="10"/>
        <v>249.17790318801227</v>
      </c>
      <c r="W31" s="76">
        <f t="shared" si="3"/>
        <v>73.549369539260425</v>
      </c>
      <c r="X31" s="76">
        <f t="shared" si="11"/>
        <v>146.54675864569086</v>
      </c>
      <c r="Y31" s="76">
        <f t="shared" si="4"/>
        <v>506.91940665466603</v>
      </c>
      <c r="Z31" s="76">
        <f t="shared" si="5"/>
        <v>763.24314050796602</v>
      </c>
      <c r="AA31" s="94" t="str">
        <f t="shared" si="6"/>
        <v>N.G</v>
      </c>
      <c r="AB31" s="334">
        <f t="shared" si="7"/>
        <v>0.95212001960678694</v>
      </c>
    </row>
    <row r="32" spans="1:28" ht="12" customHeight="1" x14ac:dyDescent="0.45">
      <c r="A32" s="75">
        <v>9</v>
      </c>
      <c r="B32" s="75" t="s">
        <v>276</v>
      </c>
      <c r="C32" s="91" t="s">
        <v>202</v>
      </c>
      <c r="D32" s="91"/>
      <c r="E32" s="304">
        <v>6</v>
      </c>
      <c r="F32" s="92">
        <v>1.4</v>
      </c>
      <c r="G32" s="79">
        <v>0</v>
      </c>
      <c r="H32" s="79">
        <v>0</v>
      </c>
      <c r="I32" s="79">
        <v>0</v>
      </c>
      <c r="J32" s="79">
        <f t="shared" si="8"/>
        <v>138.22211499999997</v>
      </c>
      <c r="K32" s="79">
        <v>0</v>
      </c>
      <c r="L32" s="76">
        <f t="shared" si="9"/>
        <v>152.04432649999998</v>
      </c>
      <c r="M32" s="76" cm="1">
        <f t="array" ref="M32">Profile_SM(C32,P32*1000,12)/10^3</f>
        <v>1173.9558953306662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161.58660624665723</v>
      </c>
      <c r="T32" s="79">
        <v>0</v>
      </c>
      <c r="U32" s="79">
        <v>96.399111750000003</v>
      </c>
      <c r="V32" s="79">
        <f t="shared" si="10"/>
        <v>232.35446532588782</v>
      </c>
      <c r="W32" s="76">
        <f t="shared" si="3"/>
        <v>90.372807401384875</v>
      </c>
      <c r="X32" s="76">
        <f t="shared" si="11"/>
        <v>161.19139296250964</v>
      </c>
      <c r="Y32" s="76">
        <f t="shared" si="4"/>
        <v>1570.2515186497574</v>
      </c>
      <c r="Z32" s="76">
        <f t="shared" si="5"/>
        <v>1320.5547342686468</v>
      </c>
      <c r="AA32" s="94" t="str">
        <f t="shared" si="6"/>
        <v>N.G</v>
      </c>
      <c r="AB32" s="334">
        <f t="shared" si="7"/>
        <v>0.74762283709818567</v>
      </c>
    </row>
    <row r="33" spans="1:28" ht="12" customHeight="1" x14ac:dyDescent="0.45">
      <c r="A33" s="75">
        <v>10</v>
      </c>
      <c r="B33" s="75" t="s">
        <v>276</v>
      </c>
      <c r="C33" s="91" t="s">
        <v>202</v>
      </c>
      <c r="D33" s="91"/>
      <c r="E33" s="304">
        <v>6</v>
      </c>
      <c r="F33" s="92">
        <v>2.0999999999999996</v>
      </c>
      <c r="G33" s="79">
        <v>0</v>
      </c>
      <c r="H33" s="79">
        <v>0</v>
      </c>
      <c r="I33" s="79">
        <v>0</v>
      </c>
      <c r="J33" s="79">
        <f t="shared" si="8"/>
        <v>131.18343999999999</v>
      </c>
      <c r="K33" s="79">
        <v>0</v>
      </c>
      <c r="L33" s="76">
        <f t="shared" si="9"/>
        <v>144.301784</v>
      </c>
      <c r="M33" s="76" cm="1">
        <f t="array" ref="M33">Profile_SM(C33,P33*1000,12)/10^3</f>
        <v>1173.9558953306662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124.05819736389014</v>
      </c>
      <c r="T33" s="79">
        <v>0</v>
      </c>
      <c r="U33" s="79">
        <v>103.943155</v>
      </c>
      <c r="V33" s="79">
        <f t="shared" si="10"/>
        <v>218.63891407350155</v>
      </c>
      <c r="W33" s="76">
        <f t="shared" si="3"/>
        <v>104.08835865377114</v>
      </c>
      <c r="X33" s="76">
        <f t="shared" si="11"/>
        <v>171.90577590587233</v>
      </c>
      <c r="Y33" s="76">
        <f t="shared" si="4"/>
        <v>1293.9166954746397</v>
      </c>
      <c r="Z33" s="76">
        <f t="shared" si="5"/>
        <v>1175.1931925232004</v>
      </c>
      <c r="AA33" s="94" t="str">
        <f t="shared" si="6"/>
        <v>N.G</v>
      </c>
      <c r="AB33" s="334">
        <f t="shared" si="7"/>
        <v>0.90728862177640501</v>
      </c>
    </row>
    <row r="34" spans="1:28" ht="12" customHeight="1" x14ac:dyDescent="0.45">
      <c r="A34" s="75">
        <v>11</v>
      </c>
      <c r="B34" s="75" t="s">
        <v>276</v>
      </c>
      <c r="C34" s="91" t="s">
        <v>202</v>
      </c>
      <c r="D34" s="91"/>
      <c r="E34" s="304">
        <v>6</v>
      </c>
      <c r="F34" s="92">
        <v>2.8</v>
      </c>
      <c r="G34" s="79">
        <v>0</v>
      </c>
      <c r="H34" s="79">
        <v>0</v>
      </c>
      <c r="I34" s="79">
        <v>0</v>
      </c>
      <c r="J34" s="79">
        <f t="shared" si="8"/>
        <v>124.14476499999999</v>
      </c>
      <c r="K34" s="79">
        <v>0</v>
      </c>
      <c r="L34" s="76">
        <f t="shared" si="9"/>
        <v>136.55924150000001</v>
      </c>
      <c r="M34" s="76" cm="1">
        <f t="array" ref="M34">Profile_SM(C34,P34*1000,12)/10^3</f>
        <v>1173.9558953306662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86.52978848112302</v>
      </c>
      <c r="T34" s="79">
        <v>0</v>
      </c>
      <c r="U34" s="79">
        <v>109.30006729999999</v>
      </c>
      <c r="V34" s="79">
        <f t="shared" si="10"/>
        <v>208.15119127677718</v>
      </c>
      <c r="W34" s="76">
        <f t="shared" si="3"/>
        <v>114.57608145049551</v>
      </c>
      <c r="X34" s="76">
        <f t="shared" si="11"/>
        <v>179.39549699860288</v>
      </c>
      <c r="Y34" s="76">
        <f t="shared" si="4"/>
        <v>1112.4074977353439</v>
      </c>
      <c r="Z34" s="76">
        <f t="shared" si="5"/>
        <v>1065.7064491506658</v>
      </c>
      <c r="AA34" s="94" t="str">
        <f t="shared" si="6"/>
        <v>OK</v>
      </c>
      <c r="AB34" s="334">
        <f t="shared" si="7"/>
        <v>1.0553290028345039</v>
      </c>
    </row>
    <row r="35" spans="1:28" ht="12" customHeight="1" x14ac:dyDescent="0.45">
      <c r="A35" s="75">
        <v>12</v>
      </c>
      <c r="B35" s="75" t="s">
        <v>276</v>
      </c>
      <c r="C35" s="91" t="s">
        <v>197</v>
      </c>
      <c r="D35" s="91"/>
      <c r="E35" s="304">
        <v>6</v>
      </c>
      <c r="F35" s="92">
        <v>3.5</v>
      </c>
      <c r="G35" s="79">
        <v>0</v>
      </c>
      <c r="H35" s="79">
        <v>0</v>
      </c>
      <c r="I35" s="79">
        <v>0</v>
      </c>
      <c r="J35" s="79">
        <f t="shared" si="8"/>
        <v>117.10608999999999</v>
      </c>
      <c r="K35" s="79">
        <v>0</v>
      </c>
      <c r="L35" s="76">
        <f t="shared" si="9"/>
        <v>128.816699</v>
      </c>
      <c r="M35" s="76" cm="1">
        <f t="array" ref="M35">Profile_SM(C35,P35*1000,12)/10^3</f>
        <v>921.80062112577377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49.001379598355896</v>
      </c>
      <c r="T35" s="79">
        <v>0</v>
      </c>
      <c r="U35" s="79">
        <v>112.9005669</v>
      </c>
      <c r="V35" s="79">
        <f t="shared" si="10"/>
        <v>201.59550893203522</v>
      </c>
      <c r="W35" s="76">
        <f t="shared" si="3"/>
        <v>121.13176379523748</v>
      </c>
      <c r="X35" s="76">
        <f t="shared" si="11"/>
        <v>184.05464087037149</v>
      </c>
      <c r="Y35" s="76">
        <f t="shared" si="4"/>
        <v>992.54658976074188</v>
      </c>
      <c r="Z35" s="76">
        <f t="shared" si="5"/>
        <v>979.83608425834097</v>
      </c>
      <c r="AA35" s="94" t="str">
        <f t="shared" si="6"/>
        <v>N.G</v>
      </c>
      <c r="AB35" s="334">
        <f t="shared" si="7"/>
        <v>0.92872277295111982</v>
      </c>
    </row>
    <row r="36" spans="1:28" ht="12" customHeight="1" x14ac:dyDescent="0.45">
      <c r="A36" s="75">
        <v>13</v>
      </c>
      <c r="B36" s="75" t="s">
        <v>276</v>
      </c>
      <c r="C36" s="91" t="s">
        <v>197</v>
      </c>
      <c r="D36" s="91"/>
      <c r="E36" s="304">
        <v>6</v>
      </c>
      <c r="F36" s="92">
        <v>4.2</v>
      </c>
      <c r="G36" s="79">
        <v>0</v>
      </c>
      <c r="H36" s="79">
        <v>0</v>
      </c>
      <c r="I36" s="79">
        <v>0</v>
      </c>
      <c r="J36" s="79">
        <f t="shared" si="8"/>
        <v>110.067415</v>
      </c>
      <c r="K36" s="79">
        <v>0</v>
      </c>
      <c r="L36" s="76">
        <f t="shared" si="9"/>
        <v>121.0741565</v>
      </c>
      <c r="M36" s="76" cm="1">
        <f t="array" ref="M36">Profile_SM(C36,P36*1000,12)/10^3</f>
        <v>921.80062112577377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11.472970715588778</v>
      </c>
      <c r="T36" s="79">
        <v>0</v>
      </c>
      <c r="U36" s="79">
        <v>114.79779980000001</v>
      </c>
      <c r="V36" s="79">
        <f t="shared" si="10"/>
        <v>199.16634648906779</v>
      </c>
      <c r="W36" s="76">
        <f t="shared" si="3"/>
        <v>123.5609262382049</v>
      </c>
      <c r="X36" s="76">
        <f t="shared" si="11"/>
        <v>186.09593020116549</v>
      </c>
      <c r="Y36" s="76">
        <f t="shared" si="4"/>
        <v>914.54919857768436</v>
      </c>
      <c r="Z36" s="76">
        <f t="shared" si="5"/>
        <v>910.84108565281463</v>
      </c>
      <c r="AA36" s="94" t="str">
        <f t="shared" si="6"/>
        <v>OK</v>
      </c>
      <c r="AB36" s="334">
        <f t="shared" si="7"/>
        <v>1.0079289583976094</v>
      </c>
    </row>
    <row r="37" spans="1:28" ht="12" customHeight="1" x14ac:dyDescent="0.45">
      <c r="A37" s="75">
        <v>14</v>
      </c>
      <c r="B37" s="75" t="s">
        <v>276</v>
      </c>
      <c r="C37" s="330" t="s">
        <v>197</v>
      </c>
      <c r="D37" s="331"/>
      <c r="E37" s="304">
        <v>6</v>
      </c>
      <c r="F37" s="92">
        <v>4.9000000000000004</v>
      </c>
      <c r="G37" s="79">
        <v>0</v>
      </c>
      <c r="H37" s="79">
        <v>0</v>
      </c>
      <c r="I37" s="79">
        <v>0</v>
      </c>
      <c r="J37" s="79">
        <f t="shared" si="8"/>
        <v>103.02873999999998</v>
      </c>
      <c r="K37" s="79">
        <v>0</v>
      </c>
      <c r="L37" s="76">
        <f t="shared" si="9"/>
        <v>113.33161399999999</v>
      </c>
      <c r="M37" s="76" cm="1">
        <f t="array" ref="M37">Profile_SM(C37,P37*1000,12)/10^3</f>
        <v>921.80062112577377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3">$M$11/ABS(($M$12/(F37-$M$13)))/1000</f>
        <v>26.055438167178341</v>
      </c>
      <c r="T37" s="79">
        <v>0</v>
      </c>
      <c r="U37" s="79">
        <v>114.79779980000001</v>
      </c>
      <c r="V37" s="79">
        <f t="shared" ref="V37" si="14">SQRT(S37^2+T37^2-S37*T37+3*U37^2)</f>
        <v>200.53550901235994</v>
      </c>
      <c r="W37" s="76">
        <f t="shared" ref="W37" si="15">(R37/$F$7-V37)</f>
        <v>122.19176371491275</v>
      </c>
      <c r="X37" s="76">
        <f t="shared" ref="X37" si="16">0.577*SQRT((R37/$F$7)^2-S37^2)</f>
        <v>185.60575847188215</v>
      </c>
      <c r="Y37" s="76">
        <f t="shared" ref="Y37" si="17">O37^2*P37*L37*1000000/($F$8*W37*Q37)/10^3</f>
        <v>865.65714292703467</v>
      </c>
      <c r="Z37" s="76">
        <f t="shared" ref="Z37" si="18">O37*P37*L37*1000/(2*X37)</f>
        <v>854.84556571037854</v>
      </c>
      <c r="AA37" s="94" t="str">
        <f t="shared" ref="AA37" si="19">IF(AND(M37&gt;=Y37,N37&gt;=Z37),"OK","N.G")</f>
        <v>OK</v>
      </c>
      <c r="AB37" s="334">
        <f t="shared" ref="AB37" si="20">M37/Y37</f>
        <v>1.0648564834905676</v>
      </c>
    </row>
    <row r="38" spans="1:28" ht="12" customHeight="1" x14ac:dyDescent="0.45">
      <c r="A38" s="346">
        <v>15</v>
      </c>
      <c r="B38" s="346" t="s">
        <v>276</v>
      </c>
      <c r="C38" s="347" t="s">
        <v>196</v>
      </c>
      <c r="D38" s="348"/>
      <c r="E38" s="349">
        <v>6</v>
      </c>
      <c r="F38" s="350">
        <v>5.6000000000000005</v>
      </c>
      <c r="G38" s="351">
        <v>0</v>
      </c>
      <c r="H38" s="351">
        <v>0</v>
      </c>
      <c r="I38" s="351">
        <v>0</v>
      </c>
      <c r="J38" s="351">
        <f t="shared" si="8"/>
        <v>95.990064999999987</v>
      </c>
      <c r="K38" s="351">
        <v>0</v>
      </c>
      <c r="L38" s="352">
        <f t="shared" si="9"/>
        <v>105.58907149999999</v>
      </c>
      <c r="M38" s="352" cm="1">
        <f t="array" ref="M38">Profile_SM(C38,P38*1000,12)/10^3</f>
        <v>16.8</v>
      </c>
      <c r="N38" s="352" cm="1">
        <f t="array" ref="N38">Profile_ShearArea(C38,P38,12)</f>
        <v>0</v>
      </c>
      <c r="O38" s="350">
        <v>4</v>
      </c>
      <c r="P38" s="350">
        <v>0.7</v>
      </c>
      <c r="Q38" s="351">
        <v>1</v>
      </c>
      <c r="R38" s="351">
        <v>355</v>
      </c>
      <c r="S38" s="353">
        <f t="shared" ref="S38:S54" si="21">$M$11/ABS(($M$12/(F38-$M$13)))/1000</f>
        <v>63.583847049945462</v>
      </c>
      <c r="T38" s="351">
        <v>0</v>
      </c>
      <c r="U38" s="351">
        <v>76.704483359999998</v>
      </c>
      <c r="V38" s="351">
        <f t="shared" ref="V38:V41" si="22">SQRT(S38^2+T38^2-S38*T38+3*U38^2)</f>
        <v>147.28760609177002</v>
      </c>
      <c r="W38" s="352">
        <f t="shared" ref="W38:W45" si="23">(R38/$F$7-V38)</f>
        <v>175.43966663550268</v>
      </c>
      <c r="X38" s="352">
        <f t="shared" ref="X38:X54" si="24">0.577*SQRT((R38/$F$7)^2-S38^2)</f>
        <v>182.56373639739681</v>
      </c>
      <c r="Y38" s="352">
        <f t="shared" ref="Y38:Y54" si="25">O38^2*P38*L38*1000000/($F$8*W38*Q38)/10^3</f>
        <v>561.7304339241357</v>
      </c>
      <c r="Z38" s="352">
        <f t="shared" ref="Z38:Z54" si="26">O38*P38*L38*1000/(2*X38)</f>
        <v>809.71557121410774</v>
      </c>
      <c r="AA38" s="346" t="str">
        <f t="shared" ref="AA38:AA54" si="27">IF(AND(M38&gt;=Y38,N38&gt;=Z38),"OK","N.G")</f>
        <v>N.G</v>
      </c>
      <c r="AB38" s="354">
        <f t="shared" ref="AB38:AB54" si="28">M38/Y38</f>
        <v>2.9907583754432858E-2</v>
      </c>
    </row>
    <row r="39" spans="1:28" ht="12" customHeight="1" x14ac:dyDescent="0.45">
      <c r="A39" s="75">
        <v>16</v>
      </c>
      <c r="B39" s="75" t="s">
        <v>276</v>
      </c>
      <c r="C39" s="91" t="s">
        <v>201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88.951390000000004</v>
      </c>
      <c r="K39" s="79">
        <v>0</v>
      </c>
      <c r="L39" s="76">
        <f t="shared" si="9"/>
        <v>97.846529000000018</v>
      </c>
      <c r="M39" s="76" cm="1">
        <f t="array" ref="M39">Profile_SM(C39,P39*1000,12)/10^3</f>
        <v>482.64811540310143</v>
      </c>
      <c r="N39" s="76" cm="1">
        <f t="array" ref="N39">Profile_ShearArea(C39,P39,12)</f>
        <v>2500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1"/>
        <v>101.11225593271253</v>
      </c>
      <c r="T39" s="79">
        <v>0</v>
      </c>
      <c r="U39" s="79">
        <v>76.367610869999993</v>
      </c>
      <c r="V39" s="79">
        <f t="shared" si="22"/>
        <v>166.4924150517902</v>
      </c>
      <c r="W39" s="76">
        <f t="shared" si="23"/>
        <v>156.23485767548249</v>
      </c>
      <c r="X39" s="76">
        <f t="shared" si="24"/>
        <v>176.83821998030766</v>
      </c>
      <c r="Y39" s="76">
        <f t="shared" si="25"/>
        <v>584.52658021013337</v>
      </c>
      <c r="Z39" s="76">
        <f t="shared" si="26"/>
        <v>774.63537359318821</v>
      </c>
      <c r="AA39" s="94" t="str">
        <f t="shared" si="27"/>
        <v>N.G</v>
      </c>
      <c r="AB39" s="334">
        <f t="shared" si="28"/>
        <v>0.82570772954344129</v>
      </c>
    </row>
    <row r="40" spans="1:28" ht="12" customHeight="1" x14ac:dyDescent="0.45">
      <c r="A40" s="75">
        <v>17</v>
      </c>
      <c r="B40" s="75" t="s">
        <v>276</v>
      </c>
      <c r="C40" s="91" t="s">
        <v>195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si="8"/>
        <v>81.912714999999992</v>
      </c>
      <c r="K40" s="79">
        <v>0</v>
      </c>
      <c r="L40" s="76">
        <f t="shared" si="9"/>
        <v>90.103986500000005</v>
      </c>
      <c r="M40" s="76" cm="1">
        <f t="array" ref="M40">Profile_SM(C40,P40*1000,12)/10^3</f>
        <v>482.64811540310143</v>
      </c>
      <c r="N40" s="76" cm="1">
        <f t="array" ref="N40">Profile_ShearArea(C40,P40,12)</f>
        <v>2500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1"/>
        <v>138.64066481547965</v>
      </c>
      <c r="T40" s="79">
        <v>0</v>
      </c>
      <c r="U40" s="79">
        <v>75.391253039999995</v>
      </c>
      <c r="V40" s="79">
        <f t="shared" si="22"/>
        <v>190.45408119886039</v>
      </c>
      <c r="W40" s="76">
        <f t="shared" si="23"/>
        <v>132.2731915284123</v>
      </c>
      <c r="X40" s="76">
        <f t="shared" si="24"/>
        <v>168.15532157264346</v>
      </c>
      <c r="Y40" s="76">
        <f t="shared" si="25"/>
        <v>635.78305698175132</v>
      </c>
      <c r="Z40" s="76">
        <f t="shared" si="26"/>
        <v>750.1729943497794</v>
      </c>
      <c r="AA40" s="94" t="str">
        <f t="shared" si="27"/>
        <v>N.G</v>
      </c>
      <c r="AB40" s="334">
        <f t="shared" si="28"/>
        <v>0.7591396312043508</v>
      </c>
    </row>
    <row r="41" spans="1:28" ht="12" customHeight="1" x14ac:dyDescent="0.45">
      <c r="A41" s="75">
        <v>18</v>
      </c>
      <c r="B41" s="75" t="s">
        <v>276</v>
      </c>
      <c r="C41" s="91" t="s">
        <v>195</v>
      </c>
      <c r="D41" s="91"/>
      <c r="E41" s="304">
        <v>6</v>
      </c>
      <c r="F41" s="92">
        <v>7.7</v>
      </c>
      <c r="G41" s="79">
        <v>0</v>
      </c>
      <c r="H41" s="79">
        <v>0</v>
      </c>
      <c r="I41" s="79">
        <v>0</v>
      </c>
      <c r="J41" s="79">
        <f t="shared" si="8"/>
        <v>74.874039999999994</v>
      </c>
      <c r="K41" s="79">
        <v>0</v>
      </c>
      <c r="L41" s="76">
        <f t="shared" si="9"/>
        <v>82.361444000000006</v>
      </c>
      <c r="M41" s="76" cm="1">
        <f t="array" ref="M41">Profile_SM(C41,P41*1000,12)/10^3</f>
        <v>482.64811540310143</v>
      </c>
      <c r="N41" s="76" cm="1">
        <f t="array" ref="N41">Profile_ShearArea(C41,P41,12)</f>
        <v>2500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1"/>
        <v>176.16907369824676</v>
      </c>
      <c r="T41" s="79">
        <v>0</v>
      </c>
      <c r="U41" s="79">
        <v>72.907289980000002</v>
      </c>
      <c r="V41" s="79">
        <f t="shared" si="22"/>
        <v>216.75322679116388</v>
      </c>
      <c r="W41" s="76">
        <f t="shared" si="23"/>
        <v>105.97404593610881</v>
      </c>
      <c r="X41" s="76">
        <f t="shared" si="24"/>
        <v>156.0220696874789</v>
      </c>
      <c r="Y41" s="76">
        <f t="shared" si="25"/>
        <v>725.37271166386904</v>
      </c>
      <c r="Z41" s="76">
        <f t="shared" si="26"/>
        <v>739.03661085232704</v>
      </c>
      <c r="AA41" s="94" t="str">
        <f t="shared" si="27"/>
        <v>N.G</v>
      </c>
      <c r="AB41" s="334">
        <f t="shared" si="28"/>
        <v>0.66537947684301102</v>
      </c>
    </row>
    <row r="42" spans="1:28" ht="12" customHeight="1" x14ac:dyDescent="0.45">
      <c r="A42" s="96">
        <v>1</v>
      </c>
      <c r="B42" s="96" t="s">
        <v>132</v>
      </c>
      <c r="C42" s="104" t="s">
        <v>197</v>
      </c>
      <c r="D42" s="97"/>
      <c r="E42" s="305">
        <v>0.75</v>
      </c>
      <c r="F42" s="98">
        <v>8.4</v>
      </c>
      <c r="G42" s="99">
        <v>0</v>
      </c>
      <c r="H42" s="99">
        <v>0</v>
      </c>
      <c r="I42" s="99">
        <v>0</v>
      </c>
      <c r="J42" s="99">
        <f t="shared" si="8"/>
        <v>67.835364999999996</v>
      </c>
      <c r="K42" s="99">
        <v>0</v>
      </c>
      <c r="L42" s="100">
        <f>J42*$F$19+K42*$F$18</f>
        <v>74.618901500000007</v>
      </c>
      <c r="M42" s="100" cm="1">
        <f t="array" ref="M42">Profile_SM(C42,P42*1000,12)/10^3</f>
        <v>926.93146753714063</v>
      </c>
      <c r="N42" s="100" cm="1">
        <f t="array" ref="N42">Profile_ShearArea(C42,P42,12)</f>
        <v>4200</v>
      </c>
      <c r="O42" s="98">
        <v>4</v>
      </c>
      <c r="P42" s="98">
        <v>0.75</v>
      </c>
      <c r="Q42" s="99">
        <v>1</v>
      </c>
      <c r="R42" s="99">
        <v>355</v>
      </c>
      <c r="S42" s="129">
        <f t="shared" si="21"/>
        <v>213.6974825810139</v>
      </c>
      <c r="T42" s="99">
        <v>0</v>
      </c>
      <c r="U42" s="99">
        <v>42.361750790000002</v>
      </c>
      <c r="V42" s="99">
        <f>SQRT(S42^2+T42^2-S42*T42+3*U42^2)</f>
        <v>225.9428420009028</v>
      </c>
      <c r="W42" s="100">
        <f t="shared" si="23"/>
        <v>96.784430726369891</v>
      </c>
      <c r="X42" s="100">
        <f t="shared" si="24"/>
        <v>139.54131364904035</v>
      </c>
      <c r="Y42" s="100">
        <f t="shared" si="25"/>
        <v>770.98042464044113</v>
      </c>
      <c r="Z42" s="100">
        <f t="shared" si="26"/>
        <v>802.11622868558084</v>
      </c>
      <c r="AA42" s="102" t="str">
        <f t="shared" si="27"/>
        <v>OK</v>
      </c>
      <c r="AB42" s="335">
        <f t="shared" si="28"/>
        <v>1.2022762678694854</v>
      </c>
    </row>
    <row r="43" spans="1:28" ht="12" customHeight="1" x14ac:dyDescent="0.45">
      <c r="A43" s="96">
        <v>2</v>
      </c>
      <c r="B43" s="96" t="s">
        <v>132</v>
      </c>
      <c r="C43" s="104" t="s">
        <v>197</v>
      </c>
      <c r="D43" s="97"/>
      <c r="E43" s="305">
        <v>1.5</v>
      </c>
      <c r="F43" s="98">
        <v>8.4</v>
      </c>
      <c r="G43" s="99">
        <v>0</v>
      </c>
      <c r="H43" s="99">
        <v>0</v>
      </c>
      <c r="I43" s="99">
        <v>0</v>
      </c>
      <c r="J43" s="99">
        <f t="shared" si="8"/>
        <v>67.835364999999996</v>
      </c>
      <c r="K43" s="99">
        <v>0</v>
      </c>
      <c r="L43" s="100">
        <f t="shared" ref="L43:L59" si="29">J43*$F$19+K43*$F$18</f>
        <v>74.618901500000007</v>
      </c>
      <c r="M43" s="100" cm="1">
        <f t="array" ref="M43">Profile_SM(C43,P43*1000,12)/10^3</f>
        <v>926.93146753714063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 t="shared" si="21"/>
        <v>213.6974825810139</v>
      </c>
      <c r="T43" s="99">
        <v>0</v>
      </c>
      <c r="U43" s="99">
        <v>32.072781079999999</v>
      </c>
      <c r="V43" s="99">
        <f t="shared" ref="V43:V45" si="30">SQRT(S43^2+T43^2-S43*T43+3*U43^2)</f>
        <v>220.79991829726649</v>
      </c>
      <c r="W43" s="100">
        <f t="shared" si="23"/>
        <v>101.9273544300062</v>
      </c>
      <c r="X43" s="100">
        <f t="shared" si="24"/>
        <v>139.54131364904035</v>
      </c>
      <c r="Y43" s="100">
        <f t="shared" si="25"/>
        <v>732.07925308451922</v>
      </c>
      <c r="Z43" s="100">
        <f t="shared" si="26"/>
        <v>802.11622868558084</v>
      </c>
      <c r="AA43" s="102" t="str">
        <f t="shared" si="27"/>
        <v>OK</v>
      </c>
      <c r="AB43" s="335">
        <f t="shared" si="28"/>
        <v>1.2661627325615872</v>
      </c>
    </row>
    <row r="44" spans="1:28" ht="12" customHeight="1" x14ac:dyDescent="0.45">
      <c r="A44" s="96">
        <v>3</v>
      </c>
      <c r="B44" s="96" t="s">
        <v>132</v>
      </c>
      <c r="C44" s="104" t="s">
        <v>197</v>
      </c>
      <c r="D44" s="97"/>
      <c r="E44" s="305">
        <v>2.25</v>
      </c>
      <c r="F44" s="98">
        <v>8.4</v>
      </c>
      <c r="G44" s="99">
        <v>0</v>
      </c>
      <c r="H44" s="99">
        <v>0</v>
      </c>
      <c r="I44" s="99">
        <v>0</v>
      </c>
      <c r="J44" s="99">
        <f t="shared" si="8"/>
        <v>67.835364999999996</v>
      </c>
      <c r="K44" s="99">
        <v>0</v>
      </c>
      <c r="L44" s="100">
        <f t="shared" si="29"/>
        <v>74.618901500000007</v>
      </c>
      <c r="M44" s="100" cm="1">
        <f t="array" ref="M44">Profile_SM(C44,P44*1000,12)/10^3</f>
        <v>926.93146753714063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1"/>
        <v>213.6974825810139</v>
      </c>
      <c r="T44" s="99">
        <v>0</v>
      </c>
      <c r="U44" s="99">
        <v>21.783811369999999</v>
      </c>
      <c r="V44" s="99">
        <f t="shared" si="30"/>
        <v>217.00280499310131</v>
      </c>
      <c r="W44" s="100">
        <f t="shared" si="23"/>
        <v>105.72446773417138</v>
      </c>
      <c r="X44" s="100">
        <f t="shared" si="24"/>
        <v>139.54131364904035</v>
      </c>
      <c r="Y44" s="100">
        <f t="shared" si="25"/>
        <v>705.78649483124627</v>
      </c>
      <c r="Z44" s="100">
        <f t="shared" si="26"/>
        <v>802.11622868558084</v>
      </c>
      <c r="AA44" s="102" t="str">
        <f t="shared" si="27"/>
        <v>OK</v>
      </c>
      <c r="AB44" s="335">
        <f t="shared" si="28"/>
        <v>1.3133312614018922</v>
      </c>
    </row>
    <row r="45" spans="1:28" ht="12" customHeight="1" x14ac:dyDescent="0.45">
      <c r="A45" s="96">
        <v>4</v>
      </c>
      <c r="B45" s="96" t="s">
        <v>132</v>
      </c>
      <c r="C45" s="104" t="s">
        <v>197</v>
      </c>
      <c r="D45" s="97"/>
      <c r="E45" s="305">
        <v>3</v>
      </c>
      <c r="F45" s="98">
        <v>8.4</v>
      </c>
      <c r="G45" s="99">
        <v>0</v>
      </c>
      <c r="H45" s="99">
        <v>0</v>
      </c>
      <c r="I45" s="99">
        <v>0</v>
      </c>
      <c r="J45" s="99">
        <f t="shared" si="8"/>
        <v>67.835364999999996</v>
      </c>
      <c r="K45" s="99">
        <v>0</v>
      </c>
      <c r="L45" s="100">
        <f t="shared" si="29"/>
        <v>74.618901500000007</v>
      </c>
      <c r="M45" s="100" cm="1">
        <f t="array" ref="M45">Profile_SM(C45,P45*1000,12)/10^3</f>
        <v>926.93146753714063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1"/>
        <v>213.6974825810139</v>
      </c>
      <c r="T45" s="99">
        <v>0</v>
      </c>
      <c r="U45" s="99">
        <v>11.49484167</v>
      </c>
      <c r="V45" s="99">
        <f t="shared" si="30"/>
        <v>214.62294429188563</v>
      </c>
      <c r="W45" s="100">
        <f t="shared" si="23"/>
        <v>108.10432843538706</v>
      </c>
      <c r="X45" s="100">
        <f t="shared" si="24"/>
        <v>139.54131364904035</v>
      </c>
      <c r="Y45" s="100">
        <f t="shared" si="25"/>
        <v>690.24897134067146</v>
      </c>
      <c r="Z45" s="100">
        <f t="shared" si="26"/>
        <v>802.11622868558084</v>
      </c>
      <c r="AA45" s="102" t="str">
        <f t="shared" si="27"/>
        <v>OK</v>
      </c>
      <c r="AB45" s="335">
        <f t="shared" si="28"/>
        <v>1.3428943845244137</v>
      </c>
    </row>
    <row r="46" spans="1:28" ht="12" customHeight="1" x14ac:dyDescent="0.45">
      <c r="A46" s="96">
        <v>5</v>
      </c>
      <c r="B46" s="96" t="s">
        <v>132</v>
      </c>
      <c r="C46" s="104" t="s">
        <v>197</v>
      </c>
      <c r="D46" s="97"/>
      <c r="E46" s="305">
        <v>3.75</v>
      </c>
      <c r="F46" s="98">
        <v>8.4</v>
      </c>
      <c r="G46" s="99">
        <v>0</v>
      </c>
      <c r="H46" s="99">
        <v>0</v>
      </c>
      <c r="I46" s="99">
        <v>0</v>
      </c>
      <c r="J46" s="99">
        <f t="shared" si="8"/>
        <v>67.835364999999996</v>
      </c>
      <c r="K46" s="99">
        <v>0</v>
      </c>
      <c r="L46" s="100">
        <f t="shared" si="29"/>
        <v>74.618901500000007</v>
      </c>
      <c r="M46" s="100" cm="1">
        <f t="array" ref="M46">Profile_SM(C46,P46*1000,12)/10^3</f>
        <v>926.93146753714063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1"/>
        <v>213.6974825810139</v>
      </c>
      <c r="T46" s="99">
        <v>0</v>
      </c>
      <c r="U46" s="99">
        <v>1.5539955910000001</v>
      </c>
      <c r="V46" s="99">
        <f>SQRT(S46^2+T46^2-S46*T46+3*U46^2)</f>
        <v>213.71443275631452</v>
      </c>
      <c r="W46" s="100">
        <f>(R46/$F$7-V46)</f>
        <v>109.01283997095817</v>
      </c>
      <c r="X46" s="100">
        <f t="shared" si="24"/>
        <v>139.54131364904035</v>
      </c>
      <c r="Y46" s="100">
        <f t="shared" si="25"/>
        <v>684.4964457386767</v>
      </c>
      <c r="Z46" s="100">
        <f t="shared" si="26"/>
        <v>802.11622868558084</v>
      </c>
      <c r="AA46" s="102" t="str">
        <f t="shared" si="27"/>
        <v>OK</v>
      </c>
      <c r="AB46" s="335">
        <f t="shared" si="28"/>
        <v>1.3541801032097973</v>
      </c>
    </row>
    <row r="47" spans="1:28" ht="12" customHeight="1" x14ac:dyDescent="0.45">
      <c r="A47" s="96">
        <v>6</v>
      </c>
      <c r="B47" s="96" t="s">
        <v>132</v>
      </c>
      <c r="C47" s="104" t="s">
        <v>197</v>
      </c>
      <c r="D47" s="97"/>
      <c r="E47" s="305">
        <v>4.5</v>
      </c>
      <c r="F47" s="98">
        <v>8.4</v>
      </c>
      <c r="G47" s="99">
        <v>0</v>
      </c>
      <c r="H47" s="99">
        <v>0</v>
      </c>
      <c r="I47" s="99">
        <v>0</v>
      </c>
      <c r="J47" s="99">
        <f t="shared" si="8"/>
        <v>67.835364999999996</v>
      </c>
      <c r="K47" s="99">
        <v>0</v>
      </c>
      <c r="L47" s="100">
        <f t="shared" si="29"/>
        <v>74.618901500000007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1"/>
        <v>213.6974825810139</v>
      </c>
      <c r="T47" s="99">
        <v>0</v>
      </c>
      <c r="U47" s="99">
        <v>11.842965299999999</v>
      </c>
      <c r="V47" s="99">
        <f>SQRT(S47^2+T47^2)</f>
        <v>213.6974825810139</v>
      </c>
      <c r="W47" s="100">
        <f t="shared" ref="W47:W54" si="31">(R47/$F$7-V47)</f>
        <v>109.02979014625879</v>
      </c>
      <c r="X47" s="100">
        <f t="shared" si="24"/>
        <v>139.54131364904035</v>
      </c>
      <c r="Y47" s="100">
        <f t="shared" si="25"/>
        <v>684.39003138410112</v>
      </c>
      <c r="Z47" s="100">
        <f t="shared" si="26"/>
        <v>802.11622868558084</v>
      </c>
      <c r="AA47" s="102" t="str">
        <f t="shared" si="27"/>
        <v>OK</v>
      </c>
      <c r="AB47" s="335">
        <f t="shared" si="28"/>
        <v>1.3543906618021992</v>
      </c>
    </row>
    <row r="48" spans="1:28" ht="12" customHeight="1" x14ac:dyDescent="0.45">
      <c r="A48" s="96">
        <v>7</v>
      </c>
      <c r="B48" s="96" t="s">
        <v>132</v>
      </c>
      <c r="C48" s="104" t="s">
        <v>197</v>
      </c>
      <c r="D48" s="97"/>
      <c r="E48" s="305">
        <v>5.25</v>
      </c>
      <c r="F48" s="98">
        <v>8.4</v>
      </c>
      <c r="G48" s="99">
        <v>0</v>
      </c>
      <c r="H48" s="99">
        <v>0</v>
      </c>
      <c r="I48" s="99">
        <v>0</v>
      </c>
      <c r="J48" s="99">
        <f t="shared" si="8"/>
        <v>67.835364999999996</v>
      </c>
      <c r="K48" s="99">
        <v>0</v>
      </c>
      <c r="L48" s="100">
        <f t="shared" si="29"/>
        <v>74.618901500000007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1"/>
        <v>213.6974825810139</v>
      </c>
      <c r="T48" s="99">
        <v>0</v>
      </c>
      <c r="U48" s="99">
        <v>22.131934999999999</v>
      </c>
      <c r="V48" s="99">
        <f>SQRT(S48^2+T48^2)</f>
        <v>213.6974825810139</v>
      </c>
      <c r="W48" s="100">
        <f t="shared" si="31"/>
        <v>109.02979014625879</v>
      </c>
      <c r="X48" s="100">
        <f t="shared" si="24"/>
        <v>139.54131364904035</v>
      </c>
      <c r="Y48" s="100">
        <f t="shared" si="25"/>
        <v>684.39003138410112</v>
      </c>
      <c r="Z48" s="100">
        <f t="shared" si="26"/>
        <v>802.11622868558084</v>
      </c>
      <c r="AA48" s="102" t="str">
        <f t="shared" si="27"/>
        <v>OK</v>
      </c>
      <c r="AB48" s="335">
        <f t="shared" si="28"/>
        <v>1.3543906618021992</v>
      </c>
    </row>
    <row r="49" spans="1:28" ht="12" customHeight="1" x14ac:dyDescent="0.45">
      <c r="A49" s="105">
        <v>8</v>
      </c>
      <c r="B49" s="105" t="s">
        <v>133</v>
      </c>
      <c r="C49" s="106" t="s">
        <v>195</v>
      </c>
      <c r="D49" s="106"/>
      <c r="E49" s="332">
        <v>0</v>
      </c>
      <c r="F49" s="107">
        <v>0.7</v>
      </c>
      <c r="G49" s="108">
        <v>0</v>
      </c>
      <c r="H49" s="108">
        <v>0</v>
      </c>
      <c r="I49" s="108">
        <v>0</v>
      </c>
      <c r="J49" s="108">
        <f t="shared" si="8"/>
        <v>145.26078999999999</v>
      </c>
      <c r="K49" s="108">
        <v>0</v>
      </c>
      <c r="L49" s="109">
        <f t="shared" si="29"/>
        <v>159.786869</v>
      </c>
      <c r="M49" s="109" cm="1">
        <f t="array" ref="M49">Profile_SM(C49,P49*1000,12)/10^3</f>
        <v>482.64811540310143</v>
      </c>
      <c r="N49" s="109" cm="1">
        <f t="array" ref="N49">Profile_ShearArea(C49,P49,12)</f>
        <v>2500</v>
      </c>
      <c r="O49" s="107">
        <v>2</v>
      </c>
      <c r="P49" s="107">
        <v>0.7</v>
      </c>
      <c r="Q49" s="108">
        <v>1</v>
      </c>
      <c r="R49" s="108">
        <v>355</v>
      </c>
      <c r="S49" s="130">
        <f t="shared" si="21"/>
        <v>199.11501512942434</v>
      </c>
      <c r="T49" s="108">
        <v>0</v>
      </c>
      <c r="U49" s="108">
        <v>102.8806201</v>
      </c>
      <c r="V49" s="108">
        <f t="shared" ref="V49:V54" si="32">SQRT(S49^2+T49^2-S49*T49+3*U49^2)</f>
        <v>267.20788765766713</v>
      </c>
      <c r="W49" s="109">
        <f t="shared" si="31"/>
        <v>55.519385069605562</v>
      </c>
      <c r="X49" s="109">
        <f t="shared" si="24"/>
        <v>146.54675864569086</v>
      </c>
      <c r="Y49" s="109">
        <f t="shared" si="25"/>
        <v>671.54206985404471</v>
      </c>
      <c r="Z49" s="109">
        <f t="shared" si="26"/>
        <v>763.24314050796602</v>
      </c>
      <c r="AA49" s="111" t="str">
        <f t="shared" si="27"/>
        <v>N.G</v>
      </c>
      <c r="AB49" s="336">
        <f t="shared" si="28"/>
        <v>0.71871612676180041</v>
      </c>
    </row>
    <row r="50" spans="1:28" ht="12" customHeight="1" x14ac:dyDescent="0.45">
      <c r="A50" s="105">
        <v>9</v>
      </c>
      <c r="B50" s="105" t="s">
        <v>133</v>
      </c>
      <c r="C50" s="106" t="s">
        <v>194</v>
      </c>
      <c r="D50" s="106"/>
      <c r="E50" s="332">
        <v>0</v>
      </c>
      <c r="F50" s="107">
        <v>1.4</v>
      </c>
      <c r="G50" s="108">
        <v>0</v>
      </c>
      <c r="H50" s="108">
        <v>0</v>
      </c>
      <c r="I50" s="108">
        <v>0</v>
      </c>
      <c r="J50" s="108">
        <f t="shared" si="8"/>
        <v>138.22211499999997</v>
      </c>
      <c r="K50" s="108">
        <v>0</v>
      </c>
      <c r="L50" s="109">
        <f t="shared" si="29"/>
        <v>152.04432649999998</v>
      </c>
      <c r="M50" s="109" cm="1">
        <f t="array" ref="M50">Profile_SM(C50,P50*1000,12)/10^3</f>
        <v>1516.9758574108816</v>
      </c>
      <c r="N50" s="109" cm="1">
        <f t="array" ref="N50">Profile_ShearArea(C50,P50,12)</f>
        <v>5175</v>
      </c>
      <c r="O50" s="107">
        <v>4</v>
      </c>
      <c r="P50" s="107">
        <v>0.7</v>
      </c>
      <c r="Q50" s="108">
        <v>1</v>
      </c>
      <c r="R50" s="108">
        <v>355</v>
      </c>
      <c r="S50" s="130">
        <f t="shared" si="21"/>
        <v>161.58660624665723</v>
      </c>
      <c r="T50" s="108">
        <v>0</v>
      </c>
      <c r="U50" s="108">
        <v>112.7872694</v>
      </c>
      <c r="V50" s="108">
        <f t="shared" si="32"/>
        <v>253.52146996741078</v>
      </c>
      <c r="W50" s="109">
        <f t="shared" si="31"/>
        <v>69.205802759861911</v>
      </c>
      <c r="X50" s="109">
        <f t="shared" si="24"/>
        <v>161.19139296250964</v>
      </c>
      <c r="Y50" s="109">
        <f t="shared" si="25"/>
        <v>2050.5222453538345</v>
      </c>
      <c r="Z50" s="109">
        <f t="shared" si="26"/>
        <v>1320.5547342686468</v>
      </c>
      <c r="AA50" s="111" t="str">
        <f t="shared" si="27"/>
        <v>N.G</v>
      </c>
      <c r="AB50" s="336">
        <f t="shared" si="28"/>
        <v>0.73979975630506511</v>
      </c>
    </row>
    <row r="51" spans="1:28" ht="12" customHeight="1" x14ac:dyDescent="0.45">
      <c r="A51" s="105">
        <v>10</v>
      </c>
      <c r="B51" s="105" t="s">
        <v>133</v>
      </c>
      <c r="C51" s="106" t="s">
        <v>194</v>
      </c>
      <c r="D51" s="106"/>
      <c r="E51" s="332">
        <v>0</v>
      </c>
      <c r="F51" s="107">
        <v>2.0999999999999996</v>
      </c>
      <c r="G51" s="108">
        <v>0</v>
      </c>
      <c r="H51" s="108">
        <v>0</v>
      </c>
      <c r="I51" s="108">
        <v>0</v>
      </c>
      <c r="J51" s="108">
        <f t="shared" si="8"/>
        <v>131.18343999999999</v>
      </c>
      <c r="K51" s="108">
        <v>0</v>
      </c>
      <c r="L51" s="109">
        <f t="shared" si="29"/>
        <v>144.301784</v>
      </c>
      <c r="M51" s="109" cm="1">
        <f t="array" ref="M51">Profile_SM(C51,P51*1000,12)/10^3</f>
        <v>1516.9758574108816</v>
      </c>
      <c r="N51" s="109" cm="1">
        <f t="array" ref="N51">Profile_ShearArea(C51,P51,12)</f>
        <v>5175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1"/>
        <v>124.05819736389014</v>
      </c>
      <c r="T51" s="108">
        <v>0</v>
      </c>
      <c r="U51" s="108">
        <v>120.3313127</v>
      </c>
      <c r="V51" s="108">
        <f t="shared" si="32"/>
        <v>242.5475433425238</v>
      </c>
      <c r="W51" s="109">
        <f t="shared" si="31"/>
        <v>80.179729384748896</v>
      </c>
      <c r="X51" s="109">
        <f t="shared" si="24"/>
        <v>171.90577590587233</v>
      </c>
      <c r="Y51" s="109">
        <f t="shared" si="25"/>
        <v>1679.7470645028725</v>
      </c>
      <c r="Z51" s="109">
        <f t="shared" si="26"/>
        <v>1175.1931925232004</v>
      </c>
      <c r="AA51" s="111" t="str">
        <f t="shared" si="27"/>
        <v>N.G</v>
      </c>
      <c r="AB51" s="336">
        <f t="shared" si="28"/>
        <v>0.90309778743970381</v>
      </c>
    </row>
    <row r="52" spans="1:28" ht="12" customHeight="1" x14ac:dyDescent="0.45">
      <c r="A52" s="105">
        <v>11</v>
      </c>
      <c r="B52" s="105" t="s">
        <v>133</v>
      </c>
      <c r="C52" s="106" t="s">
        <v>194</v>
      </c>
      <c r="D52" s="106"/>
      <c r="E52" s="332">
        <v>0</v>
      </c>
      <c r="F52" s="107">
        <v>2.8</v>
      </c>
      <c r="G52" s="108">
        <v>0</v>
      </c>
      <c r="H52" s="108">
        <v>0</v>
      </c>
      <c r="I52" s="108">
        <v>0</v>
      </c>
      <c r="J52" s="108">
        <f t="shared" si="8"/>
        <v>124.14476499999999</v>
      </c>
      <c r="K52" s="108">
        <v>0</v>
      </c>
      <c r="L52" s="109">
        <f t="shared" si="29"/>
        <v>136.55924150000001</v>
      </c>
      <c r="M52" s="109" cm="1">
        <f t="array" ref="M52">Profile_SM(C52,P52*1000,12)/10^3</f>
        <v>1516.9758574108816</v>
      </c>
      <c r="N52" s="109" cm="1">
        <f t="array" ref="N52">Profile_ShearArea(C52,P52,12)</f>
        <v>5175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1"/>
        <v>86.52978848112302</v>
      </c>
      <c r="T52" s="108">
        <v>0</v>
      </c>
      <c r="U52" s="108">
        <v>125.68822489999999</v>
      </c>
      <c r="V52" s="108">
        <f t="shared" si="32"/>
        <v>234.26479447438709</v>
      </c>
      <c r="W52" s="109">
        <f t="shared" si="31"/>
        <v>88.462478252885603</v>
      </c>
      <c r="X52" s="109">
        <f t="shared" si="24"/>
        <v>179.39549699860288</v>
      </c>
      <c r="Y52" s="109">
        <f t="shared" si="25"/>
        <v>1440.7836473031336</v>
      </c>
      <c r="Z52" s="109">
        <f t="shared" si="26"/>
        <v>1065.7064491506658</v>
      </c>
      <c r="AA52" s="111" t="str">
        <f t="shared" si="27"/>
        <v>OK</v>
      </c>
      <c r="AB52" s="336">
        <f t="shared" si="28"/>
        <v>1.0528824784001158</v>
      </c>
    </row>
    <row r="53" spans="1:28" ht="12" customHeight="1" x14ac:dyDescent="0.45">
      <c r="A53" s="105">
        <v>12</v>
      </c>
      <c r="B53" s="105" t="s">
        <v>133</v>
      </c>
      <c r="C53" s="106" t="s">
        <v>202</v>
      </c>
      <c r="D53" s="106"/>
      <c r="E53" s="332">
        <v>0</v>
      </c>
      <c r="F53" s="107">
        <v>3.5</v>
      </c>
      <c r="G53" s="108">
        <v>0</v>
      </c>
      <c r="H53" s="108">
        <v>0</v>
      </c>
      <c r="I53" s="108">
        <v>0</v>
      </c>
      <c r="J53" s="108">
        <f t="shared" si="8"/>
        <v>117.10608999999999</v>
      </c>
      <c r="K53" s="108">
        <v>0</v>
      </c>
      <c r="L53" s="109">
        <f t="shared" si="29"/>
        <v>128.816699</v>
      </c>
      <c r="M53" s="109" cm="1">
        <f t="array" ref="M53">Profile_SM(C53,P53*1000,12)/10^3</f>
        <v>1173.9558953306662</v>
      </c>
      <c r="N53" s="109" cm="1">
        <f t="array" ref="N53">Profile_ShearArea(C53,P53,12)</f>
        <v>5200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1"/>
        <v>49.001379598355896</v>
      </c>
      <c r="T53" s="108">
        <v>0</v>
      </c>
      <c r="U53" s="108">
        <v>130.1707069</v>
      </c>
      <c r="V53" s="108">
        <f t="shared" si="32"/>
        <v>230.72575497130632</v>
      </c>
      <c r="W53" s="109">
        <f t="shared" si="31"/>
        <v>92.001517755966375</v>
      </c>
      <c r="X53" s="109">
        <f t="shared" si="24"/>
        <v>184.05464087037149</v>
      </c>
      <c r="Y53" s="109">
        <f t="shared" si="25"/>
        <v>1306.8145178384266</v>
      </c>
      <c r="Z53" s="109">
        <f t="shared" si="26"/>
        <v>979.83608425834097</v>
      </c>
      <c r="AA53" s="111" t="str">
        <f t="shared" si="27"/>
        <v>N.G</v>
      </c>
      <c r="AB53" s="336">
        <f t="shared" si="28"/>
        <v>0.8983339864271489</v>
      </c>
    </row>
    <row r="54" spans="1:28" ht="12" customHeight="1" x14ac:dyDescent="0.45">
      <c r="A54" s="105">
        <v>13</v>
      </c>
      <c r="B54" s="105" t="s">
        <v>133</v>
      </c>
      <c r="C54" s="106" t="s">
        <v>202</v>
      </c>
      <c r="D54" s="106"/>
      <c r="E54" s="332">
        <v>0</v>
      </c>
      <c r="F54" s="107">
        <v>4.2</v>
      </c>
      <c r="G54" s="108">
        <v>0</v>
      </c>
      <c r="H54" s="108">
        <v>0</v>
      </c>
      <c r="I54" s="108">
        <v>0</v>
      </c>
      <c r="J54" s="108">
        <f t="shared" si="8"/>
        <v>110.067415</v>
      </c>
      <c r="K54" s="108">
        <v>0</v>
      </c>
      <c r="L54" s="109">
        <f t="shared" si="29"/>
        <v>121.0741565</v>
      </c>
      <c r="M54" s="109" cm="1">
        <f t="array" ref="M54">Profile_SM(C54,P54*1000,12)/10^3</f>
        <v>1173.9558953306662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1"/>
        <v>11.472970715588778</v>
      </c>
      <c r="T54" s="108">
        <v>0</v>
      </c>
      <c r="U54" s="108">
        <v>131.4085092</v>
      </c>
      <c r="V54" s="108">
        <f t="shared" si="32"/>
        <v>227.89519066347191</v>
      </c>
      <c r="W54" s="109">
        <f t="shared" si="31"/>
        <v>94.832082063800783</v>
      </c>
      <c r="X54" s="109">
        <f t="shared" si="24"/>
        <v>186.09593020116549</v>
      </c>
      <c r="Y54" s="109">
        <f t="shared" si="25"/>
        <v>1191.606717973789</v>
      </c>
      <c r="Z54" s="109">
        <f t="shared" si="26"/>
        <v>910.84108565281463</v>
      </c>
      <c r="AA54" s="111" t="str">
        <f t="shared" si="27"/>
        <v>N.G</v>
      </c>
      <c r="AB54" s="336">
        <f t="shared" si="28"/>
        <v>0.98518737568621939</v>
      </c>
    </row>
    <row r="55" spans="1:28" ht="12" customHeight="1" x14ac:dyDescent="0.45">
      <c r="A55" s="105">
        <v>14</v>
      </c>
      <c r="B55" s="105" t="s">
        <v>133</v>
      </c>
      <c r="C55" s="328" t="s">
        <v>202</v>
      </c>
      <c r="D55" s="329"/>
      <c r="E55" s="332">
        <v>0</v>
      </c>
      <c r="F55" s="107">
        <v>4.9000000000000004</v>
      </c>
      <c r="G55" s="108">
        <v>0</v>
      </c>
      <c r="H55" s="108">
        <v>0</v>
      </c>
      <c r="I55" s="108">
        <v>0</v>
      </c>
      <c r="J55" s="108">
        <f t="shared" si="8"/>
        <v>103.02873999999998</v>
      </c>
      <c r="K55" s="108">
        <v>0</v>
      </c>
      <c r="L55" s="109">
        <f t="shared" si="29"/>
        <v>113.33161399999999</v>
      </c>
      <c r="M55" s="109" cm="1">
        <f t="array" ref="M55">Profile_SM(C55,P55*1000,12)/10^3</f>
        <v>1173.9558953306662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ref="S55" si="33">$M$11/ABS(($M$12/(F55-$M$13)))/1000</f>
        <v>26.055438167178341</v>
      </c>
      <c r="T55" s="108">
        <v>0</v>
      </c>
      <c r="U55" s="108">
        <v>131.4085092</v>
      </c>
      <c r="V55" s="108">
        <f t="shared" ref="V55" si="34">SQRT(S55^2+T55^2-S55*T55+3*U55^2)</f>
        <v>229.09272081099198</v>
      </c>
      <c r="W55" s="109">
        <f t="shared" ref="W55" si="35">(R55/$F$7-V55)</f>
        <v>93.634551916280714</v>
      </c>
      <c r="X55" s="109">
        <f t="shared" ref="X55" si="36">0.577*SQRT((R55/$F$7)^2-S55^2)</f>
        <v>185.60575847188215</v>
      </c>
      <c r="Y55" s="109">
        <f t="shared" ref="Y55" si="37">O55^2*P55*L55*1000000/($F$8*W55*Q55)/10^3</f>
        <v>1129.6703076150975</v>
      </c>
      <c r="Z55" s="109">
        <f t="shared" ref="Z55" si="38">O55*P55*L55*1000/(2*X55)</f>
        <v>854.84556571037854</v>
      </c>
      <c r="AA55" s="111" t="str">
        <f t="shared" ref="AA55" si="39">IF(AND(M55&gt;=Y55,N55&gt;=Z55),"OK","N.G")</f>
        <v>OK</v>
      </c>
      <c r="AB55" s="336">
        <f t="shared" ref="AB55" si="40">M55/Y55</f>
        <v>1.039202223354053</v>
      </c>
    </row>
    <row r="56" spans="1:28" ht="12" customHeight="1" x14ac:dyDescent="0.45">
      <c r="A56" s="355">
        <v>15</v>
      </c>
      <c r="B56" s="355" t="s">
        <v>133</v>
      </c>
      <c r="C56" s="356" t="s">
        <v>203</v>
      </c>
      <c r="D56" s="357"/>
      <c r="E56" s="358">
        <v>0</v>
      </c>
      <c r="F56" s="359">
        <v>5.6000000000000005</v>
      </c>
      <c r="G56" s="360">
        <v>0</v>
      </c>
      <c r="H56" s="360">
        <v>0</v>
      </c>
      <c r="I56" s="360">
        <v>0</v>
      </c>
      <c r="J56" s="360">
        <f t="shared" si="8"/>
        <v>95.990064999999987</v>
      </c>
      <c r="K56" s="360">
        <v>0</v>
      </c>
      <c r="L56" s="361">
        <f t="shared" si="29"/>
        <v>105.58907149999999</v>
      </c>
      <c r="M56" s="361" cm="1">
        <f t="array" ref="M56">Profile_SM(C56,P56*1000,12)/10^3</f>
        <v>16.8</v>
      </c>
      <c r="N56" s="361" cm="1">
        <f t="array" ref="N56">Profile_ShearArea(C56,P56,12)</f>
        <v>0</v>
      </c>
      <c r="O56" s="359">
        <v>4</v>
      </c>
      <c r="P56" s="359">
        <v>0.7</v>
      </c>
      <c r="Q56" s="360">
        <v>1</v>
      </c>
      <c r="R56" s="360">
        <v>355</v>
      </c>
      <c r="S56" s="362">
        <f t="shared" ref="S56:S59" si="41">$M$11/ABS(($M$12/(F56-$M$13)))/1000</f>
        <v>63.583847049945462</v>
      </c>
      <c r="T56" s="360">
        <v>0</v>
      </c>
      <c r="U56" s="360">
        <v>127.486794</v>
      </c>
      <c r="V56" s="360">
        <f t="shared" ref="V56:V59" si="42">SQRT(S56^2+T56^2-S56*T56+3*U56^2)</f>
        <v>229.78588629170889</v>
      </c>
      <c r="W56" s="361">
        <f t="shared" ref="W56:W59" si="43">(R56/$F$7-V56)</f>
        <v>92.9413864355638</v>
      </c>
      <c r="X56" s="361">
        <f t="shared" ref="X56:X59" si="44">0.577*SQRT((R56/$F$7)^2-S56^2)</f>
        <v>182.56373639739681</v>
      </c>
      <c r="Y56" s="361">
        <f>O56^2*P56*L56*1000000/($F$8*W56*Q56)/10^3</f>
        <v>1060.3435546444225</v>
      </c>
      <c r="Z56" s="361">
        <f>O56*P56*L56*1000/(2*X56)</f>
        <v>809.71557121410774</v>
      </c>
      <c r="AA56" s="355" t="str">
        <f>IF(AND(M56&gt;=Y56,N56&gt;=Z56),"OK","N.G")</f>
        <v>N.G</v>
      </c>
      <c r="AB56" s="371">
        <f>M56/Y56</f>
        <v>1.5843921459619513E-2</v>
      </c>
    </row>
    <row r="57" spans="1:28" ht="12" customHeight="1" x14ac:dyDescent="0.45">
      <c r="A57" s="105">
        <v>16</v>
      </c>
      <c r="B57" s="105" t="s">
        <v>133</v>
      </c>
      <c r="C57" s="106" t="s">
        <v>197</v>
      </c>
      <c r="D57" s="106"/>
      <c r="E57" s="332">
        <v>0</v>
      </c>
      <c r="F57" s="107">
        <v>6.3</v>
      </c>
      <c r="G57" s="108">
        <v>0</v>
      </c>
      <c r="H57" s="108">
        <v>0</v>
      </c>
      <c r="I57" s="108">
        <v>0</v>
      </c>
      <c r="J57" s="108">
        <f t="shared" si="8"/>
        <v>88.951390000000004</v>
      </c>
      <c r="K57" s="108">
        <v>0</v>
      </c>
      <c r="L57" s="109">
        <f t="shared" si="29"/>
        <v>97.846529000000018</v>
      </c>
      <c r="M57" s="109" cm="1">
        <f t="array" ref="M57">Profile_SM(C57,P57*1000,12)/10^3</f>
        <v>921.80062112577377</v>
      </c>
      <c r="N57" s="109" cm="1">
        <f t="array" ref="N57">Profile_ShearArea(C57,P57,12)</f>
        <v>4200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41"/>
        <v>101.11225593271253</v>
      </c>
      <c r="T57" s="108">
        <v>0</v>
      </c>
      <c r="U57" s="108">
        <v>125.3</v>
      </c>
      <c r="V57" s="108">
        <f t="shared" si="42"/>
        <v>239.42422245838529</v>
      </c>
      <c r="W57" s="109">
        <f t="shared" si="43"/>
        <v>83.303050268887404</v>
      </c>
      <c r="X57" s="109">
        <f t="shared" si="44"/>
        <v>176.83821998030766</v>
      </c>
      <c r="Y57" s="109">
        <f>O57^2*P57*L57*1000000/($F$8*W57*Q57)/10^3</f>
        <v>1096.2795092363476</v>
      </c>
      <c r="Z57" s="109">
        <f>O57*P57*L57*1000/(2*X57)</f>
        <v>774.63537359318821</v>
      </c>
      <c r="AA57" s="111" t="str">
        <f>IF(AND(M57&gt;=Y57,N57&gt;=Z57),"OK","N.G")</f>
        <v>N.G</v>
      </c>
      <c r="AB57" s="336">
        <f>M57/Y57</f>
        <v>0.84084452309784274</v>
      </c>
    </row>
    <row r="58" spans="1:28" ht="12" customHeight="1" x14ac:dyDescent="0.45">
      <c r="A58" s="105">
        <v>17</v>
      </c>
      <c r="B58" s="105" t="s">
        <v>133</v>
      </c>
      <c r="C58" s="106" t="s">
        <v>197</v>
      </c>
      <c r="D58" s="106"/>
      <c r="E58" s="332">
        <v>0</v>
      </c>
      <c r="F58" s="107">
        <v>7</v>
      </c>
      <c r="G58" s="108">
        <v>0</v>
      </c>
      <c r="H58" s="108">
        <v>0</v>
      </c>
      <c r="I58" s="108">
        <v>0</v>
      </c>
      <c r="J58" s="108">
        <f t="shared" si="8"/>
        <v>81.912714999999992</v>
      </c>
      <c r="K58" s="108">
        <v>0</v>
      </c>
      <c r="L58" s="109">
        <f t="shared" si="29"/>
        <v>90.103986500000005</v>
      </c>
      <c r="M58" s="109" cm="1">
        <f t="array" ref="M58">Profile_SM(C58,P58*1000,12)/10^3</f>
        <v>921.80062112577377</v>
      </c>
      <c r="N58" s="109" cm="1">
        <f t="array" ref="N58">Profile_ShearArea(C58,P58,12)</f>
        <v>4200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si="41"/>
        <v>138.64066481547965</v>
      </c>
      <c r="T58" s="108">
        <v>0</v>
      </c>
      <c r="U58" s="108">
        <v>119.8</v>
      </c>
      <c r="V58" s="108">
        <f t="shared" si="42"/>
        <v>249.55431060287893</v>
      </c>
      <c r="W58" s="109">
        <f t="shared" si="43"/>
        <v>73.172962124393763</v>
      </c>
      <c r="X58" s="109">
        <f t="shared" si="44"/>
        <v>168.15532157264346</v>
      </c>
      <c r="Y58" s="109">
        <f>O58^2*P58*L58*1000000/($F$8*W58*Q58)/10^3</f>
        <v>1149.2913724567004</v>
      </c>
      <c r="Z58" s="109">
        <f>O58*P58*L58*1000/(2*X58)</f>
        <v>750.1729943497794</v>
      </c>
      <c r="AA58" s="111" t="str">
        <f>IF(AND(M58&gt;=Y58,N58&gt;=Z58),"OK","N.G")</f>
        <v>N.G</v>
      </c>
      <c r="AB58" s="336">
        <f>M58/Y58</f>
        <v>0.80205998515011268</v>
      </c>
    </row>
    <row r="59" spans="1:28" ht="12" customHeight="1" x14ac:dyDescent="0.45">
      <c r="A59" s="105">
        <v>18</v>
      </c>
      <c r="B59" s="105" t="s">
        <v>133</v>
      </c>
      <c r="C59" s="106" t="s">
        <v>199</v>
      </c>
      <c r="D59" s="106"/>
      <c r="E59" s="332">
        <v>0</v>
      </c>
      <c r="F59" s="107">
        <v>7.7</v>
      </c>
      <c r="G59" s="108">
        <v>0</v>
      </c>
      <c r="H59" s="108">
        <v>0</v>
      </c>
      <c r="I59" s="108">
        <v>0</v>
      </c>
      <c r="J59" s="108">
        <f t="shared" si="8"/>
        <v>74.874039999999994</v>
      </c>
      <c r="K59" s="108">
        <v>0</v>
      </c>
      <c r="L59" s="109">
        <f t="shared" si="29"/>
        <v>82.361444000000006</v>
      </c>
      <c r="M59" s="109" cm="1">
        <f t="array" ref="M59">Profile_SM(C59,P59*1000,12)/10^3</f>
        <v>714.81266231145048</v>
      </c>
      <c r="N59" s="109" cm="1">
        <f t="array" ref="N59">Profile_ShearArea(C59,P59,12)</f>
        <v>3900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si="41"/>
        <v>176.16907369824676</v>
      </c>
      <c r="T59" s="108">
        <v>0</v>
      </c>
      <c r="U59" s="108">
        <v>112.5</v>
      </c>
      <c r="V59" s="108">
        <f t="shared" si="42"/>
        <v>262.68668129103594</v>
      </c>
      <c r="W59" s="109">
        <f t="shared" si="43"/>
        <v>60.040591436236753</v>
      </c>
      <c r="X59" s="109">
        <f t="shared" si="44"/>
        <v>156.0220696874789</v>
      </c>
      <c r="Y59" s="109">
        <f>O59^2*P59*L59*1000000/($F$8*W59*Q59)/10^3</f>
        <v>1280.3118561599031</v>
      </c>
      <c r="Z59" s="109">
        <f>O59*P59*L59*1000/(2*X59)</f>
        <v>739.03661085232704</v>
      </c>
      <c r="AA59" s="111" t="str">
        <f>IF(AND(M59&gt;=Y59,N59&gt;=Z59),"OK","N.G")</f>
        <v>N.G</v>
      </c>
      <c r="AB59" s="336">
        <f>M59/Y59</f>
        <v>0.55831136677545135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16">
    <mergeCell ref="AB22:AB23"/>
    <mergeCell ref="C37:D37"/>
    <mergeCell ref="C38:D38"/>
    <mergeCell ref="C55:D55"/>
    <mergeCell ref="C56:D56"/>
    <mergeCell ref="A22:A23"/>
    <mergeCell ref="B22:B23"/>
    <mergeCell ref="C22:D23"/>
    <mergeCell ref="F4:N5"/>
    <mergeCell ref="AA22:AA23"/>
    <mergeCell ref="M11:N11"/>
    <mergeCell ref="M12:N12"/>
    <mergeCell ref="M13:N13"/>
    <mergeCell ref="M14:N14"/>
    <mergeCell ref="M15:N15"/>
    <mergeCell ref="Q22:Q23"/>
  </mergeCells>
  <phoneticPr fontId="5" type="noConversion"/>
  <conditionalFormatting sqref="AA24:AA59">
    <cfRule type="cellIs" dxfId="3" priority="2" operator="equal">
      <formula>"N.G"</formula>
    </cfRule>
  </conditionalFormatting>
  <conditionalFormatting sqref="Z24:Z30">
    <cfRule type="cellIs" dxfId="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3DC9F-8DF0-4C10-AC84-24E3D45980A1}">
  <sheetPr codeName="Sheet19"/>
  <dimension ref="A1:AC106"/>
  <sheetViews>
    <sheetView showGridLines="0" topLeftCell="A7" zoomScale="190" zoomScaleNormal="190" workbookViewId="0">
      <selection activeCell="C24" sqref="C24:C30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14" t="s">
        <v>173</v>
      </c>
      <c r="G4" s="314"/>
      <c r="H4" s="314"/>
      <c r="I4" s="314"/>
      <c r="J4" s="314"/>
      <c r="K4" s="314"/>
      <c r="L4" s="314"/>
      <c r="M4" s="314"/>
      <c r="N4" s="315"/>
    </row>
    <row r="5" spans="1:29" ht="12" customHeight="1" thickBot="1" x14ac:dyDescent="0.5">
      <c r="A5" s="64"/>
      <c r="B5" s="65"/>
      <c r="C5" s="65"/>
      <c r="D5" s="65"/>
      <c r="E5" s="65"/>
      <c r="F5" s="316"/>
      <c r="G5" s="316"/>
      <c r="H5" s="316"/>
      <c r="I5" s="316"/>
      <c r="J5" s="316"/>
      <c r="K5" s="316"/>
      <c r="L5" s="316"/>
      <c r="M5" s="316"/>
      <c r="N5" s="317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265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24">
        <f>'Global Strength'!I10</f>
        <v>731745</v>
      </c>
      <c r="N11" s="324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210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25">
        <f>'Global Strength'!I6</f>
        <v>13.8017</v>
      </c>
      <c r="N12" s="325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25">
        <f>'Global Strength'!I5</f>
        <v>4.2270000000000003</v>
      </c>
      <c r="N13" s="325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25"/>
      <c r="N14" s="325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24">
        <f>'Global Strength'!I27</f>
        <v>56164.5</v>
      </c>
      <c r="N15" s="324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63" t="s">
        <v>280</v>
      </c>
      <c r="B22" s="363" t="s">
        <v>283</v>
      </c>
      <c r="C22" s="365" t="s">
        <v>281</v>
      </c>
      <c r="D22" s="366"/>
      <c r="E22" s="50" t="s">
        <v>262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6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18" t="s">
        <v>122</v>
      </c>
      <c r="AB22" s="363" t="s">
        <v>282</v>
      </c>
    </row>
    <row r="23" spans="1:28" ht="12" customHeight="1" x14ac:dyDescent="0.45">
      <c r="A23" s="364"/>
      <c r="B23" s="364"/>
      <c r="C23" s="367"/>
      <c r="D23" s="36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18"/>
      <c r="AB23" s="364"/>
    </row>
    <row r="24" spans="1:28" ht="12" customHeight="1" x14ac:dyDescent="0.45">
      <c r="A24" s="80">
        <v>1</v>
      </c>
      <c r="B24" s="80" t="s">
        <v>274</v>
      </c>
      <c r="C24" s="87" t="s">
        <v>279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Profile_SM(C24,P24*1000,16)/10^3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224.10906736126711</v>
      </c>
      <c r="T24" s="84">
        <v>0</v>
      </c>
      <c r="U24" s="84">
        <v>34.58480651</v>
      </c>
      <c r="V24" s="84">
        <f>SQRT(S24^2+T24^2-S24*T24+3*U24^2)</f>
        <v>231.97672425814486</v>
      </c>
      <c r="W24" s="81">
        <f t="shared" ref="W24:W36" si="3">(R24/$F$7-V24)</f>
        <v>90.750548469127835</v>
      </c>
      <c r="X24" s="81">
        <f>0.577*SQRT((R24/$F$7)^2-S24^2)</f>
        <v>133.99328814287676</v>
      </c>
      <c r="Y24" s="81">
        <f>O24^2*P24*L24*1000000/($F$8*W24*Q24)/10^3</f>
        <v>1893.6996045645124</v>
      </c>
      <c r="Z24" s="81">
        <f t="shared" ref="Z24:Z36" si="4">O24*P24*L24*1000/(2*X24)</f>
        <v>1923.8382772585462</v>
      </c>
      <c r="AA24" s="89" t="str">
        <f t="shared" ref="AA24:AA36" si="5">IF(AND(M24&gt;=Y24,N24&gt;=Z24),"OK","N.G")</f>
        <v>OK</v>
      </c>
      <c r="AB24" s="333">
        <f t="shared" ref="AB24:AB36" si="6">M24/Y24</f>
        <v>1.0592115330050982</v>
      </c>
    </row>
    <row r="25" spans="1:28" ht="12" customHeight="1" x14ac:dyDescent="0.45">
      <c r="A25" s="80">
        <v>2</v>
      </c>
      <c r="B25" s="80" t="s">
        <v>274</v>
      </c>
      <c r="C25" s="87" t="s">
        <v>279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30" si="7">1.025*9.81*(($F$10+0.76)-F25)</f>
        <v>127.29946499999998</v>
      </c>
      <c r="K25" s="84">
        <v>0</v>
      </c>
      <c r="L25" s="81">
        <f t="shared" ref="L25:L30" si="8">J25*$F$18</f>
        <v>171.85427774999999</v>
      </c>
      <c r="M25" s="81" cm="1">
        <f t="array" ref="M25">Profile_SM(C25,P25*1000,12)/10^3</f>
        <v>1936.0000491714611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224.10906736126711</v>
      </c>
      <c r="T25" s="84">
        <v>0</v>
      </c>
      <c r="U25" s="84">
        <v>19.511098350000001</v>
      </c>
      <c r="V25" s="84">
        <f t="shared" ref="V25:V36" si="9">SQRT(S25^2+T25^2-S25*T25+3*U25^2)</f>
        <v>226.64272092879372</v>
      </c>
      <c r="W25" s="81">
        <f t="shared" si="3"/>
        <v>96.084551798478969</v>
      </c>
      <c r="X25" s="81">
        <f t="shared" ref="X25:X36" si="10">0.577*SQRT((R25/$F$7)^2-S25^2)</f>
        <v>133.99328814287676</v>
      </c>
      <c r="Y25" s="81">
        <f>O25^2*P25*L25*1000000/($F$8*W25*Q25)/10^3</f>
        <v>1788.5734442560047</v>
      </c>
      <c r="Z25" s="81">
        <f t="shared" si="4"/>
        <v>1923.8382772585462</v>
      </c>
      <c r="AA25" s="89" t="str">
        <f t="shared" si="5"/>
        <v>OK</v>
      </c>
      <c r="AB25" s="333">
        <f t="shared" si="6"/>
        <v>1.0824269226343017</v>
      </c>
    </row>
    <row r="26" spans="1:28" ht="12" customHeight="1" x14ac:dyDescent="0.45">
      <c r="A26" s="80">
        <v>3</v>
      </c>
      <c r="B26" s="80" t="s">
        <v>274</v>
      </c>
      <c r="C26" s="87" t="s">
        <v>279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Profile_SM(C26,P26*1000,12)/10^3</f>
        <v>1936.0000491714611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224.10906736126711</v>
      </c>
      <c r="T26" s="84">
        <v>0</v>
      </c>
      <c r="U26" s="84">
        <v>4.4373901919999996</v>
      </c>
      <c r="V26" s="84">
        <f t="shared" si="9"/>
        <v>224.24082003213672</v>
      </c>
      <c r="W26" s="81">
        <f t="shared" si="3"/>
        <v>98.486452695135966</v>
      </c>
      <c r="X26" s="81">
        <f t="shared" si="10"/>
        <v>133.99328814287676</v>
      </c>
      <c r="Y26" s="81">
        <f t="shared" ref="Y24:Y36" si="11">O26^2*P26*L26*1000000/($F$8*W26*Q26)/10^3</f>
        <v>1744.9534737734293</v>
      </c>
      <c r="Z26" s="81">
        <f t="shared" si="4"/>
        <v>1923.8382772585462</v>
      </c>
      <c r="AA26" s="89" t="str">
        <f t="shared" si="5"/>
        <v>OK</v>
      </c>
      <c r="AB26" s="333">
        <f t="shared" si="6"/>
        <v>1.1094851973244291</v>
      </c>
    </row>
    <row r="27" spans="1:28" ht="12" customHeight="1" x14ac:dyDescent="0.45">
      <c r="A27" s="80">
        <v>4</v>
      </c>
      <c r="B27" s="80" t="s">
        <v>274</v>
      </c>
      <c r="C27" s="87" t="s">
        <v>279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Profile_SM(C27,P27*1000,12)/10^3</f>
        <v>1936.0000491714611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224.10906736126711</v>
      </c>
      <c r="T27" s="84">
        <v>0</v>
      </c>
      <c r="U27" s="84">
        <v>16.99936143</v>
      </c>
      <c r="V27" s="84">
        <f t="shared" si="9"/>
        <v>226.03497282637542</v>
      </c>
      <c r="W27" s="81">
        <f t="shared" si="3"/>
        <v>96.692299900897268</v>
      </c>
      <c r="X27" s="81">
        <f t="shared" si="10"/>
        <v>133.99328814287676</v>
      </c>
      <c r="Y27" s="81">
        <f t="shared" si="11"/>
        <v>1777.3315757939201</v>
      </c>
      <c r="Z27" s="81">
        <f t="shared" si="4"/>
        <v>1923.8382772585462</v>
      </c>
      <c r="AA27" s="89" t="str">
        <f t="shared" si="5"/>
        <v>OK</v>
      </c>
      <c r="AB27" s="333">
        <f t="shared" si="6"/>
        <v>1.0892734228877159</v>
      </c>
    </row>
    <row r="28" spans="1:28" ht="12" customHeight="1" x14ac:dyDescent="0.45">
      <c r="A28" s="80">
        <v>5</v>
      </c>
      <c r="B28" s="80" t="s">
        <v>274</v>
      </c>
      <c r="C28" s="87" t="s">
        <v>279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Profile_SM(C28,P28*1000,12)/10^3</f>
        <v>1936.0000491714611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224.10906736126711</v>
      </c>
      <c r="T28" s="84">
        <v>0</v>
      </c>
      <c r="U28" s="84">
        <v>32.073069590000003</v>
      </c>
      <c r="V28" s="84">
        <f t="shared" si="9"/>
        <v>230.89157510033127</v>
      </c>
      <c r="W28" s="81">
        <f t="shared" si="3"/>
        <v>91.835697626941425</v>
      </c>
      <c r="X28" s="81">
        <f t="shared" si="10"/>
        <v>133.99328814287676</v>
      </c>
      <c r="Y28" s="81">
        <f t="shared" si="11"/>
        <v>1871.323267430419</v>
      </c>
      <c r="Z28" s="81">
        <f t="shared" si="4"/>
        <v>1923.8382772585462</v>
      </c>
      <c r="AA28" s="89" t="str">
        <f t="shared" si="5"/>
        <v>OK</v>
      </c>
      <c r="AB28" s="333">
        <f t="shared" si="6"/>
        <v>1.0345620571638872</v>
      </c>
    </row>
    <row r="29" spans="1:28" ht="12" customHeight="1" x14ac:dyDescent="0.45">
      <c r="A29" s="80">
        <v>6</v>
      </c>
      <c r="B29" s="80" t="s">
        <v>274</v>
      </c>
      <c r="C29" s="87" t="s">
        <v>279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Profile_SM(C29,P29*1000,12)/10^3</f>
        <v>1936.0000491714611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224.10906736126711</v>
      </c>
      <c r="T29" s="84">
        <v>0</v>
      </c>
      <c r="U29" s="84">
        <v>47.146777749999998</v>
      </c>
      <c r="V29" s="84">
        <f t="shared" si="9"/>
        <v>238.52322744370335</v>
      </c>
      <c r="W29" s="81">
        <f t="shared" si="3"/>
        <v>84.204045283569343</v>
      </c>
      <c r="X29" s="81">
        <f t="shared" si="10"/>
        <v>133.99328814287676</v>
      </c>
      <c r="Y29" s="81">
        <f t="shared" si="11"/>
        <v>2040.9266226017503</v>
      </c>
      <c r="Z29" s="81">
        <f t="shared" si="4"/>
        <v>1923.8382772585462</v>
      </c>
      <c r="AA29" s="89" t="str">
        <f t="shared" si="5"/>
        <v>N.G</v>
      </c>
      <c r="AB29" s="333">
        <f t="shared" si="6"/>
        <v>0.94858875754360539</v>
      </c>
    </row>
    <row r="30" spans="1:28" ht="12" customHeight="1" x14ac:dyDescent="0.45">
      <c r="A30" s="80">
        <v>7</v>
      </c>
      <c r="B30" s="80" t="s">
        <v>274</v>
      </c>
      <c r="C30" s="87" t="s">
        <v>279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Profile_SM(C30,P30*1000,12)/10^3</f>
        <v>1936.0000491714611</v>
      </c>
      <c r="N30" s="81" cm="1">
        <f t="array" ref="N30">Profile_ShearArea(C30,P30,12)</f>
        <v>7500</v>
      </c>
      <c r="O30" s="88">
        <v>2</v>
      </c>
      <c r="P30" s="88">
        <v>0.75</v>
      </c>
      <c r="Q30" s="84">
        <v>1</v>
      </c>
      <c r="R30" s="84">
        <v>355</v>
      </c>
      <c r="S30" s="84">
        <f>$M$11/ABS(($M$12/(F30-$M$13)))/1000</f>
        <v>224.10906736126711</v>
      </c>
      <c r="T30" s="84">
        <v>0</v>
      </c>
      <c r="U30" s="84">
        <v>62.2204859</v>
      </c>
      <c r="V30" s="84">
        <f t="shared" si="9"/>
        <v>248.67456779983203</v>
      </c>
      <c r="W30" s="81">
        <f t="shared" si="3"/>
        <v>74.052704927440658</v>
      </c>
      <c r="X30" s="81">
        <f t="shared" si="10"/>
        <v>133.99328814287676</v>
      </c>
      <c r="Y30" s="81">
        <f t="shared" si="11"/>
        <v>580.17555847010806</v>
      </c>
      <c r="Z30" s="81">
        <f t="shared" si="4"/>
        <v>961.91913862927311</v>
      </c>
      <c r="AA30" s="89" t="str">
        <f t="shared" si="5"/>
        <v>OK</v>
      </c>
      <c r="AB30" s="333">
        <f t="shared" si="6"/>
        <v>3.3369210765730806</v>
      </c>
    </row>
    <row r="31" spans="1:28" ht="12" customHeight="1" x14ac:dyDescent="0.45">
      <c r="A31" s="75">
        <v>8</v>
      </c>
      <c r="B31" s="75" t="s">
        <v>275</v>
      </c>
      <c r="C31" s="91" t="s">
        <v>201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ref="J25:J59" si="12">1.025*9.81*(($F$10+0.76)-F31)+25</f>
        <v>145.26078999999999</v>
      </c>
      <c r="K31" s="79">
        <v>0</v>
      </c>
      <c r="L31" s="76">
        <f t="shared" ref="L25:L41" si="13">J31*$F$19+K31*$F$18</f>
        <v>159.786869</v>
      </c>
      <c r="M31" s="76" cm="1">
        <f t="array" ref="M31">Profile_SM(C31,P31*1000,12)/10^3</f>
        <v>482.64811540310143</v>
      </c>
      <c r="N31" s="76" cm="1">
        <f t="array" ref="N31">Profile_ShearArea(C31,P31,12)</f>
        <v>2500</v>
      </c>
      <c r="O31" s="92">
        <v>2</v>
      </c>
      <c r="P31" s="92">
        <v>0.7</v>
      </c>
      <c r="Q31" s="79">
        <v>1</v>
      </c>
      <c r="R31" s="79">
        <v>355</v>
      </c>
      <c r="S31" s="128">
        <f t="shared" ref="S31:S36" si="14">$M$11/ABS(($M$12/(F31-$M$13)))/1000</f>
        <v>186.99613924371636</v>
      </c>
      <c r="T31" s="79">
        <v>0</v>
      </c>
      <c r="U31" s="79">
        <v>86.492462459999999</v>
      </c>
      <c r="V31" s="79">
        <f t="shared" si="9"/>
        <v>239.60466247391531</v>
      </c>
      <c r="W31" s="76">
        <f t="shared" si="3"/>
        <v>83.122610253357379</v>
      </c>
      <c r="X31" s="76">
        <f t="shared" si="10"/>
        <v>151.76891936624139</v>
      </c>
      <c r="Y31" s="76">
        <f t="shared" si="11"/>
        <v>448.53743948880327</v>
      </c>
      <c r="Z31" s="76">
        <f t="shared" si="4"/>
        <v>736.98098903957441</v>
      </c>
      <c r="AA31" s="94" t="str">
        <f t="shared" si="5"/>
        <v>OK</v>
      </c>
      <c r="AB31" s="334">
        <f t="shared" si="6"/>
        <v>1.076048670436907</v>
      </c>
    </row>
    <row r="32" spans="1:28" ht="12" customHeight="1" x14ac:dyDescent="0.45">
      <c r="A32" s="75">
        <v>9</v>
      </c>
      <c r="B32" s="75" t="s">
        <v>275</v>
      </c>
      <c r="C32" s="91" t="s">
        <v>202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12"/>
        <v>138.22211499999997</v>
      </c>
      <c r="K32" s="79">
        <v>0</v>
      </c>
      <c r="L32" s="76">
        <f t="shared" si="13"/>
        <v>152.04432649999998</v>
      </c>
      <c r="M32" s="76" cm="1">
        <f t="array" ref="M32">Profile_SM(C32,P32*1000,12)/10^3</f>
        <v>1173.9558953306662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4"/>
        <v>149.88321112616563</v>
      </c>
      <c r="T32" s="79">
        <v>0</v>
      </c>
      <c r="U32" s="79">
        <v>96.399111750000003</v>
      </c>
      <c r="V32" s="79">
        <f t="shared" si="9"/>
        <v>224.37322303710332</v>
      </c>
      <c r="W32" s="76">
        <f t="shared" si="3"/>
        <v>98.354049690169376</v>
      </c>
      <c r="X32" s="76">
        <f t="shared" si="10"/>
        <v>164.91293474930814</v>
      </c>
      <c r="Y32" s="76">
        <f t="shared" si="11"/>
        <v>1442.8286228548711</v>
      </c>
      <c r="Z32" s="76">
        <f t="shared" si="4"/>
        <v>1290.7541632412369</v>
      </c>
      <c r="AA32" s="94" t="str">
        <f t="shared" si="5"/>
        <v>N.G</v>
      </c>
      <c r="AB32" s="334">
        <f t="shared" si="6"/>
        <v>0.81364888160300253</v>
      </c>
    </row>
    <row r="33" spans="1:28" ht="12" customHeight="1" x14ac:dyDescent="0.45">
      <c r="A33" s="75">
        <v>10</v>
      </c>
      <c r="B33" s="75" t="s">
        <v>275</v>
      </c>
      <c r="C33" s="91" t="s">
        <v>202</v>
      </c>
      <c r="D33" s="91"/>
      <c r="E33" s="304">
        <v>6</v>
      </c>
      <c r="F33" s="92">
        <f t="shared" ref="F33:F38" si="15">F32+0.7</f>
        <v>2.0999999999999996</v>
      </c>
      <c r="G33" s="79">
        <v>0</v>
      </c>
      <c r="H33" s="79">
        <v>0</v>
      </c>
      <c r="I33" s="79">
        <v>0</v>
      </c>
      <c r="J33" s="79">
        <f t="shared" si="12"/>
        <v>131.18343999999999</v>
      </c>
      <c r="K33" s="79">
        <v>0</v>
      </c>
      <c r="L33" s="76">
        <f t="shared" si="13"/>
        <v>144.301784</v>
      </c>
      <c r="M33" s="76" cm="1">
        <f t="array" ref="M33">Profile_SM(C33,P33*1000,12)/10^3</f>
        <v>1173.9558953306662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4"/>
        <v>112.77028300861492</v>
      </c>
      <c r="T33" s="79">
        <v>0</v>
      </c>
      <c r="U33" s="79">
        <v>103.943155</v>
      </c>
      <c r="V33" s="79">
        <f t="shared" si="9"/>
        <v>212.43746172439828</v>
      </c>
      <c r="W33" s="76">
        <f t="shared" si="3"/>
        <v>110.28981100287442</v>
      </c>
      <c r="X33" s="76">
        <f t="shared" si="10"/>
        <v>174.47525541875171</v>
      </c>
      <c r="Y33" s="76">
        <f t="shared" si="11"/>
        <v>1221.1614458488511</v>
      </c>
      <c r="Z33" s="76">
        <f t="shared" si="4"/>
        <v>1157.8862407459048</v>
      </c>
      <c r="AA33" s="94" t="str">
        <f t="shared" si="5"/>
        <v>N.G</v>
      </c>
      <c r="AB33" s="334">
        <f t="shared" si="6"/>
        <v>0.96134372676221236</v>
      </c>
    </row>
    <row r="34" spans="1:28" ht="12" customHeight="1" x14ac:dyDescent="0.45">
      <c r="A34" s="75">
        <v>11</v>
      </c>
      <c r="B34" s="75" t="s">
        <v>275</v>
      </c>
      <c r="C34" s="91" t="s">
        <v>202</v>
      </c>
      <c r="D34" s="91"/>
      <c r="E34" s="304">
        <v>6</v>
      </c>
      <c r="F34" s="92">
        <f t="shared" si="15"/>
        <v>2.8</v>
      </c>
      <c r="G34" s="79">
        <v>0</v>
      </c>
      <c r="H34" s="79">
        <v>0</v>
      </c>
      <c r="I34" s="79">
        <v>0</v>
      </c>
      <c r="J34" s="79">
        <f t="shared" si="12"/>
        <v>124.14476499999999</v>
      </c>
      <c r="K34" s="79">
        <v>0</v>
      </c>
      <c r="L34" s="76">
        <f t="shared" si="13"/>
        <v>136.55924150000001</v>
      </c>
      <c r="M34" s="76" cm="1">
        <f t="array" ref="M34">Profile_SM(C34,P34*1000,12)/10^3</f>
        <v>1173.9558953306662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4"/>
        <v>75.657354891064173</v>
      </c>
      <c r="T34" s="79">
        <v>0</v>
      </c>
      <c r="U34" s="79">
        <v>109.30006729999999</v>
      </c>
      <c r="V34" s="79">
        <f t="shared" si="9"/>
        <v>203.87140428335215</v>
      </c>
      <c r="W34" s="76">
        <f t="shared" si="3"/>
        <v>118.85586844392054</v>
      </c>
      <c r="X34" s="76">
        <f t="shared" si="10"/>
        <v>181.0243657716384</v>
      </c>
      <c r="Y34" s="76">
        <f t="shared" si="11"/>
        <v>1072.3516956741901</v>
      </c>
      <c r="Z34" s="76">
        <f t="shared" si="4"/>
        <v>1056.1171546441246</v>
      </c>
      <c r="AA34" s="94" t="str">
        <f t="shared" si="5"/>
        <v>OK</v>
      </c>
      <c r="AB34" s="334">
        <f t="shared" si="6"/>
        <v>1.0947489522946083</v>
      </c>
    </row>
    <row r="35" spans="1:28" ht="12" customHeight="1" x14ac:dyDescent="0.45">
      <c r="A35" s="75">
        <v>12</v>
      </c>
      <c r="B35" s="75" t="s">
        <v>275</v>
      </c>
      <c r="C35" s="91" t="s">
        <v>197</v>
      </c>
      <c r="D35" s="91"/>
      <c r="E35" s="304">
        <v>6</v>
      </c>
      <c r="F35" s="92">
        <f t="shared" si="15"/>
        <v>3.5</v>
      </c>
      <c r="G35" s="79">
        <v>0</v>
      </c>
      <c r="H35" s="79">
        <v>0</v>
      </c>
      <c r="I35" s="79">
        <v>0</v>
      </c>
      <c r="J35" s="79">
        <f t="shared" si="12"/>
        <v>117.10608999999999</v>
      </c>
      <c r="K35" s="79">
        <v>0</v>
      </c>
      <c r="L35" s="76">
        <f t="shared" si="13"/>
        <v>128.816699</v>
      </c>
      <c r="M35" s="76" cm="1">
        <f t="array" ref="M35">Profile_SM(C35,P35*1000,12)/10^3</f>
        <v>921.80062112577377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4"/>
        <v>38.544426773513429</v>
      </c>
      <c r="T35" s="79">
        <v>0</v>
      </c>
      <c r="U35" s="79">
        <v>112.9005669</v>
      </c>
      <c r="V35" s="79">
        <f t="shared" si="9"/>
        <v>199.31203389239414</v>
      </c>
      <c r="W35" s="76">
        <f t="shared" si="3"/>
        <v>123.41523883487855</v>
      </c>
      <c r="X35" s="76">
        <f t="shared" si="10"/>
        <v>184.88075831839669</v>
      </c>
      <c r="Y35" s="76">
        <f t="shared" si="11"/>
        <v>974.18212047156533</v>
      </c>
      <c r="Z35" s="76">
        <f t="shared" si="4"/>
        <v>975.45780448075323</v>
      </c>
      <c r="AA35" s="94" t="str">
        <f t="shared" si="5"/>
        <v>N.G</v>
      </c>
      <c r="AB35" s="334">
        <f t="shared" si="6"/>
        <v>0.94623028051424751</v>
      </c>
    </row>
    <row r="36" spans="1:28" ht="12" customHeight="1" x14ac:dyDescent="0.45">
      <c r="A36" s="75">
        <v>13</v>
      </c>
      <c r="B36" s="75" t="s">
        <v>275</v>
      </c>
      <c r="C36" s="91" t="s">
        <v>197</v>
      </c>
      <c r="D36" s="91"/>
      <c r="E36" s="304">
        <v>6</v>
      </c>
      <c r="F36" s="92">
        <f t="shared" si="15"/>
        <v>4.2</v>
      </c>
      <c r="G36" s="79">
        <v>0</v>
      </c>
      <c r="H36" s="79">
        <v>0</v>
      </c>
      <c r="I36" s="79">
        <v>0</v>
      </c>
      <c r="J36" s="79">
        <f t="shared" si="12"/>
        <v>110.067415</v>
      </c>
      <c r="K36" s="79">
        <v>0</v>
      </c>
      <c r="L36" s="76">
        <f t="shared" si="13"/>
        <v>121.0741565</v>
      </c>
      <c r="M36" s="76" cm="1">
        <f t="array" ref="M36">Profile_SM(C36,P36*1000,12)/10^3</f>
        <v>921.80062112577377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4"/>
        <v>1.4314986559626783</v>
      </c>
      <c r="T36" s="79">
        <v>0</v>
      </c>
      <c r="U36" s="79">
        <v>114.79779980000001</v>
      </c>
      <c r="V36" s="79">
        <f t="shared" si="9"/>
        <v>198.84077475499001</v>
      </c>
      <c r="W36" s="76">
        <f t="shared" si="3"/>
        <v>123.88649797228268</v>
      </c>
      <c r="X36" s="76">
        <f t="shared" si="10"/>
        <v>186.2118044956417</v>
      </c>
      <c r="Y36" s="76">
        <f t="shared" si="11"/>
        <v>912.14577791963166</v>
      </c>
      <c r="Z36" s="76">
        <f t="shared" si="4"/>
        <v>910.27429522582838</v>
      </c>
      <c r="AA36" s="94" t="str">
        <f t="shared" si="5"/>
        <v>OK</v>
      </c>
      <c r="AB36" s="334">
        <f t="shared" si="6"/>
        <v>1.0105847589714907</v>
      </c>
    </row>
    <row r="37" spans="1:28" ht="12" customHeight="1" x14ac:dyDescent="0.45">
      <c r="A37" s="75">
        <v>14</v>
      </c>
      <c r="B37" s="75" t="s">
        <v>275</v>
      </c>
      <c r="C37" s="330" t="s">
        <v>197</v>
      </c>
      <c r="D37" s="331"/>
      <c r="E37" s="304">
        <v>6</v>
      </c>
      <c r="F37" s="92">
        <f t="shared" si="15"/>
        <v>4.9000000000000004</v>
      </c>
      <c r="G37" s="79">
        <v>0</v>
      </c>
      <c r="H37" s="79">
        <v>0</v>
      </c>
      <c r="I37" s="79">
        <v>0</v>
      </c>
      <c r="J37" s="79">
        <f t="shared" si="12"/>
        <v>103.02873999999998</v>
      </c>
      <c r="K37" s="79">
        <v>0</v>
      </c>
      <c r="L37" s="76">
        <f t="shared" si="13"/>
        <v>113.33161399999999</v>
      </c>
      <c r="M37" s="76" cm="1">
        <f t="array" ref="M37">Profile_SM(C37,P37*1000,12)/10^3</f>
        <v>921.80062112577377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6">$M$11/ABS(($M$12/(F37-$M$13)))/1000</f>
        <v>35.681429461588067</v>
      </c>
      <c r="T37" s="79">
        <v>0</v>
      </c>
      <c r="U37" s="79">
        <v>114.79779980000001</v>
      </c>
      <c r="V37" s="79">
        <f t="shared" ref="V37" si="17">SQRT(S37^2+T37^2-S37*T37+3*U37^2)</f>
        <v>202.01180392537691</v>
      </c>
      <c r="W37" s="76">
        <f t="shared" ref="W37" si="18">(R37/$F$7-V37)</f>
        <v>120.71546880189578</v>
      </c>
      <c r="X37" s="76">
        <f t="shared" ref="X37" si="19">0.577*SQRT((R37/$F$7)^2-S37^2)</f>
        <v>185.0719995418998</v>
      </c>
      <c r="Y37" s="76">
        <f t="shared" ref="Y37" si="20">O37^2*P37*L37*1000000/($F$8*W37*Q37)/10^3</f>
        <v>876.24373343779371</v>
      </c>
      <c r="Z37" s="76">
        <f t="shared" ref="Z37" si="21">O37*P37*L37*1000/(2*X37)</f>
        <v>857.31099243934432</v>
      </c>
      <c r="AA37" s="94" t="str">
        <f t="shared" ref="AA37" si="22">IF(AND(M37&gt;=Y37,N37&gt;=Z37),"OK","N.G")</f>
        <v>OK</v>
      </c>
      <c r="AB37" s="334">
        <f t="shared" ref="AB37" si="23">M37/Y37</f>
        <v>1.0519911138299904</v>
      </c>
    </row>
    <row r="38" spans="1:28" ht="12" customHeight="1" x14ac:dyDescent="0.45">
      <c r="A38" s="346">
        <v>15</v>
      </c>
      <c r="B38" s="346" t="s">
        <v>275</v>
      </c>
      <c r="C38" s="347" t="s">
        <v>196</v>
      </c>
      <c r="D38" s="348"/>
      <c r="E38" s="349">
        <v>6</v>
      </c>
      <c r="F38" s="350">
        <f t="shared" si="15"/>
        <v>5.6000000000000005</v>
      </c>
      <c r="G38" s="351">
        <v>0</v>
      </c>
      <c r="H38" s="351">
        <v>0</v>
      </c>
      <c r="I38" s="351">
        <v>0</v>
      </c>
      <c r="J38" s="351">
        <f t="shared" si="12"/>
        <v>95.990064999999987</v>
      </c>
      <c r="K38" s="351">
        <v>0</v>
      </c>
      <c r="L38" s="352">
        <f t="shared" si="13"/>
        <v>105.58907149999999</v>
      </c>
      <c r="M38" s="352" cm="1">
        <f t="array" ref="M38">Profile_SM(C38,P38*1000,12)/10^3</f>
        <v>16.8</v>
      </c>
      <c r="N38" s="352" cm="1">
        <f t="array" ref="N38">Profile_ShearArea(C38,P38,12)</f>
        <v>0</v>
      </c>
      <c r="O38" s="350">
        <v>4</v>
      </c>
      <c r="P38" s="350">
        <v>0.7</v>
      </c>
      <c r="Q38" s="351">
        <v>1</v>
      </c>
      <c r="R38" s="351">
        <v>355</v>
      </c>
      <c r="S38" s="353">
        <f t="shared" ref="S38:S54" si="24">$M$11/ABS(($M$12/(F38-$M$13)))/1000</f>
        <v>72.794357579138818</v>
      </c>
      <c r="T38" s="351">
        <v>0</v>
      </c>
      <c r="U38" s="351">
        <v>76.704483359999998</v>
      </c>
      <c r="V38" s="351">
        <f t="shared" ref="V38:V41" si="25">SQRT(S38^2+T38^2-S38*T38+3*U38^2)</f>
        <v>151.49175488432721</v>
      </c>
      <c r="W38" s="352">
        <f t="shared" ref="W38:W45" si="26">(R38/$F$7-V38)</f>
        <v>171.23551784294548</v>
      </c>
      <c r="X38" s="352">
        <f t="shared" ref="X38:X54" si="27">0.577*SQRT((R38/$F$7)^2-S38^2)</f>
        <v>181.41477734497548</v>
      </c>
      <c r="Y38" s="352">
        <f t="shared" ref="Y38:Y54" si="28">O38^2*P38*L38*1000000/($F$8*W38*Q38)/10^3</f>
        <v>575.52195542197592</v>
      </c>
      <c r="Z38" s="352">
        <f t="shared" ref="Z38:Z54" si="29">O38*P38*L38*1000/(2*X38)</f>
        <v>814.84376445750524</v>
      </c>
      <c r="AA38" s="346" t="str">
        <f t="shared" ref="AA38:AA54" si="30">IF(AND(M38&gt;=Y38,N38&gt;=Z38),"OK","N.G")</f>
        <v>N.G</v>
      </c>
      <c r="AB38" s="354">
        <f t="shared" ref="AB38:AB54" si="31">M38/Y38</f>
        <v>2.9190893312979079E-2</v>
      </c>
    </row>
    <row r="39" spans="1:28" ht="12" customHeight="1" x14ac:dyDescent="0.45">
      <c r="A39" s="75">
        <v>16</v>
      </c>
      <c r="B39" s="75" t="s">
        <v>275</v>
      </c>
      <c r="C39" s="91" t="s">
        <v>201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12"/>
        <v>88.951390000000004</v>
      </c>
      <c r="K39" s="79">
        <v>0</v>
      </c>
      <c r="L39" s="76">
        <f t="shared" si="13"/>
        <v>97.846529000000018</v>
      </c>
      <c r="M39" s="76" cm="1">
        <f t="array" ref="M39">Profile_SM(C39,P39*1000,12)/10^3</f>
        <v>482.64811540310143</v>
      </c>
      <c r="N39" s="76" cm="1">
        <f t="array" ref="N39">Profile_ShearArea(C39,P39,12)</f>
        <v>2500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4"/>
        <v>109.9072856966895</v>
      </c>
      <c r="T39" s="79">
        <v>0</v>
      </c>
      <c r="U39" s="79">
        <v>76.367610869999993</v>
      </c>
      <c r="V39" s="79">
        <f t="shared" si="25"/>
        <v>171.97571752776307</v>
      </c>
      <c r="W39" s="76">
        <f t="shared" si="26"/>
        <v>150.75155519950962</v>
      </c>
      <c r="X39" s="76">
        <f t="shared" si="27"/>
        <v>175.08245316876645</v>
      </c>
      <c r="Y39" s="76">
        <f t="shared" si="28"/>
        <v>605.78762816613209</v>
      </c>
      <c r="Z39" s="76">
        <f t="shared" si="29"/>
        <v>782.40359396813187</v>
      </c>
      <c r="AA39" s="94" t="str">
        <f t="shared" si="30"/>
        <v>N.G</v>
      </c>
      <c r="AB39" s="334">
        <f t="shared" si="31"/>
        <v>0.79672824759428618</v>
      </c>
    </row>
    <row r="40" spans="1:28" ht="12" customHeight="1" x14ac:dyDescent="0.45">
      <c r="A40" s="75">
        <v>17</v>
      </c>
      <c r="B40" s="75" t="s">
        <v>275</v>
      </c>
      <c r="C40" s="91" t="s">
        <v>195</v>
      </c>
      <c r="D40" s="91"/>
      <c r="E40" s="304">
        <v>6</v>
      </c>
      <c r="F40" s="92">
        <f t="shared" ref="F40:F41" si="32">F39+0.7</f>
        <v>7</v>
      </c>
      <c r="G40" s="79">
        <v>0</v>
      </c>
      <c r="H40" s="79">
        <v>0</v>
      </c>
      <c r="I40" s="79">
        <v>0</v>
      </c>
      <c r="J40" s="79">
        <f t="shared" si="12"/>
        <v>81.912714999999992</v>
      </c>
      <c r="K40" s="79">
        <v>0</v>
      </c>
      <c r="L40" s="76">
        <f t="shared" si="13"/>
        <v>90.103986500000005</v>
      </c>
      <c r="M40" s="76" cm="1">
        <f t="array" ref="M40">Profile_SM(C40,P40*1000,12)/10^3</f>
        <v>482.64811540310143</v>
      </c>
      <c r="N40" s="76" cm="1">
        <f t="array" ref="N40">Profile_ShearArea(C40,P40,12)</f>
        <v>2500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4"/>
        <v>147.02021381424026</v>
      </c>
      <c r="T40" s="79">
        <v>0</v>
      </c>
      <c r="U40" s="79">
        <v>75.391253039999995</v>
      </c>
      <c r="V40" s="79">
        <f t="shared" si="25"/>
        <v>196.63790675962977</v>
      </c>
      <c r="W40" s="76">
        <f t="shared" si="26"/>
        <v>126.08936596764292</v>
      </c>
      <c r="X40" s="76">
        <f t="shared" si="27"/>
        <v>165.76874530452287</v>
      </c>
      <c r="Y40" s="76">
        <f t="shared" si="28"/>
        <v>666.96389042235069</v>
      </c>
      <c r="Z40" s="76">
        <f t="shared" si="29"/>
        <v>760.9732514308788</v>
      </c>
      <c r="AA40" s="94" t="str">
        <f t="shared" si="30"/>
        <v>N.G</v>
      </c>
      <c r="AB40" s="334">
        <f t="shared" si="31"/>
        <v>0.72364954435159534</v>
      </c>
    </row>
    <row r="41" spans="1:28" ht="12" customHeight="1" x14ac:dyDescent="0.45">
      <c r="A41" s="75">
        <v>18</v>
      </c>
      <c r="B41" s="75" t="s">
        <v>275</v>
      </c>
      <c r="C41" s="91" t="s">
        <v>195</v>
      </c>
      <c r="D41" s="91"/>
      <c r="E41" s="304">
        <v>6</v>
      </c>
      <c r="F41" s="92">
        <f t="shared" si="32"/>
        <v>7.7</v>
      </c>
      <c r="G41" s="79">
        <v>0</v>
      </c>
      <c r="H41" s="79">
        <v>0</v>
      </c>
      <c r="I41" s="79">
        <v>0</v>
      </c>
      <c r="J41" s="79">
        <f t="shared" si="12"/>
        <v>74.874039999999994</v>
      </c>
      <c r="K41" s="79">
        <v>0</v>
      </c>
      <c r="L41" s="76">
        <f t="shared" si="13"/>
        <v>82.361444000000006</v>
      </c>
      <c r="M41" s="76" cm="1">
        <f t="array" ref="M41">Profile_SM(C41,P41*1000,12)/10^3</f>
        <v>482.64811540310143</v>
      </c>
      <c r="N41" s="76" cm="1">
        <f t="array" ref="N41">Profile_ShearArea(C41,P41,12)</f>
        <v>2500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4"/>
        <v>184.13314193179102</v>
      </c>
      <c r="T41" s="79">
        <v>0</v>
      </c>
      <c r="U41" s="79">
        <v>72.907289980000002</v>
      </c>
      <c r="V41" s="79">
        <f t="shared" si="25"/>
        <v>223.27434414718707</v>
      </c>
      <c r="W41" s="76">
        <f t="shared" si="26"/>
        <v>99.452928580085626</v>
      </c>
      <c r="X41" s="76">
        <f t="shared" si="27"/>
        <v>152.9299054333535</v>
      </c>
      <c r="Y41" s="76">
        <f t="shared" si="28"/>
        <v>772.935318890742</v>
      </c>
      <c r="Z41" s="76">
        <f t="shared" si="29"/>
        <v>753.97955209126894</v>
      </c>
      <c r="AA41" s="94" t="str">
        <f t="shared" si="30"/>
        <v>N.G</v>
      </c>
      <c r="AB41" s="334">
        <f t="shared" si="31"/>
        <v>0.62443532286215264</v>
      </c>
    </row>
    <row r="42" spans="1:28" ht="12" customHeight="1" x14ac:dyDescent="0.45">
      <c r="A42" s="96">
        <v>1</v>
      </c>
      <c r="B42" s="96" t="s">
        <v>277</v>
      </c>
      <c r="C42" s="104" t="s">
        <v>197</v>
      </c>
      <c r="D42" s="97"/>
      <c r="E42" s="305">
        <v>0.75</v>
      </c>
      <c r="F42" s="98">
        <v>8.4</v>
      </c>
      <c r="G42" s="99">
        <v>0</v>
      </c>
      <c r="H42" s="99">
        <v>0</v>
      </c>
      <c r="I42" s="99">
        <v>0</v>
      </c>
      <c r="J42" s="99">
        <f t="shared" si="12"/>
        <v>67.835364999999996</v>
      </c>
      <c r="K42" s="99">
        <v>0</v>
      </c>
      <c r="L42" s="100">
        <f>J42*$F$19+K42*$F$18</f>
        <v>74.618901500000007</v>
      </c>
      <c r="M42" s="100" cm="1">
        <f t="array" ref="M42">Profile_SM(C42,P42*1000,12)/10^3</f>
        <v>926.93146753714063</v>
      </c>
      <c r="N42" s="100" cm="1">
        <f t="array" ref="N42">Profile_ShearArea(C42,P42,12)</f>
        <v>4200</v>
      </c>
      <c r="O42" s="98">
        <v>4</v>
      </c>
      <c r="P42" s="98">
        <v>0.75</v>
      </c>
      <c r="Q42" s="99">
        <v>1</v>
      </c>
      <c r="R42" s="99">
        <v>355</v>
      </c>
      <c r="S42" s="129">
        <f t="shared" si="24"/>
        <v>221.24607004934174</v>
      </c>
      <c r="T42" s="99">
        <v>0</v>
      </c>
      <c r="U42" s="99">
        <v>42.361750790000002</v>
      </c>
      <c r="V42" s="99">
        <f>SQRT(S42^2+T42^2-S42*T42+3*U42^2)</f>
        <v>233.09521080936096</v>
      </c>
      <c r="W42" s="100">
        <f t="shared" si="26"/>
        <v>89.632061917911727</v>
      </c>
      <c r="X42" s="100">
        <f t="shared" si="27"/>
        <v>135.56807358537372</v>
      </c>
      <c r="Y42" s="100">
        <f t="shared" si="28"/>
        <v>832.50234239103747</v>
      </c>
      <c r="Z42" s="100">
        <f t="shared" si="29"/>
        <v>825.62471598088587</v>
      </c>
      <c r="AA42" s="102" t="str">
        <f t="shared" si="30"/>
        <v>OK</v>
      </c>
      <c r="AB42" s="335">
        <f t="shared" si="31"/>
        <v>1.1134280594032835</v>
      </c>
    </row>
    <row r="43" spans="1:28" ht="12" customHeight="1" x14ac:dyDescent="0.45">
      <c r="A43" s="96">
        <v>2</v>
      </c>
      <c r="B43" s="96" t="s">
        <v>277</v>
      </c>
      <c r="C43" s="104" t="s">
        <v>197</v>
      </c>
      <c r="D43" s="97"/>
      <c r="E43" s="305">
        <v>1.5</v>
      </c>
      <c r="F43" s="98">
        <v>8.4</v>
      </c>
      <c r="G43" s="99">
        <v>0</v>
      </c>
      <c r="H43" s="99">
        <v>0</v>
      </c>
      <c r="I43" s="99">
        <v>0</v>
      </c>
      <c r="J43" s="99">
        <f t="shared" si="12"/>
        <v>67.835364999999996</v>
      </c>
      <c r="K43" s="99">
        <v>0</v>
      </c>
      <c r="L43" s="100">
        <f t="shared" ref="L43:L59" si="33">J43*$F$19+K43*$F$18</f>
        <v>74.618901500000007</v>
      </c>
      <c r="M43" s="100" cm="1">
        <f t="array" ref="M43">Profile_SM(C43,P43*1000,12)/10^3</f>
        <v>926.93146753714063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 t="shared" si="24"/>
        <v>221.24607004934174</v>
      </c>
      <c r="T43" s="99">
        <v>0</v>
      </c>
      <c r="U43" s="99">
        <v>32.072781079999999</v>
      </c>
      <c r="V43" s="99">
        <f t="shared" ref="V43:V45" si="34">SQRT(S43^2+T43^2-S43*T43+3*U43^2)</f>
        <v>228.11359751425397</v>
      </c>
      <c r="W43" s="100">
        <f t="shared" si="26"/>
        <v>94.613675213018723</v>
      </c>
      <c r="X43" s="100">
        <f t="shared" si="27"/>
        <v>135.56807358537372</v>
      </c>
      <c r="Y43" s="100">
        <f t="shared" si="28"/>
        <v>788.66930527747365</v>
      </c>
      <c r="Z43" s="100">
        <f t="shared" si="29"/>
        <v>825.62471598088587</v>
      </c>
      <c r="AA43" s="102" t="str">
        <f t="shared" si="30"/>
        <v>OK</v>
      </c>
      <c r="AB43" s="335">
        <f t="shared" si="31"/>
        <v>1.1753106927510293</v>
      </c>
    </row>
    <row r="44" spans="1:28" ht="12" customHeight="1" x14ac:dyDescent="0.45">
      <c r="A44" s="96">
        <v>3</v>
      </c>
      <c r="B44" s="96" t="s">
        <v>277</v>
      </c>
      <c r="C44" s="104" t="s">
        <v>197</v>
      </c>
      <c r="D44" s="97"/>
      <c r="E44" s="305">
        <v>2.25</v>
      </c>
      <c r="F44" s="98">
        <v>8.4</v>
      </c>
      <c r="G44" s="99">
        <v>0</v>
      </c>
      <c r="H44" s="99">
        <v>0</v>
      </c>
      <c r="I44" s="99">
        <v>0</v>
      </c>
      <c r="J44" s="99">
        <f t="shared" si="12"/>
        <v>67.835364999999996</v>
      </c>
      <c r="K44" s="99">
        <v>0</v>
      </c>
      <c r="L44" s="100">
        <f t="shared" si="33"/>
        <v>74.618901500000007</v>
      </c>
      <c r="M44" s="100" cm="1">
        <f t="array" ref="M44">Profile_SM(C44,P44*1000,12)/10^3</f>
        <v>926.93146753714063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4"/>
        <v>221.24607004934174</v>
      </c>
      <c r="T44" s="99">
        <v>0</v>
      </c>
      <c r="U44" s="99">
        <v>21.783811369999999</v>
      </c>
      <c r="V44" s="99">
        <f t="shared" si="34"/>
        <v>224.44025224029994</v>
      </c>
      <c r="W44" s="100">
        <f t="shared" si="26"/>
        <v>98.28702048697275</v>
      </c>
      <c r="X44" s="100">
        <f t="shared" si="27"/>
        <v>135.56807358537372</v>
      </c>
      <c r="Y44" s="100">
        <f t="shared" si="28"/>
        <v>759.19385011666145</v>
      </c>
      <c r="Z44" s="100">
        <f t="shared" si="29"/>
        <v>825.62471598088587</v>
      </c>
      <c r="AA44" s="102" t="str">
        <f t="shared" si="30"/>
        <v>OK</v>
      </c>
      <c r="AB44" s="335">
        <f t="shared" si="31"/>
        <v>1.220941749455299</v>
      </c>
    </row>
    <row r="45" spans="1:28" ht="12" customHeight="1" x14ac:dyDescent="0.45">
      <c r="A45" s="96">
        <v>4</v>
      </c>
      <c r="B45" s="96" t="s">
        <v>277</v>
      </c>
      <c r="C45" s="104" t="s">
        <v>197</v>
      </c>
      <c r="D45" s="97"/>
      <c r="E45" s="305">
        <v>3</v>
      </c>
      <c r="F45" s="98">
        <v>8.4</v>
      </c>
      <c r="G45" s="99">
        <v>0</v>
      </c>
      <c r="H45" s="99">
        <v>0</v>
      </c>
      <c r="I45" s="99">
        <v>0</v>
      </c>
      <c r="J45" s="99">
        <f t="shared" si="12"/>
        <v>67.835364999999996</v>
      </c>
      <c r="K45" s="99">
        <v>0</v>
      </c>
      <c r="L45" s="100">
        <f t="shared" si="33"/>
        <v>74.618901500000007</v>
      </c>
      <c r="M45" s="100" cm="1">
        <f t="array" ref="M45">Profile_SM(C45,P45*1000,12)/10^3</f>
        <v>926.93146753714063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4"/>
        <v>221.24607004934174</v>
      </c>
      <c r="T45" s="99">
        <v>0</v>
      </c>
      <c r="U45" s="99">
        <v>11.49484167</v>
      </c>
      <c r="V45" s="99">
        <f t="shared" si="34"/>
        <v>222.14008568318627</v>
      </c>
      <c r="W45" s="100">
        <f t="shared" si="26"/>
        <v>100.58718704408642</v>
      </c>
      <c r="X45" s="100">
        <f t="shared" si="27"/>
        <v>135.56807358537372</v>
      </c>
      <c r="Y45" s="100">
        <f t="shared" si="28"/>
        <v>741.8330673398317</v>
      </c>
      <c r="Z45" s="100">
        <f t="shared" si="29"/>
        <v>825.62471598088587</v>
      </c>
      <c r="AA45" s="102" t="str">
        <f t="shared" si="30"/>
        <v>OK</v>
      </c>
      <c r="AB45" s="335">
        <f t="shared" si="31"/>
        <v>1.2495148953942705</v>
      </c>
    </row>
    <row r="46" spans="1:28" ht="12" customHeight="1" x14ac:dyDescent="0.45">
      <c r="A46" s="96">
        <v>5</v>
      </c>
      <c r="B46" s="96" t="s">
        <v>277</v>
      </c>
      <c r="C46" s="104" t="s">
        <v>197</v>
      </c>
      <c r="D46" s="97"/>
      <c r="E46" s="305">
        <v>3.75</v>
      </c>
      <c r="F46" s="98">
        <v>8.4</v>
      </c>
      <c r="G46" s="99">
        <v>0</v>
      </c>
      <c r="H46" s="99">
        <v>0</v>
      </c>
      <c r="I46" s="99">
        <v>0</v>
      </c>
      <c r="J46" s="99">
        <f t="shared" si="12"/>
        <v>67.835364999999996</v>
      </c>
      <c r="K46" s="99">
        <v>0</v>
      </c>
      <c r="L46" s="100">
        <f t="shared" si="33"/>
        <v>74.618901500000007</v>
      </c>
      <c r="M46" s="100" cm="1">
        <f t="array" ref="M46">Profile_SM(C46,P46*1000,12)/10^3</f>
        <v>926.93146753714063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4"/>
        <v>221.24607004934174</v>
      </c>
      <c r="T46" s="99">
        <v>0</v>
      </c>
      <c r="U46" s="99">
        <v>1.5539955910000001</v>
      </c>
      <c r="V46" s="99">
        <f>SQRT(S46^2+T46^2-S46*T46+3*U46^2)</f>
        <v>221.2624419533708</v>
      </c>
      <c r="W46" s="100">
        <f>(R46/$F$7-V46)</f>
        <v>101.46483077390189</v>
      </c>
      <c r="X46" s="100">
        <f t="shared" si="27"/>
        <v>135.56807358537372</v>
      </c>
      <c r="Y46" s="100">
        <f t="shared" si="28"/>
        <v>735.41640912284447</v>
      </c>
      <c r="Z46" s="100">
        <f t="shared" si="29"/>
        <v>825.62471598088587</v>
      </c>
      <c r="AA46" s="102" t="str">
        <f t="shared" si="30"/>
        <v>OK</v>
      </c>
      <c r="AB46" s="335">
        <f t="shared" si="31"/>
        <v>1.2604171677957561</v>
      </c>
    </row>
    <row r="47" spans="1:28" ht="12" customHeight="1" x14ac:dyDescent="0.45">
      <c r="A47" s="96">
        <v>6</v>
      </c>
      <c r="B47" s="96" t="s">
        <v>277</v>
      </c>
      <c r="C47" s="104" t="s">
        <v>197</v>
      </c>
      <c r="D47" s="97"/>
      <c r="E47" s="305">
        <v>4.5</v>
      </c>
      <c r="F47" s="98">
        <v>8.4</v>
      </c>
      <c r="G47" s="99">
        <v>0</v>
      </c>
      <c r="H47" s="99">
        <v>0</v>
      </c>
      <c r="I47" s="99">
        <v>0</v>
      </c>
      <c r="J47" s="99">
        <f t="shared" si="12"/>
        <v>67.835364999999996</v>
      </c>
      <c r="K47" s="99">
        <v>0</v>
      </c>
      <c r="L47" s="100">
        <f t="shared" si="33"/>
        <v>74.618901500000007</v>
      </c>
      <c r="M47" s="100" cm="1">
        <f t="array" ref="M47">Profile_SM(C47,P47*1000,12)/10^3</f>
        <v>926.93146753714063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4"/>
        <v>221.24607004934174</v>
      </c>
      <c r="T47" s="99">
        <v>0</v>
      </c>
      <c r="U47" s="99">
        <v>11.842965299999999</v>
      </c>
      <c r="V47" s="99">
        <f>SQRT(S47^2+T47^2)</f>
        <v>221.24607004934174</v>
      </c>
      <c r="W47" s="100">
        <f t="shared" ref="W47:W54" si="35">(R47/$F$7-V47)</f>
        <v>101.48120267793095</v>
      </c>
      <c r="X47" s="100">
        <f t="shared" si="27"/>
        <v>135.56807358537372</v>
      </c>
      <c r="Y47" s="100">
        <f t="shared" si="28"/>
        <v>735.29776481676765</v>
      </c>
      <c r="Z47" s="100">
        <f t="shared" si="29"/>
        <v>825.62471598088587</v>
      </c>
      <c r="AA47" s="102" t="str">
        <f t="shared" si="30"/>
        <v>OK</v>
      </c>
      <c r="AB47" s="335">
        <f t="shared" si="31"/>
        <v>1.2606205429825115</v>
      </c>
    </row>
    <row r="48" spans="1:28" ht="12" customHeight="1" x14ac:dyDescent="0.45">
      <c r="A48" s="96">
        <v>7</v>
      </c>
      <c r="B48" s="96" t="s">
        <v>277</v>
      </c>
      <c r="C48" s="104" t="s">
        <v>197</v>
      </c>
      <c r="D48" s="97"/>
      <c r="E48" s="305">
        <v>5.25</v>
      </c>
      <c r="F48" s="98">
        <v>8.4</v>
      </c>
      <c r="G48" s="99">
        <v>0</v>
      </c>
      <c r="H48" s="99">
        <v>0</v>
      </c>
      <c r="I48" s="99">
        <v>0</v>
      </c>
      <c r="J48" s="99">
        <f t="shared" si="12"/>
        <v>67.835364999999996</v>
      </c>
      <c r="K48" s="99">
        <v>0</v>
      </c>
      <c r="L48" s="100">
        <f t="shared" si="33"/>
        <v>74.618901500000007</v>
      </c>
      <c r="M48" s="100" cm="1">
        <f t="array" ref="M48">Profile_SM(C48,P48*1000,12)/10^3</f>
        <v>926.93146753714063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4"/>
        <v>221.24607004934174</v>
      </c>
      <c r="T48" s="99">
        <v>0</v>
      </c>
      <c r="U48" s="99">
        <v>22.131934999999999</v>
      </c>
      <c r="V48" s="99">
        <f>SQRT(S48^2+T48^2)</f>
        <v>221.24607004934174</v>
      </c>
      <c r="W48" s="100">
        <f t="shared" si="35"/>
        <v>101.48120267793095</v>
      </c>
      <c r="X48" s="100">
        <f t="shared" si="27"/>
        <v>135.56807358537372</v>
      </c>
      <c r="Y48" s="100">
        <f t="shared" si="28"/>
        <v>735.29776481676765</v>
      </c>
      <c r="Z48" s="100">
        <f t="shared" si="29"/>
        <v>825.62471598088587</v>
      </c>
      <c r="AA48" s="102" t="str">
        <f t="shared" si="30"/>
        <v>OK</v>
      </c>
      <c r="AB48" s="335">
        <f t="shared" si="31"/>
        <v>1.2606205429825115</v>
      </c>
    </row>
    <row r="49" spans="1:28" ht="12" customHeight="1" x14ac:dyDescent="0.45">
      <c r="A49" s="105">
        <v>8</v>
      </c>
      <c r="B49" s="105" t="s">
        <v>278</v>
      </c>
      <c r="C49" s="106" t="s">
        <v>195</v>
      </c>
      <c r="D49" s="106"/>
      <c r="E49" s="332">
        <v>0</v>
      </c>
      <c r="F49" s="107">
        <v>0.7</v>
      </c>
      <c r="G49" s="108">
        <v>0</v>
      </c>
      <c r="H49" s="108">
        <v>0</v>
      </c>
      <c r="I49" s="108">
        <v>0</v>
      </c>
      <c r="J49" s="108">
        <f t="shared" si="12"/>
        <v>145.26078999999999</v>
      </c>
      <c r="K49" s="108">
        <v>0</v>
      </c>
      <c r="L49" s="109">
        <f t="shared" si="33"/>
        <v>159.786869</v>
      </c>
      <c r="M49" s="109" cm="1">
        <f t="array" ref="M49">Profile_SM(C49,P49*1000,12)/10^3</f>
        <v>482.64811540310143</v>
      </c>
      <c r="N49" s="109" cm="1">
        <f t="array" ref="N49">Profile_ShearArea(C49,P49,12)</f>
        <v>2500</v>
      </c>
      <c r="O49" s="107">
        <v>2</v>
      </c>
      <c r="P49" s="107">
        <v>0.7</v>
      </c>
      <c r="Q49" s="108">
        <v>1</v>
      </c>
      <c r="R49" s="108">
        <v>355</v>
      </c>
      <c r="S49" s="130">
        <f t="shared" si="24"/>
        <v>186.99613924371636</v>
      </c>
      <c r="T49" s="108">
        <v>0</v>
      </c>
      <c r="U49" s="108">
        <v>102.8806201</v>
      </c>
      <c r="V49" s="108">
        <f t="shared" ref="V49:V54" si="36">SQRT(S49^2+T49^2-S49*T49+3*U49^2)</f>
        <v>258.30373994299214</v>
      </c>
      <c r="W49" s="109">
        <f t="shared" si="35"/>
        <v>64.423532784280553</v>
      </c>
      <c r="X49" s="109">
        <f t="shared" si="27"/>
        <v>151.76891936624139</v>
      </c>
      <c r="Y49" s="109">
        <f t="shared" si="28"/>
        <v>578.72645530801947</v>
      </c>
      <c r="Z49" s="109">
        <f t="shared" si="29"/>
        <v>736.98098903957441</v>
      </c>
      <c r="AA49" s="111" t="str">
        <f t="shared" si="30"/>
        <v>N.G</v>
      </c>
      <c r="AB49" s="336">
        <f t="shared" si="31"/>
        <v>0.83398315555873181</v>
      </c>
    </row>
    <row r="50" spans="1:28" ht="12" customHeight="1" x14ac:dyDescent="0.45">
      <c r="A50" s="105">
        <v>9</v>
      </c>
      <c r="B50" s="105" t="s">
        <v>278</v>
      </c>
      <c r="C50" s="106" t="s">
        <v>194</v>
      </c>
      <c r="D50" s="106"/>
      <c r="E50" s="332">
        <v>0</v>
      </c>
      <c r="F50" s="107">
        <f>F49+0.7</f>
        <v>1.4</v>
      </c>
      <c r="G50" s="108">
        <v>0</v>
      </c>
      <c r="H50" s="108">
        <v>0</v>
      </c>
      <c r="I50" s="108">
        <v>0</v>
      </c>
      <c r="J50" s="108">
        <f t="shared" si="12"/>
        <v>138.22211499999997</v>
      </c>
      <c r="K50" s="108">
        <v>0</v>
      </c>
      <c r="L50" s="109">
        <f t="shared" si="33"/>
        <v>152.04432649999998</v>
      </c>
      <c r="M50" s="109" cm="1">
        <f t="array" ref="M50">Profile_SM(C50,P50*1000,12)/10^3</f>
        <v>1516.9758574108816</v>
      </c>
      <c r="N50" s="109" cm="1">
        <f t="array" ref="N50">Profile_ShearArea(C50,P50,12)</f>
        <v>5175</v>
      </c>
      <c r="O50" s="107">
        <v>4</v>
      </c>
      <c r="P50" s="107">
        <v>0.7</v>
      </c>
      <c r="Q50" s="108">
        <v>1</v>
      </c>
      <c r="R50" s="108">
        <v>355</v>
      </c>
      <c r="S50" s="130">
        <f t="shared" si="24"/>
        <v>149.88321112616563</v>
      </c>
      <c r="T50" s="108">
        <v>0</v>
      </c>
      <c r="U50" s="108">
        <v>112.7872694</v>
      </c>
      <c r="V50" s="108">
        <f t="shared" si="36"/>
        <v>246.22729619929481</v>
      </c>
      <c r="W50" s="109">
        <f t="shared" si="35"/>
        <v>76.499976527977879</v>
      </c>
      <c r="X50" s="109">
        <f t="shared" si="27"/>
        <v>164.91293474930814</v>
      </c>
      <c r="Y50" s="109">
        <f t="shared" si="28"/>
        <v>1855.0076027117141</v>
      </c>
      <c r="Z50" s="109">
        <f t="shared" si="29"/>
        <v>1290.7541632412369</v>
      </c>
      <c r="AA50" s="111" t="str">
        <f t="shared" si="30"/>
        <v>N.G</v>
      </c>
      <c r="AB50" s="336">
        <f t="shared" si="31"/>
        <v>0.81777339089786694</v>
      </c>
    </row>
    <row r="51" spans="1:28" ht="12" customHeight="1" x14ac:dyDescent="0.45">
      <c r="A51" s="105">
        <v>10</v>
      </c>
      <c r="B51" s="105" t="s">
        <v>278</v>
      </c>
      <c r="C51" s="106" t="s">
        <v>194</v>
      </c>
      <c r="D51" s="106"/>
      <c r="E51" s="332">
        <v>0</v>
      </c>
      <c r="F51" s="107">
        <f t="shared" ref="F51:F56" si="37">F50+0.7</f>
        <v>2.0999999999999996</v>
      </c>
      <c r="G51" s="108">
        <v>0</v>
      </c>
      <c r="H51" s="108">
        <v>0</v>
      </c>
      <c r="I51" s="108">
        <v>0</v>
      </c>
      <c r="J51" s="108">
        <f t="shared" si="12"/>
        <v>131.18343999999999</v>
      </c>
      <c r="K51" s="108">
        <v>0</v>
      </c>
      <c r="L51" s="109">
        <f t="shared" si="33"/>
        <v>144.301784</v>
      </c>
      <c r="M51" s="109" cm="1">
        <f t="array" ref="M51">Profile_SM(C51,P51*1000,12)/10^3</f>
        <v>1516.9758574108816</v>
      </c>
      <c r="N51" s="109" cm="1">
        <f t="array" ref="N51">Profile_ShearArea(C51,P51,12)</f>
        <v>5175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4"/>
        <v>112.77028300861492</v>
      </c>
      <c r="T51" s="108">
        <v>0</v>
      </c>
      <c r="U51" s="108">
        <v>120.3313127</v>
      </c>
      <c r="V51" s="108">
        <f t="shared" si="36"/>
        <v>236.97259583791254</v>
      </c>
      <c r="W51" s="109">
        <f t="shared" si="35"/>
        <v>85.754676889360155</v>
      </c>
      <c r="X51" s="109">
        <f t="shared" si="27"/>
        <v>174.47525541875171</v>
      </c>
      <c r="Y51" s="109">
        <f t="shared" si="28"/>
        <v>1570.5460034609148</v>
      </c>
      <c r="Z51" s="109">
        <f t="shared" si="29"/>
        <v>1157.8862407459048</v>
      </c>
      <c r="AA51" s="111" t="str">
        <f t="shared" si="30"/>
        <v>N.G</v>
      </c>
      <c r="AB51" s="336">
        <f t="shared" si="31"/>
        <v>0.96589075013913384</v>
      </c>
    </row>
    <row r="52" spans="1:28" ht="12" customHeight="1" x14ac:dyDescent="0.45">
      <c r="A52" s="105">
        <v>11</v>
      </c>
      <c r="B52" s="105" t="s">
        <v>278</v>
      </c>
      <c r="C52" s="106" t="s">
        <v>194</v>
      </c>
      <c r="D52" s="106"/>
      <c r="E52" s="332">
        <v>0</v>
      </c>
      <c r="F52" s="107">
        <f t="shared" si="37"/>
        <v>2.8</v>
      </c>
      <c r="G52" s="108">
        <v>0</v>
      </c>
      <c r="H52" s="108">
        <v>0</v>
      </c>
      <c r="I52" s="108">
        <v>0</v>
      </c>
      <c r="J52" s="108">
        <f t="shared" si="12"/>
        <v>124.14476499999999</v>
      </c>
      <c r="K52" s="108">
        <v>0</v>
      </c>
      <c r="L52" s="109">
        <f t="shared" si="33"/>
        <v>136.55924150000001</v>
      </c>
      <c r="M52" s="109" cm="1">
        <f t="array" ref="M52">Profile_SM(C52,P52*1000,12)/10^3</f>
        <v>1516.9758574108816</v>
      </c>
      <c r="N52" s="109" cm="1">
        <f t="array" ref="N52">Profile_ShearArea(C52,P52,12)</f>
        <v>5175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4"/>
        <v>75.657354891064173</v>
      </c>
      <c r="T52" s="108">
        <v>0</v>
      </c>
      <c r="U52" s="108">
        <v>125.68822489999999</v>
      </c>
      <c r="V52" s="108">
        <f t="shared" si="36"/>
        <v>230.47044275709493</v>
      </c>
      <c r="W52" s="109">
        <f t="shared" si="35"/>
        <v>92.256829970177762</v>
      </c>
      <c r="X52" s="109">
        <f t="shared" si="27"/>
        <v>181.0243657716384</v>
      </c>
      <c r="Y52" s="109">
        <f t="shared" si="28"/>
        <v>1381.5268973350471</v>
      </c>
      <c r="Z52" s="109">
        <f t="shared" si="29"/>
        <v>1056.1171546441246</v>
      </c>
      <c r="AA52" s="111" t="str">
        <f t="shared" si="30"/>
        <v>OK</v>
      </c>
      <c r="AB52" s="336">
        <f t="shared" si="31"/>
        <v>1.0980429409931245</v>
      </c>
    </row>
    <row r="53" spans="1:28" ht="12" customHeight="1" x14ac:dyDescent="0.45">
      <c r="A53" s="105">
        <v>12</v>
      </c>
      <c r="B53" s="105" t="s">
        <v>278</v>
      </c>
      <c r="C53" s="106" t="s">
        <v>202</v>
      </c>
      <c r="D53" s="106"/>
      <c r="E53" s="332">
        <v>0</v>
      </c>
      <c r="F53" s="107">
        <f t="shared" si="37"/>
        <v>3.5</v>
      </c>
      <c r="G53" s="108">
        <v>0</v>
      </c>
      <c r="H53" s="108">
        <v>0</v>
      </c>
      <c r="I53" s="108">
        <v>0</v>
      </c>
      <c r="J53" s="108">
        <f t="shared" si="12"/>
        <v>117.10608999999999</v>
      </c>
      <c r="K53" s="108">
        <v>0</v>
      </c>
      <c r="L53" s="109">
        <f t="shared" si="33"/>
        <v>128.816699</v>
      </c>
      <c r="M53" s="109" cm="1">
        <f t="array" ref="M53">Profile_SM(C53,P53*1000,12)/10^3</f>
        <v>1173.9558953306662</v>
      </c>
      <c r="N53" s="109" cm="1">
        <f t="array" ref="N53">Profile_ShearArea(C53,P53,12)</f>
        <v>5200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4"/>
        <v>38.544426773513429</v>
      </c>
      <c r="T53" s="108">
        <v>0</v>
      </c>
      <c r="U53" s="108">
        <v>130.1707069</v>
      </c>
      <c r="V53" s="108">
        <f t="shared" si="36"/>
        <v>228.73327619704978</v>
      </c>
      <c r="W53" s="109">
        <f t="shared" si="35"/>
        <v>93.993996530222915</v>
      </c>
      <c r="X53" s="109">
        <f t="shared" si="27"/>
        <v>184.88075831839669</v>
      </c>
      <c r="Y53" s="109">
        <f t="shared" si="28"/>
        <v>1279.1127466104515</v>
      </c>
      <c r="Z53" s="109">
        <f t="shared" si="29"/>
        <v>975.45780448075323</v>
      </c>
      <c r="AA53" s="111" t="str">
        <f t="shared" si="30"/>
        <v>N.G</v>
      </c>
      <c r="AB53" s="336">
        <f t="shared" si="31"/>
        <v>0.91778922416460729</v>
      </c>
    </row>
    <row r="54" spans="1:28" ht="12" customHeight="1" x14ac:dyDescent="0.45">
      <c r="A54" s="105">
        <v>13</v>
      </c>
      <c r="B54" s="105" t="s">
        <v>278</v>
      </c>
      <c r="C54" s="106" t="s">
        <v>202</v>
      </c>
      <c r="D54" s="106"/>
      <c r="E54" s="332">
        <v>0</v>
      </c>
      <c r="F54" s="107">
        <f t="shared" si="37"/>
        <v>4.2</v>
      </c>
      <c r="G54" s="108">
        <v>0</v>
      </c>
      <c r="H54" s="108">
        <v>0</v>
      </c>
      <c r="I54" s="108">
        <v>0</v>
      </c>
      <c r="J54" s="108">
        <f t="shared" si="12"/>
        <v>110.067415</v>
      </c>
      <c r="K54" s="108">
        <v>0</v>
      </c>
      <c r="L54" s="109">
        <f t="shared" si="33"/>
        <v>121.0741565</v>
      </c>
      <c r="M54" s="109" cm="1">
        <f t="array" ref="M54">Profile_SM(C54,P54*1000,12)/10^3</f>
        <v>1173.9558953306662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4"/>
        <v>1.4314986559626783</v>
      </c>
      <c r="T54" s="108">
        <v>0</v>
      </c>
      <c r="U54" s="108">
        <v>131.4085092</v>
      </c>
      <c r="V54" s="108">
        <f t="shared" si="36"/>
        <v>227.61071604584325</v>
      </c>
      <c r="W54" s="109">
        <f t="shared" si="35"/>
        <v>95.116556681429444</v>
      </c>
      <c r="X54" s="109">
        <f t="shared" si="27"/>
        <v>186.2118044956417</v>
      </c>
      <c r="Y54" s="109">
        <f t="shared" si="28"/>
        <v>1188.0428603522953</v>
      </c>
      <c r="Z54" s="109">
        <f t="shared" si="29"/>
        <v>910.27429522582838</v>
      </c>
      <c r="AA54" s="111" t="str">
        <f t="shared" si="30"/>
        <v>N.G</v>
      </c>
      <c r="AB54" s="336">
        <f t="shared" si="31"/>
        <v>0.98814271311941404</v>
      </c>
    </row>
    <row r="55" spans="1:28" ht="12" customHeight="1" x14ac:dyDescent="0.45">
      <c r="A55" s="105">
        <v>14</v>
      </c>
      <c r="B55" s="105" t="s">
        <v>278</v>
      </c>
      <c r="C55" s="328" t="s">
        <v>202</v>
      </c>
      <c r="D55" s="329"/>
      <c r="E55" s="332">
        <v>0</v>
      </c>
      <c r="F55" s="107">
        <f t="shared" si="37"/>
        <v>4.9000000000000004</v>
      </c>
      <c r="G55" s="108">
        <v>0</v>
      </c>
      <c r="H55" s="108">
        <v>0</v>
      </c>
      <c r="I55" s="108">
        <v>0</v>
      </c>
      <c r="J55" s="108">
        <f t="shared" si="12"/>
        <v>103.02873999999998</v>
      </c>
      <c r="K55" s="108">
        <v>0</v>
      </c>
      <c r="L55" s="109">
        <f t="shared" si="33"/>
        <v>113.33161399999999</v>
      </c>
      <c r="M55" s="109" cm="1">
        <f t="array" ref="M55">Profile_SM(C55,P55*1000,12)/10^3</f>
        <v>1173.9558953306662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ref="S55" si="38">$M$11/ABS(($M$12/(F55-$M$13)))/1000</f>
        <v>35.681429461588067</v>
      </c>
      <c r="T55" s="108">
        <v>0</v>
      </c>
      <c r="U55" s="108">
        <v>131.4085092</v>
      </c>
      <c r="V55" s="108">
        <f t="shared" ref="V55" si="39">SQRT(S55^2+T55^2-S55*T55+3*U55^2)</f>
        <v>230.38609610591033</v>
      </c>
      <c r="W55" s="109">
        <f t="shared" ref="W55" si="40">(R55/$F$7-V55)</f>
        <v>92.341176621362365</v>
      </c>
      <c r="X55" s="109">
        <f t="shared" ref="X55" si="41">0.577*SQRT((R55/$F$7)^2-S55^2)</f>
        <v>185.0719995418998</v>
      </c>
      <c r="Y55" s="109">
        <f t="shared" ref="Y55" si="42">O55^2*P55*L55*1000000/($F$8*W55*Q55)/10^3</f>
        <v>1145.4930177075114</v>
      </c>
      <c r="Z55" s="109">
        <f t="shared" ref="Z55" si="43">O55*P55*L55*1000/(2*X55)</f>
        <v>857.31099243934432</v>
      </c>
      <c r="AA55" s="111" t="str">
        <f t="shared" ref="AA55" si="44">IF(AND(M55&gt;=Y55,N55&gt;=Z55),"OK","N.G")</f>
        <v>OK</v>
      </c>
      <c r="AB55" s="336">
        <f t="shared" ref="AB55" si="45">M55/Y55</f>
        <v>1.0248477093995019</v>
      </c>
    </row>
    <row r="56" spans="1:28" ht="12" customHeight="1" x14ac:dyDescent="0.45">
      <c r="A56" s="337">
        <v>15</v>
      </c>
      <c r="B56" s="337" t="s">
        <v>278</v>
      </c>
      <c r="C56" s="338" t="s">
        <v>203</v>
      </c>
      <c r="D56" s="339"/>
      <c r="E56" s="340">
        <v>0</v>
      </c>
      <c r="F56" s="341">
        <f t="shared" si="37"/>
        <v>5.6000000000000005</v>
      </c>
      <c r="G56" s="342">
        <v>0</v>
      </c>
      <c r="H56" s="342">
        <v>0</v>
      </c>
      <c r="I56" s="342">
        <v>0</v>
      </c>
      <c r="J56" s="342">
        <f t="shared" si="12"/>
        <v>95.990064999999987</v>
      </c>
      <c r="K56" s="342">
        <v>0</v>
      </c>
      <c r="L56" s="343">
        <f t="shared" si="33"/>
        <v>105.58907149999999</v>
      </c>
      <c r="M56" s="343" cm="1">
        <f t="array" ref="M56">Profile_SM(C56,P56*1000,12)/10^3</f>
        <v>16.8</v>
      </c>
      <c r="N56" s="343" cm="1">
        <f t="array" ref="N56">Profile_ShearArea(C56,P56,12)</f>
        <v>0</v>
      </c>
      <c r="O56" s="341">
        <v>4</v>
      </c>
      <c r="P56" s="341">
        <v>0.7</v>
      </c>
      <c r="Q56" s="342">
        <v>1</v>
      </c>
      <c r="R56" s="342">
        <v>355</v>
      </c>
      <c r="S56" s="344">
        <f t="shared" ref="S56:S59" si="46">$M$11/ABS(($M$12/(F56-$M$13)))/1000</f>
        <v>72.794357579138818</v>
      </c>
      <c r="T56" s="342">
        <v>0</v>
      </c>
      <c r="U56" s="342">
        <v>127.486794</v>
      </c>
      <c r="V56" s="342">
        <f t="shared" ref="V56:V59" si="47">SQRT(S56^2+T56^2-S56*T56+3*U56^2)</f>
        <v>232.50304606295987</v>
      </c>
      <c r="W56" s="343">
        <f t="shared" ref="W56:W59" si="48">(R56/$F$7-V56)</f>
        <v>90.224226664312823</v>
      </c>
      <c r="X56" s="343">
        <f t="shared" ref="X56:X59" si="49">0.577*SQRT((R56/$F$7)^2-S56^2)</f>
        <v>181.41477734497548</v>
      </c>
      <c r="Y56" s="343">
        <f>O56^2*P56*L56*1000000/($F$8*W56*Q56)/10^3</f>
        <v>1092.2764728516859</v>
      </c>
      <c r="Z56" s="343">
        <f>O56*P56*L56*1000/(2*X56)</f>
        <v>814.84376445750524</v>
      </c>
      <c r="AA56" s="337" t="str">
        <f>IF(AND(M56&gt;=Y56,N56&gt;=Z56),"OK","N.G")</f>
        <v>N.G</v>
      </c>
      <c r="AB56" s="345">
        <f>M56/Y56</f>
        <v>1.5380721289490943E-2</v>
      </c>
    </row>
    <row r="57" spans="1:28" ht="12" customHeight="1" x14ac:dyDescent="0.45">
      <c r="A57" s="105">
        <v>16</v>
      </c>
      <c r="B57" s="105" t="s">
        <v>278</v>
      </c>
      <c r="C57" s="106" t="s">
        <v>197</v>
      </c>
      <c r="D57" s="106"/>
      <c r="E57" s="332">
        <v>0</v>
      </c>
      <c r="F57" s="107">
        <v>6.3</v>
      </c>
      <c r="G57" s="108">
        <v>0</v>
      </c>
      <c r="H57" s="108">
        <v>0</v>
      </c>
      <c r="I57" s="108">
        <v>0</v>
      </c>
      <c r="J57" s="108">
        <f t="shared" si="12"/>
        <v>88.951390000000004</v>
      </c>
      <c r="K57" s="108">
        <v>0</v>
      </c>
      <c r="L57" s="109">
        <f t="shared" si="33"/>
        <v>97.846529000000018</v>
      </c>
      <c r="M57" s="109" cm="1">
        <f t="array" ref="M57">Profile_SM(C57,P57*1000,12)/10^3</f>
        <v>921.80062112577377</v>
      </c>
      <c r="N57" s="109" cm="1">
        <f t="array" ref="N57">Profile_ShearArea(C57,P57,12)</f>
        <v>4200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46"/>
        <v>109.9072856966895</v>
      </c>
      <c r="T57" s="108">
        <v>0</v>
      </c>
      <c r="U57" s="108">
        <v>125.3</v>
      </c>
      <c r="V57" s="108">
        <f t="shared" si="47"/>
        <v>243.26915433160394</v>
      </c>
      <c r="W57" s="109">
        <f t="shared" si="48"/>
        <v>79.458118395668748</v>
      </c>
      <c r="X57" s="109">
        <f t="shared" si="49"/>
        <v>175.08245316876645</v>
      </c>
      <c r="Y57" s="109">
        <f>O57^2*P57*L57*1000000/($F$8*W57*Q57)/10^3</f>
        <v>1149.3278334620709</v>
      </c>
      <c r="Z57" s="109">
        <f>O57*P57*L57*1000/(2*X57)</f>
        <v>782.40359396813187</v>
      </c>
      <c r="AA57" s="111" t="str">
        <f>IF(AND(M57&gt;=Y57,N57&gt;=Z57),"OK","N.G")</f>
        <v>N.G</v>
      </c>
      <c r="AB57" s="336">
        <f>M57/Y57</f>
        <v>0.80203454078813474</v>
      </c>
    </row>
    <row r="58" spans="1:28" ht="12" customHeight="1" x14ac:dyDescent="0.45">
      <c r="A58" s="105">
        <v>17</v>
      </c>
      <c r="B58" s="105" t="s">
        <v>278</v>
      </c>
      <c r="C58" s="106" t="s">
        <v>197</v>
      </c>
      <c r="D58" s="106"/>
      <c r="E58" s="332">
        <v>0</v>
      </c>
      <c r="F58" s="107">
        <v>7</v>
      </c>
      <c r="G58" s="108">
        <v>0</v>
      </c>
      <c r="H58" s="108">
        <v>0</v>
      </c>
      <c r="I58" s="108">
        <v>0</v>
      </c>
      <c r="J58" s="108">
        <f t="shared" si="12"/>
        <v>81.912714999999992</v>
      </c>
      <c r="K58" s="108">
        <v>0</v>
      </c>
      <c r="L58" s="109">
        <f t="shared" si="33"/>
        <v>90.103986500000005</v>
      </c>
      <c r="M58" s="109" cm="1">
        <f t="array" ref="M58">Profile_SM(C58,P58*1000,12)/10^3</f>
        <v>921.80062112577377</v>
      </c>
      <c r="N58" s="109" cm="1">
        <f t="array" ref="N58">Profile_ShearArea(C58,P58,12)</f>
        <v>4200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si="46"/>
        <v>147.02021381424026</v>
      </c>
      <c r="T58" s="108">
        <v>0</v>
      </c>
      <c r="U58" s="108">
        <v>119.8</v>
      </c>
      <c r="V58" s="108">
        <f t="shared" si="47"/>
        <v>254.30505946595895</v>
      </c>
      <c r="W58" s="109">
        <f t="shared" si="48"/>
        <v>68.422213261313743</v>
      </c>
      <c r="X58" s="109">
        <f t="shared" si="49"/>
        <v>165.76874530452287</v>
      </c>
      <c r="Y58" s="109">
        <f>O58^2*P58*L58*1000000/($F$8*W58*Q58)/10^3</f>
        <v>1229.0899410910397</v>
      </c>
      <c r="Z58" s="109">
        <f>O58*P58*L58*1000/(2*X58)</f>
        <v>760.9732514308788</v>
      </c>
      <c r="AA58" s="111" t="str">
        <f>IF(AND(M58&gt;=Y58,N58&gt;=Z58),"OK","N.G")</f>
        <v>N.G</v>
      </c>
      <c r="AB58" s="336">
        <f>M58/Y58</f>
        <v>0.74998630312400816</v>
      </c>
    </row>
    <row r="59" spans="1:28" ht="12" customHeight="1" x14ac:dyDescent="0.45">
      <c r="A59" s="105">
        <v>18</v>
      </c>
      <c r="B59" s="105" t="s">
        <v>278</v>
      </c>
      <c r="C59" s="106" t="s">
        <v>199</v>
      </c>
      <c r="D59" s="106"/>
      <c r="E59" s="332">
        <v>0</v>
      </c>
      <c r="F59" s="107">
        <v>7.7</v>
      </c>
      <c r="G59" s="108">
        <v>0</v>
      </c>
      <c r="H59" s="108">
        <v>0</v>
      </c>
      <c r="I59" s="108">
        <v>0</v>
      </c>
      <c r="J59" s="108">
        <f t="shared" si="12"/>
        <v>74.874039999999994</v>
      </c>
      <c r="K59" s="108">
        <v>0</v>
      </c>
      <c r="L59" s="109">
        <f t="shared" si="33"/>
        <v>82.361444000000006</v>
      </c>
      <c r="M59" s="109" cm="1">
        <f t="array" ref="M59">Profile_SM(C59,P59*1000,12)/10^3</f>
        <v>714.81266231145048</v>
      </c>
      <c r="N59" s="109" cm="1">
        <f t="array" ref="N59">Profile_ShearArea(C59,P59,12)</f>
        <v>3900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si="46"/>
        <v>184.13314193179102</v>
      </c>
      <c r="T59" s="108">
        <v>0</v>
      </c>
      <c r="U59" s="108">
        <v>112.5</v>
      </c>
      <c r="V59" s="108">
        <f t="shared" si="47"/>
        <v>268.09282712835324</v>
      </c>
      <c r="W59" s="109">
        <f t="shared" si="48"/>
        <v>54.634445598919456</v>
      </c>
      <c r="X59" s="109">
        <f t="shared" si="49"/>
        <v>152.9299054333535</v>
      </c>
      <c r="Y59" s="109">
        <f>O59^2*P59*L59*1000000/($F$8*W59*Q59)/10^3</f>
        <v>1407.0002948503791</v>
      </c>
      <c r="Z59" s="109">
        <f>O59*P59*L59*1000/(2*X59)</f>
        <v>753.97955209126894</v>
      </c>
      <c r="AA59" s="111" t="str">
        <f>IF(AND(M59&gt;=Y59,N59&gt;=Z59),"OK","N.G")</f>
        <v>N.G</v>
      </c>
      <c r="AB59" s="336">
        <f>M59/Y59</f>
        <v>0.5080401652563008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16">
    <mergeCell ref="AB22:AB23"/>
    <mergeCell ref="C37:D37"/>
    <mergeCell ref="C55:D55"/>
    <mergeCell ref="C38:D38"/>
    <mergeCell ref="C56:D56"/>
    <mergeCell ref="A22:A23"/>
    <mergeCell ref="B22:B23"/>
    <mergeCell ref="C22:D23"/>
    <mergeCell ref="F4:N5"/>
    <mergeCell ref="AA22:AA23"/>
    <mergeCell ref="M11:N11"/>
    <mergeCell ref="M12:N12"/>
    <mergeCell ref="M13:N13"/>
    <mergeCell ref="M14:N14"/>
    <mergeCell ref="M15:N15"/>
    <mergeCell ref="Q22:Q23"/>
  </mergeCells>
  <phoneticPr fontId="5" type="noConversion"/>
  <conditionalFormatting sqref="AA24:AA59">
    <cfRule type="cellIs" dxfId="1" priority="2" operator="equal">
      <formula>"N.G"</formula>
    </cfRule>
  </conditionalFormatting>
  <conditionalFormatting sqref="Z24:Z30">
    <cfRule type="cellIs" dxfId="0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206</v>
      </c>
      <c r="D5" s="55" t="s">
        <v>207</v>
      </c>
      <c r="E5" s="55" t="s">
        <v>208</v>
      </c>
      <c r="F5" s="55" t="s">
        <v>209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Plates(FR#11)</vt:lpstr>
      <vt:lpstr>Stiffeners(FR#0)</vt:lpstr>
      <vt:lpstr>Stiffeners(FR#2)</vt:lpstr>
      <vt:lpstr>Stiffeners(FR#4)</vt:lpstr>
      <vt:lpstr>Stiffeners(FR#6)</vt:lpstr>
      <vt:lpstr>Stiffeners(FR#7+2000)</vt:lpstr>
      <vt:lpstr>Stiffeners(FR#9)</vt:lpstr>
      <vt:lpstr>Stiffeners(FR#11)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2025-06-04T09:29:42Z</dcterms:modified>
  <cp:category/>
  <cp:contentStatus/>
</cp:coreProperties>
</file>