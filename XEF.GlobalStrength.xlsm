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45" windowWidth="15975" windowHeight="10185"/>
  </bookViews>
  <sheets>
    <sheet name="HGDAT" sheetId="11" r:id="rId1"/>
    <sheet name="HGLS" sheetId="1" r:id="rId2"/>
    <sheet name="HGBM(INT)" sheetId="2" state="hidden" r:id="rId3"/>
    <sheet name="HGSF(INT)" sheetId="4" state="hidden" r:id="rId4"/>
    <sheet name="HGBM(FLD)" sheetId="7" state="hidden" r:id="rId5"/>
    <sheet name="HGSF(FLD)" sheetId="8" state="hidden" r:id="rId6"/>
    <sheet name="Sheet1" sheetId="12" r:id="rId7"/>
  </sheets>
  <functionGroups builtInGroupCount="17"/>
  <externalReferences>
    <externalReference r:id="rId8"/>
  </externalReferences>
  <definedNames>
    <definedName name="BMLD">#REF!</definedName>
    <definedName name="Cb">#REF!</definedName>
    <definedName name="DMLD">#REF!</definedName>
    <definedName name="Iy">#REF!</definedName>
    <definedName name="Iz">#REF!</definedName>
    <definedName name="LBP">#REF!</definedName>
    <definedName name="Ls">#REF!</definedName>
    <definedName name="NA">#REF!</definedName>
    <definedName name="_xlnm.Print_Area" localSheetId="1">HGLS!$A$1:$V$45</definedName>
    <definedName name="V">#REF!</definedName>
  </definedNames>
  <calcPr calcId="145621"/>
</workbook>
</file>

<file path=xl/calcChain.xml><?xml version="1.0" encoding="utf-8"?>
<calcChain xmlns="http://schemas.openxmlformats.org/spreadsheetml/2006/main">
  <c r="G8" i="11" l="1"/>
  <c r="H27" i="11"/>
  <c r="H26" i="11"/>
  <c r="B26" i="11"/>
  <c r="O12" i="1"/>
  <c r="N12" i="1"/>
  <c r="U10" i="1"/>
  <c r="U9" i="1"/>
  <c r="E79" i="11"/>
  <c r="E78" i="11"/>
  <c r="E75" i="11"/>
  <c r="B32" i="11"/>
  <c r="B31" i="11"/>
  <c r="B55" i="11"/>
  <c r="B62" i="11"/>
  <c r="C61" i="11"/>
  <c r="C63" i="11"/>
  <c r="C65" i="11"/>
  <c r="C67" i="11"/>
  <c r="C69" i="11"/>
  <c r="C71" i="11"/>
  <c r="C73" i="11"/>
  <c r="C75" i="11"/>
  <c r="C77" i="11"/>
  <c r="C59" i="11"/>
  <c r="F54" i="11"/>
  <c r="F53" i="11"/>
  <c r="F52" i="11"/>
  <c r="F51" i="11"/>
  <c r="F50" i="11"/>
  <c r="F49" i="11"/>
  <c r="D47" i="11"/>
  <c r="N217" i="12"/>
  <c r="D55" i="11" s="1"/>
  <c r="K217" i="12"/>
  <c r="C55" i="11" s="1"/>
  <c r="H217" i="12"/>
  <c r="F55" i="11" s="1"/>
  <c r="E217" i="12"/>
  <c r="E55" i="11" s="1"/>
  <c r="N216" i="12"/>
  <c r="K216" i="12"/>
  <c r="H216" i="12"/>
  <c r="E216" i="12"/>
  <c r="N215" i="12"/>
  <c r="K215" i="12"/>
  <c r="H215" i="12"/>
  <c r="E215" i="12"/>
  <c r="N214" i="12"/>
  <c r="K214" i="12"/>
  <c r="H214" i="12"/>
  <c r="E214" i="12"/>
  <c r="N213" i="12"/>
  <c r="K213" i="12"/>
  <c r="H213" i="12"/>
  <c r="E213" i="12"/>
  <c r="N212" i="12"/>
  <c r="K212" i="12"/>
  <c r="H212" i="12"/>
  <c r="E212" i="12"/>
  <c r="N211" i="12"/>
  <c r="K211" i="12"/>
  <c r="H211" i="12"/>
  <c r="E211" i="12"/>
  <c r="N210" i="12"/>
  <c r="K210" i="12"/>
  <c r="H210" i="12"/>
  <c r="E210" i="12"/>
  <c r="N209" i="12"/>
  <c r="K209" i="12"/>
  <c r="H209" i="12"/>
  <c r="E209" i="12"/>
  <c r="N208" i="12"/>
  <c r="K208" i="12"/>
  <c r="H208" i="12"/>
  <c r="C78" i="11" s="1"/>
  <c r="E208" i="12"/>
  <c r="N207" i="12"/>
  <c r="K207" i="12"/>
  <c r="H207" i="12"/>
  <c r="E207" i="12"/>
  <c r="N206" i="12"/>
  <c r="K206" i="12"/>
  <c r="H206" i="12"/>
  <c r="E206" i="12"/>
  <c r="N205" i="12"/>
  <c r="K205" i="12"/>
  <c r="H205" i="12"/>
  <c r="E205" i="12"/>
  <c r="N204" i="12"/>
  <c r="K204" i="12"/>
  <c r="H204" i="12"/>
  <c r="E204" i="12"/>
  <c r="N203" i="12"/>
  <c r="K203" i="12"/>
  <c r="H203" i="12"/>
  <c r="E203" i="12"/>
  <c r="N202" i="12"/>
  <c r="K202" i="12"/>
  <c r="H202" i="12"/>
  <c r="E202" i="12"/>
  <c r="N201" i="12"/>
  <c r="K201" i="12"/>
  <c r="H201" i="12"/>
  <c r="E201" i="12"/>
  <c r="N200" i="12"/>
  <c r="K200" i="12"/>
  <c r="H200" i="12"/>
  <c r="E200" i="12"/>
  <c r="N199" i="12"/>
  <c r="K199" i="12"/>
  <c r="H199" i="12"/>
  <c r="E199" i="12"/>
  <c r="N198" i="12"/>
  <c r="K198" i="12"/>
  <c r="H198" i="12"/>
  <c r="E198" i="12"/>
  <c r="N197" i="12"/>
  <c r="K197" i="12"/>
  <c r="H197" i="12"/>
  <c r="E197" i="12"/>
  <c r="N196" i="12"/>
  <c r="K196" i="12"/>
  <c r="H196" i="12"/>
  <c r="E196" i="12"/>
  <c r="N195" i="12"/>
  <c r="K195" i="12"/>
  <c r="H195" i="12"/>
  <c r="E195" i="12"/>
  <c r="N194" i="12"/>
  <c r="K194" i="12"/>
  <c r="H194" i="12"/>
  <c r="E194" i="12"/>
  <c r="N193" i="12"/>
  <c r="K193" i="12"/>
  <c r="H193" i="12"/>
  <c r="E193" i="12"/>
  <c r="N192" i="12"/>
  <c r="K192" i="12"/>
  <c r="H192" i="12"/>
  <c r="E192" i="12"/>
  <c r="N191" i="12"/>
  <c r="K191" i="12"/>
  <c r="H191" i="12"/>
  <c r="E191" i="12"/>
  <c r="N190" i="12"/>
  <c r="K190" i="12"/>
  <c r="H190" i="12"/>
  <c r="E190" i="12"/>
  <c r="N189" i="12"/>
  <c r="K189" i="12"/>
  <c r="H189" i="12"/>
  <c r="E189" i="12"/>
  <c r="N188" i="12"/>
  <c r="K188" i="12"/>
  <c r="H188" i="12"/>
  <c r="E188" i="12"/>
  <c r="N187" i="12"/>
  <c r="K187" i="12"/>
  <c r="H187" i="12"/>
  <c r="C76" i="11" s="1"/>
  <c r="E187" i="12"/>
  <c r="N186" i="12"/>
  <c r="K186" i="12"/>
  <c r="H186" i="12"/>
  <c r="E186" i="12"/>
  <c r="N185" i="12"/>
  <c r="K185" i="12"/>
  <c r="H185" i="12"/>
  <c r="E185" i="12"/>
  <c r="N184" i="12"/>
  <c r="K184" i="12"/>
  <c r="H184" i="12"/>
  <c r="E184" i="12"/>
  <c r="N183" i="12"/>
  <c r="K183" i="12"/>
  <c r="H183" i="12"/>
  <c r="E183" i="12"/>
  <c r="N182" i="12"/>
  <c r="K182" i="12"/>
  <c r="H182" i="12"/>
  <c r="E182" i="12"/>
  <c r="N181" i="12"/>
  <c r="K181" i="12"/>
  <c r="H181" i="12"/>
  <c r="E181" i="12"/>
  <c r="N180" i="12"/>
  <c r="K180" i="12"/>
  <c r="H180" i="12"/>
  <c r="E180" i="12"/>
  <c r="N179" i="12"/>
  <c r="K179" i="12"/>
  <c r="H179" i="12"/>
  <c r="E179" i="12"/>
  <c r="N178" i="12"/>
  <c r="K178" i="12"/>
  <c r="H178" i="12"/>
  <c r="E178" i="12"/>
  <c r="N177" i="12"/>
  <c r="K177" i="12"/>
  <c r="H177" i="12"/>
  <c r="E177" i="12"/>
  <c r="N176" i="12"/>
  <c r="K176" i="12"/>
  <c r="H176" i="12"/>
  <c r="E176" i="12"/>
  <c r="N175" i="12"/>
  <c r="K175" i="12"/>
  <c r="H175" i="12"/>
  <c r="E175" i="12"/>
  <c r="N174" i="12"/>
  <c r="K174" i="12"/>
  <c r="H174" i="12"/>
  <c r="E174" i="12"/>
  <c r="N173" i="12"/>
  <c r="K173" i="12"/>
  <c r="H173" i="12"/>
  <c r="E173" i="12"/>
  <c r="N172" i="12"/>
  <c r="K172" i="12"/>
  <c r="H172" i="12"/>
  <c r="E172" i="12"/>
  <c r="N171" i="12"/>
  <c r="K171" i="12"/>
  <c r="H171" i="12"/>
  <c r="E171" i="12"/>
  <c r="N170" i="12"/>
  <c r="K170" i="12"/>
  <c r="H170" i="12"/>
  <c r="E170" i="12"/>
  <c r="N169" i="12"/>
  <c r="K169" i="12"/>
  <c r="H169" i="12"/>
  <c r="E169" i="12"/>
  <c r="N168" i="12"/>
  <c r="K168" i="12"/>
  <c r="H168" i="12"/>
  <c r="E168" i="12"/>
  <c r="N167" i="12"/>
  <c r="K167" i="12"/>
  <c r="H167" i="12"/>
  <c r="E167" i="12"/>
  <c r="N166" i="12"/>
  <c r="K166" i="12"/>
  <c r="H166" i="12"/>
  <c r="E166" i="12"/>
  <c r="N165" i="12"/>
  <c r="K165" i="12"/>
  <c r="H165" i="12"/>
  <c r="C74" i="11" s="1"/>
  <c r="E165" i="12"/>
  <c r="N164" i="12"/>
  <c r="K164" i="12"/>
  <c r="H164" i="12"/>
  <c r="E164" i="12"/>
  <c r="N163" i="12"/>
  <c r="K163" i="12"/>
  <c r="H163" i="12"/>
  <c r="E163" i="12"/>
  <c r="N162" i="12"/>
  <c r="K162" i="12"/>
  <c r="H162" i="12"/>
  <c r="E162" i="12"/>
  <c r="N161" i="12"/>
  <c r="K161" i="12"/>
  <c r="H161" i="12"/>
  <c r="E161" i="12"/>
  <c r="N160" i="12"/>
  <c r="K160" i="12"/>
  <c r="H160" i="12"/>
  <c r="E160" i="12"/>
  <c r="N159" i="12"/>
  <c r="K159" i="12"/>
  <c r="H159" i="12"/>
  <c r="E159" i="12"/>
  <c r="N158" i="12"/>
  <c r="K158" i="12"/>
  <c r="H158" i="12"/>
  <c r="E158" i="12"/>
  <c r="N157" i="12"/>
  <c r="K157" i="12"/>
  <c r="H157" i="12"/>
  <c r="E157" i="12"/>
  <c r="N156" i="12"/>
  <c r="K156" i="12"/>
  <c r="H156" i="12"/>
  <c r="E156" i="12"/>
  <c r="N155" i="12"/>
  <c r="K155" i="12"/>
  <c r="H155" i="12"/>
  <c r="E155" i="12"/>
  <c r="N154" i="12"/>
  <c r="K154" i="12"/>
  <c r="H154" i="12"/>
  <c r="E154" i="12"/>
  <c r="N153" i="12"/>
  <c r="K153" i="12"/>
  <c r="H153" i="12"/>
  <c r="E153" i="12"/>
  <c r="N152" i="12"/>
  <c r="K152" i="12"/>
  <c r="H152" i="12"/>
  <c r="E152" i="12"/>
  <c r="N151" i="12"/>
  <c r="K151" i="12"/>
  <c r="H151" i="12"/>
  <c r="E151" i="12"/>
  <c r="E54" i="11" s="1"/>
  <c r="N150" i="12"/>
  <c r="K150" i="12"/>
  <c r="H150" i="12"/>
  <c r="E150" i="12"/>
  <c r="N149" i="12"/>
  <c r="K149" i="12"/>
  <c r="H149" i="12"/>
  <c r="E149" i="12"/>
  <c r="N148" i="12"/>
  <c r="K148" i="12"/>
  <c r="H148" i="12"/>
  <c r="E148" i="12"/>
  <c r="N147" i="12"/>
  <c r="K147" i="12"/>
  <c r="H147" i="12"/>
  <c r="E147" i="12"/>
  <c r="N146" i="12"/>
  <c r="K146" i="12"/>
  <c r="H146" i="12"/>
  <c r="E146" i="12"/>
  <c r="N145" i="12"/>
  <c r="K145" i="12"/>
  <c r="H145" i="12"/>
  <c r="E145" i="12"/>
  <c r="N144" i="12"/>
  <c r="K144" i="12"/>
  <c r="H144" i="12"/>
  <c r="E144" i="12"/>
  <c r="N143" i="12"/>
  <c r="K143" i="12"/>
  <c r="H143" i="12"/>
  <c r="C72" i="11" s="1"/>
  <c r="E143" i="12"/>
  <c r="N142" i="12"/>
  <c r="K142" i="12"/>
  <c r="H142" i="12"/>
  <c r="E142" i="12"/>
  <c r="N141" i="12"/>
  <c r="K141" i="12"/>
  <c r="H141" i="12"/>
  <c r="E141" i="12"/>
  <c r="N140" i="12"/>
  <c r="K140" i="12"/>
  <c r="H140" i="12"/>
  <c r="E140" i="12"/>
  <c r="N139" i="12"/>
  <c r="K139" i="12"/>
  <c r="H139" i="12"/>
  <c r="E139" i="12"/>
  <c r="N138" i="12"/>
  <c r="K138" i="12"/>
  <c r="H138" i="12"/>
  <c r="E138" i="12"/>
  <c r="N137" i="12"/>
  <c r="K137" i="12"/>
  <c r="H137" i="12"/>
  <c r="E137" i="12"/>
  <c r="N136" i="12"/>
  <c r="K136" i="12"/>
  <c r="H136" i="12"/>
  <c r="E136" i="12"/>
  <c r="N135" i="12"/>
  <c r="K135" i="12"/>
  <c r="H135" i="12"/>
  <c r="E135" i="12"/>
  <c r="E53" i="11" s="1"/>
  <c r="N134" i="12"/>
  <c r="K134" i="12"/>
  <c r="H134" i="12"/>
  <c r="E134" i="12"/>
  <c r="N133" i="12"/>
  <c r="K133" i="12"/>
  <c r="H133" i="12"/>
  <c r="E133" i="12"/>
  <c r="N132" i="12"/>
  <c r="K132" i="12"/>
  <c r="H132" i="12"/>
  <c r="E132" i="12"/>
  <c r="N131" i="12"/>
  <c r="K131" i="12"/>
  <c r="H131" i="12"/>
  <c r="E131" i="12"/>
  <c r="N130" i="12"/>
  <c r="K130" i="12"/>
  <c r="H130" i="12"/>
  <c r="E130" i="12"/>
  <c r="N129" i="12"/>
  <c r="K129" i="12"/>
  <c r="H129" i="12"/>
  <c r="E129" i="12"/>
  <c r="N128" i="12"/>
  <c r="K128" i="12"/>
  <c r="H128" i="12"/>
  <c r="E128" i="12"/>
  <c r="N127" i="12"/>
  <c r="K127" i="12"/>
  <c r="H127" i="12"/>
  <c r="E127" i="12"/>
  <c r="N126" i="12"/>
  <c r="K126" i="12"/>
  <c r="H126" i="12"/>
  <c r="E126" i="12"/>
  <c r="N125" i="12"/>
  <c r="K125" i="12"/>
  <c r="H125" i="12"/>
  <c r="E125" i="12"/>
  <c r="N124" i="12"/>
  <c r="K124" i="12"/>
  <c r="H124" i="12"/>
  <c r="E124" i="12"/>
  <c r="N123" i="12"/>
  <c r="K123" i="12"/>
  <c r="H123" i="12"/>
  <c r="C70" i="11" s="1"/>
  <c r="E123" i="12"/>
  <c r="N122" i="12"/>
  <c r="K122" i="12"/>
  <c r="H122" i="12"/>
  <c r="E122" i="12"/>
  <c r="N121" i="12"/>
  <c r="K121" i="12"/>
  <c r="H121" i="12"/>
  <c r="E121" i="12"/>
  <c r="N120" i="12"/>
  <c r="K120" i="12"/>
  <c r="H120" i="12"/>
  <c r="E120" i="12"/>
  <c r="N119" i="12"/>
  <c r="K119" i="12"/>
  <c r="H119" i="12"/>
  <c r="E119" i="12"/>
  <c r="E52" i="11" s="1"/>
  <c r="N118" i="12"/>
  <c r="K118" i="12"/>
  <c r="H118" i="12"/>
  <c r="E118" i="12"/>
  <c r="N117" i="12"/>
  <c r="K117" i="12"/>
  <c r="H117" i="12"/>
  <c r="E117" i="12"/>
  <c r="N116" i="12"/>
  <c r="K116" i="12"/>
  <c r="H116" i="12"/>
  <c r="E116" i="12"/>
  <c r="N115" i="12"/>
  <c r="K115" i="12"/>
  <c r="H115" i="12"/>
  <c r="E115" i="12"/>
  <c r="N114" i="12"/>
  <c r="K114" i="12"/>
  <c r="H114" i="12"/>
  <c r="E114" i="12"/>
  <c r="N113" i="12"/>
  <c r="K113" i="12"/>
  <c r="H113" i="12"/>
  <c r="E113" i="12"/>
  <c r="N112" i="12"/>
  <c r="K112" i="12"/>
  <c r="H112" i="12"/>
  <c r="E112" i="12"/>
  <c r="N111" i="12"/>
  <c r="K111" i="12"/>
  <c r="H111" i="12"/>
  <c r="E111" i="12"/>
  <c r="N110" i="12"/>
  <c r="K110" i="12"/>
  <c r="H110" i="12"/>
  <c r="E110" i="12"/>
  <c r="N109" i="12"/>
  <c r="K109" i="12"/>
  <c r="H109" i="12"/>
  <c r="E109" i="12"/>
  <c r="N108" i="12"/>
  <c r="K108" i="12"/>
  <c r="H108" i="12"/>
  <c r="E108" i="12"/>
  <c r="N107" i="12"/>
  <c r="K107" i="12"/>
  <c r="H107" i="12"/>
  <c r="E107" i="12"/>
  <c r="N106" i="12"/>
  <c r="K106" i="12"/>
  <c r="H106" i="12"/>
  <c r="E106" i="12"/>
  <c r="N105" i="12"/>
  <c r="K105" i="12"/>
  <c r="H105" i="12"/>
  <c r="E105" i="12"/>
  <c r="N104" i="12"/>
  <c r="K104" i="12"/>
  <c r="H104" i="12"/>
  <c r="E104" i="12"/>
  <c r="N103" i="12"/>
  <c r="K103" i="12"/>
  <c r="H103" i="12"/>
  <c r="E103" i="12"/>
  <c r="E51" i="11" s="1"/>
  <c r="N102" i="12"/>
  <c r="K102" i="12"/>
  <c r="H102" i="12"/>
  <c r="E102" i="12"/>
  <c r="N101" i="12"/>
  <c r="K101" i="12"/>
  <c r="H101" i="12"/>
  <c r="C68" i="11" s="1"/>
  <c r="E101" i="12"/>
  <c r="N100" i="12"/>
  <c r="K100" i="12"/>
  <c r="H100" i="12"/>
  <c r="E100" i="12"/>
  <c r="N99" i="12"/>
  <c r="K99" i="12"/>
  <c r="H99" i="12"/>
  <c r="E99" i="12"/>
  <c r="N98" i="12"/>
  <c r="K98" i="12"/>
  <c r="H98" i="12"/>
  <c r="E98" i="12"/>
  <c r="N97" i="12"/>
  <c r="K97" i="12"/>
  <c r="H97" i="12"/>
  <c r="E97" i="12"/>
  <c r="N96" i="12"/>
  <c r="K96" i="12"/>
  <c r="H96" i="12"/>
  <c r="E96" i="12"/>
  <c r="N95" i="12"/>
  <c r="K95" i="12"/>
  <c r="H95" i="12"/>
  <c r="E95" i="12"/>
  <c r="N94" i="12"/>
  <c r="K94" i="12"/>
  <c r="H94" i="12"/>
  <c r="E94" i="12"/>
  <c r="N93" i="12"/>
  <c r="K93" i="12"/>
  <c r="H93" i="12"/>
  <c r="E93" i="12"/>
  <c r="N92" i="12"/>
  <c r="K92" i="12"/>
  <c r="H92" i="12"/>
  <c r="E92" i="12"/>
  <c r="N91" i="12"/>
  <c r="K91" i="12"/>
  <c r="H91" i="12"/>
  <c r="E91" i="12"/>
  <c r="N90" i="12"/>
  <c r="K90" i="12"/>
  <c r="H90" i="12"/>
  <c r="E90" i="12"/>
  <c r="N89" i="12"/>
  <c r="K89" i="12"/>
  <c r="H89" i="12"/>
  <c r="E89" i="12"/>
  <c r="N88" i="12"/>
  <c r="K88" i="12"/>
  <c r="H88" i="12"/>
  <c r="E88" i="12"/>
  <c r="N87" i="12"/>
  <c r="K87" i="12"/>
  <c r="H87" i="12"/>
  <c r="E87" i="12"/>
  <c r="E50" i="11" s="1"/>
  <c r="N86" i="12"/>
  <c r="K86" i="12"/>
  <c r="H86" i="12"/>
  <c r="E86" i="12"/>
  <c r="N85" i="12"/>
  <c r="K85" i="12"/>
  <c r="H85" i="12"/>
  <c r="E85" i="12"/>
  <c r="N84" i="12"/>
  <c r="K84" i="12"/>
  <c r="H84" i="12"/>
  <c r="E84" i="12"/>
  <c r="N83" i="12"/>
  <c r="K83" i="12"/>
  <c r="H83" i="12"/>
  <c r="E83" i="12"/>
  <c r="N82" i="12"/>
  <c r="K82" i="12"/>
  <c r="H82" i="12"/>
  <c r="E82" i="12"/>
  <c r="N81" i="12"/>
  <c r="K81" i="12"/>
  <c r="H81" i="12"/>
  <c r="E81" i="12"/>
  <c r="N80" i="12"/>
  <c r="K80" i="12"/>
  <c r="H80" i="12"/>
  <c r="C66" i="11" s="1"/>
  <c r="E80" i="12"/>
  <c r="N79" i="12"/>
  <c r="K79" i="12"/>
  <c r="H79" i="12"/>
  <c r="E79" i="12"/>
  <c r="N78" i="12"/>
  <c r="K78" i="12"/>
  <c r="H78" i="12"/>
  <c r="E78" i="12"/>
  <c r="N77" i="12"/>
  <c r="K77" i="12"/>
  <c r="H77" i="12"/>
  <c r="E77" i="12"/>
  <c r="N76" i="12"/>
  <c r="K76" i="12"/>
  <c r="H76" i="12"/>
  <c r="E76" i="12"/>
  <c r="N75" i="12"/>
  <c r="K75" i="12"/>
  <c r="H75" i="12"/>
  <c r="E75" i="12"/>
  <c r="N74" i="12"/>
  <c r="K74" i="12"/>
  <c r="H74" i="12"/>
  <c r="E74" i="12"/>
  <c r="N73" i="12"/>
  <c r="K73" i="12"/>
  <c r="H73" i="12"/>
  <c r="E73" i="12"/>
  <c r="N72" i="12"/>
  <c r="K72" i="12"/>
  <c r="H72" i="12"/>
  <c r="E72" i="12"/>
  <c r="N71" i="12"/>
  <c r="K71" i="12"/>
  <c r="H71" i="12"/>
  <c r="E71" i="12"/>
  <c r="N70" i="12"/>
  <c r="K70" i="12"/>
  <c r="H70" i="12"/>
  <c r="E70" i="12"/>
  <c r="E49" i="11" s="1"/>
  <c r="N69" i="12"/>
  <c r="K69" i="12"/>
  <c r="H69" i="12"/>
  <c r="E69" i="12"/>
  <c r="N68" i="12"/>
  <c r="K68" i="12"/>
  <c r="H68" i="12"/>
  <c r="E68" i="12"/>
  <c r="N67" i="12"/>
  <c r="K67" i="12"/>
  <c r="H67" i="12"/>
  <c r="E67" i="12"/>
  <c r="N66" i="12"/>
  <c r="K66" i="12"/>
  <c r="H66" i="12"/>
  <c r="E66" i="12"/>
  <c r="N65" i="12"/>
  <c r="K65" i="12"/>
  <c r="H65" i="12"/>
  <c r="E65" i="12"/>
  <c r="N64" i="12"/>
  <c r="K64" i="12"/>
  <c r="H64" i="12"/>
  <c r="E64" i="12"/>
  <c r="N63" i="12"/>
  <c r="K63" i="12"/>
  <c r="H63" i="12"/>
  <c r="E63" i="12"/>
  <c r="N62" i="12"/>
  <c r="K62" i="12"/>
  <c r="H62" i="12"/>
  <c r="E62" i="12"/>
  <c r="N61" i="12"/>
  <c r="K61" i="12"/>
  <c r="H61" i="12"/>
  <c r="E61" i="12"/>
  <c r="N60" i="12"/>
  <c r="K60" i="12"/>
  <c r="H60" i="12"/>
  <c r="E60" i="12"/>
  <c r="N59" i="12"/>
  <c r="K59" i="12"/>
  <c r="H59" i="12"/>
  <c r="C64" i="11" s="1"/>
  <c r="E59" i="12"/>
  <c r="N58" i="12"/>
  <c r="K58" i="12"/>
  <c r="H58" i="12"/>
  <c r="E58" i="12"/>
  <c r="N57" i="12"/>
  <c r="K57" i="12"/>
  <c r="H57" i="12"/>
  <c r="E57" i="12"/>
  <c r="N56" i="12"/>
  <c r="K56" i="12"/>
  <c r="H56" i="12"/>
  <c r="E56" i="12"/>
  <c r="N55" i="12"/>
  <c r="K55" i="12"/>
  <c r="H55" i="12"/>
  <c r="E55" i="12"/>
  <c r="N54" i="12"/>
  <c r="K54" i="12"/>
  <c r="H54" i="12"/>
  <c r="E54" i="12"/>
  <c r="N53" i="12"/>
  <c r="K53" i="12"/>
  <c r="H53" i="12"/>
  <c r="E53" i="12"/>
  <c r="N52" i="12"/>
  <c r="K52" i="12"/>
  <c r="H52" i="12"/>
  <c r="E52" i="12"/>
  <c r="N51" i="12"/>
  <c r="K51" i="12"/>
  <c r="H51" i="12"/>
  <c r="E51" i="12"/>
  <c r="N50" i="12"/>
  <c r="K50" i="12"/>
  <c r="H50" i="12"/>
  <c r="E50" i="12"/>
  <c r="N49" i="12"/>
  <c r="K49" i="12"/>
  <c r="H49" i="12"/>
  <c r="E49" i="12"/>
  <c r="N48" i="12"/>
  <c r="K48" i="12"/>
  <c r="H48" i="12"/>
  <c r="E48" i="12"/>
  <c r="N47" i="12"/>
  <c r="K47" i="12"/>
  <c r="H47" i="12"/>
  <c r="E47" i="12"/>
  <c r="N46" i="12"/>
  <c r="K46" i="12"/>
  <c r="H46" i="12"/>
  <c r="E46" i="12"/>
  <c r="N45" i="12"/>
  <c r="K45" i="12"/>
  <c r="H45" i="12"/>
  <c r="E45" i="12"/>
  <c r="N44" i="12"/>
  <c r="K44" i="12"/>
  <c r="H44" i="12"/>
  <c r="E44" i="12"/>
  <c r="N43" i="12"/>
  <c r="K43" i="12"/>
  <c r="H43" i="12"/>
  <c r="E43" i="12"/>
  <c r="N42" i="12"/>
  <c r="K42" i="12"/>
  <c r="H42" i="12"/>
  <c r="E42" i="12"/>
  <c r="N41" i="12"/>
  <c r="K41" i="12"/>
  <c r="H41" i="12"/>
  <c r="E41" i="12"/>
  <c r="N40" i="12"/>
  <c r="K40" i="12"/>
  <c r="H40" i="12"/>
  <c r="E40" i="12"/>
  <c r="N39" i="12"/>
  <c r="K39" i="12"/>
  <c r="H39" i="12"/>
  <c r="C62" i="11" s="1"/>
  <c r="E39" i="12"/>
  <c r="N38" i="12"/>
  <c r="K38" i="12"/>
  <c r="H38" i="12"/>
  <c r="E38" i="12"/>
  <c r="N37" i="12"/>
  <c r="K37" i="12"/>
  <c r="H37" i="12"/>
  <c r="E37" i="12"/>
  <c r="N36" i="12"/>
  <c r="K36" i="12"/>
  <c r="H36" i="12"/>
  <c r="E36" i="12"/>
  <c r="N35" i="12"/>
  <c r="K35" i="12"/>
  <c r="H35" i="12"/>
  <c r="E35" i="12"/>
  <c r="N34" i="12"/>
  <c r="K34" i="12"/>
  <c r="H34" i="12"/>
  <c r="E34" i="12"/>
  <c r="N33" i="12"/>
  <c r="K33" i="12"/>
  <c r="H33" i="12"/>
  <c r="E33" i="12"/>
  <c r="N32" i="12"/>
  <c r="K32" i="12"/>
  <c r="H32" i="12"/>
  <c r="E32" i="12"/>
  <c r="N31" i="12"/>
  <c r="K31" i="12"/>
  <c r="H31" i="12"/>
  <c r="E31" i="12"/>
  <c r="N30" i="12"/>
  <c r="K30" i="12"/>
  <c r="H30" i="12"/>
  <c r="E30" i="12"/>
  <c r="N29" i="12"/>
  <c r="K29" i="12"/>
  <c r="H29" i="12"/>
  <c r="E29" i="12"/>
  <c r="N28" i="12"/>
  <c r="K28" i="12"/>
  <c r="H28" i="12"/>
  <c r="E28" i="12"/>
  <c r="N27" i="12"/>
  <c r="K27" i="12"/>
  <c r="H27" i="12"/>
  <c r="E27" i="12"/>
  <c r="N26" i="12"/>
  <c r="K26" i="12"/>
  <c r="H26" i="12"/>
  <c r="E26" i="12"/>
  <c r="N25" i="12"/>
  <c r="K25" i="12"/>
  <c r="H25" i="12"/>
  <c r="E25" i="12"/>
  <c r="N24" i="12"/>
  <c r="K24" i="12"/>
  <c r="H24" i="12"/>
  <c r="E24" i="12"/>
  <c r="N23" i="12"/>
  <c r="K23" i="12"/>
  <c r="H23" i="12"/>
  <c r="E23" i="12"/>
  <c r="N22" i="12"/>
  <c r="K22" i="12"/>
  <c r="H22" i="12"/>
  <c r="E22" i="12"/>
  <c r="N21" i="12"/>
  <c r="K21" i="12"/>
  <c r="H21" i="12"/>
  <c r="E21" i="12"/>
  <c r="N20" i="12"/>
  <c r="K20" i="12"/>
  <c r="H20" i="12"/>
  <c r="E20" i="12"/>
  <c r="N19" i="12"/>
  <c r="K19" i="12"/>
  <c r="H19" i="12"/>
  <c r="E19" i="12"/>
  <c r="N18" i="12"/>
  <c r="K18" i="12"/>
  <c r="H18" i="12"/>
  <c r="E18" i="12"/>
  <c r="N17" i="12"/>
  <c r="K17" i="12"/>
  <c r="H17" i="12"/>
  <c r="E17" i="12"/>
  <c r="N16" i="12"/>
  <c r="K16" i="12"/>
  <c r="H16" i="12"/>
  <c r="C60" i="11" s="1"/>
  <c r="E16" i="12"/>
  <c r="N15" i="12"/>
  <c r="K15" i="12"/>
  <c r="H15" i="12"/>
  <c r="E15" i="12"/>
  <c r="N14" i="12"/>
  <c r="K14" i="12"/>
  <c r="H14" i="12"/>
  <c r="E14" i="12"/>
  <c r="N13" i="12"/>
  <c r="K13" i="12"/>
  <c r="H13" i="12"/>
  <c r="E13" i="12"/>
  <c r="N12" i="12"/>
  <c r="K12" i="12"/>
  <c r="H12" i="12"/>
  <c r="E12" i="12"/>
  <c r="N11" i="12"/>
  <c r="K11" i="12"/>
  <c r="H11" i="12"/>
  <c r="E11" i="12"/>
  <c r="N10" i="12"/>
  <c r="K10" i="12"/>
  <c r="H10" i="12"/>
  <c r="E10" i="12"/>
  <c r="N9" i="12"/>
  <c r="K9" i="12"/>
  <c r="H9" i="12"/>
  <c r="E9" i="12"/>
  <c r="N8" i="12"/>
  <c r="K8" i="12"/>
  <c r="H8" i="12"/>
  <c r="E8" i="12"/>
  <c r="N7" i="12"/>
  <c r="K7" i="12"/>
  <c r="H7" i="12"/>
  <c r="E7" i="12"/>
  <c r="N6" i="12"/>
  <c r="K6" i="12"/>
  <c r="H6" i="12"/>
  <c r="E6" i="12"/>
  <c r="N5" i="12"/>
  <c r="K5" i="12"/>
  <c r="H5" i="12"/>
  <c r="E5" i="12"/>
  <c r="N4" i="12"/>
  <c r="K4" i="12"/>
  <c r="H4" i="12"/>
  <c r="E4" i="12"/>
  <c r="N3" i="12"/>
  <c r="K3" i="12"/>
  <c r="H3" i="12"/>
  <c r="E3" i="12"/>
  <c r="N2" i="12"/>
  <c r="K2" i="12"/>
  <c r="C47" i="11" s="1"/>
  <c r="H2" i="12"/>
  <c r="F47" i="11" s="1"/>
  <c r="E2" i="12"/>
  <c r="E47" i="11" s="1"/>
  <c r="R12" i="1"/>
  <c r="S12" i="1"/>
  <c r="K12" i="1"/>
  <c r="J12" i="1"/>
  <c r="K9" i="1"/>
  <c r="J9" i="1"/>
  <c r="E64" i="11"/>
  <c r="E63" i="11"/>
  <c r="E61" i="11"/>
  <c r="E60" i="11"/>
  <c r="E68" i="11"/>
  <c r="E67" i="11"/>
  <c r="E66" i="11"/>
  <c r="E70" i="11"/>
  <c r="E71" i="11"/>
  <c r="E73" i="11"/>
  <c r="E74" i="11"/>
  <c r="E77" i="11"/>
  <c r="E76" i="11"/>
  <c r="D27" i="11"/>
  <c r="D26" i="11"/>
  <c r="C12" i="11"/>
  <c r="D31" i="11" l="1"/>
  <c r="J10" i="1"/>
  <c r="K10" i="1"/>
  <c r="J13" i="1"/>
  <c r="K13" i="1"/>
  <c r="U13" i="1"/>
  <c r="U12" i="1"/>
  <c r="T13" i="1"/>
  <c r="D32" i="11"/>
  <c r="C16" i="11"/>
  <c r="F26" i="11" s="1"/>
  <c r="C15" i="11"/>
  <c r="B27" i="11" s="1"/>
  <c r="F27" i="11" s="1"/>
  <c r="B37" i="11"/>
  <c r="B36" i="11"/>
  <c r="E62" i="11"/>
  <c r="E65" i="11"/>
  <c r="E69" i="11"/>
  <c r="E72" i="11"/>
  <c r="E59" i="11"/>
  <c r="B74" i="11"/>
  <c r="B75" i="11"/>
  <c r="B76" i="11"/>
  <c r="B77" i="11"/>
  <c r="B61" i="11"/>
  <c r="B78" i="11"/>
  <c r="B73" i="11"/>
  <c r="B72" i="11"/>
  <c r="B71" i="11"/>
  <c r="B70" i="11"/>
  <c r="B69" i="11"/>
  <c r="B68" i="11"/>
  <c r="B67" i="11"/>
  <c r="B66" i="11"/>
  <c r="B65" i="11"/>
  <c r="B64" i="11"/>
  <c r="B63" i="11"/>
  <c r="B60" i="11"/>
  <c r="B47" i="11" l="1"/>
  <c r="B52" i="11"/>
  <c r="B53" i="11"/>
  <c r="B50" i="11"/>
  <c r="B51" i="11"/>
  <c r="F4" i="1" l="1"/>
  <c r="F3" i="1"/>
  <c r="D12" i="1"/>
  <c r="E4" i="1"/>
  <c r="E3" i="1"/>
  <c r="I10" i="1"/>
  <c r="I13" i="1"/>
  <c r="H13" i="1"/>
  <c r="I9" i="1"/>
  <c r="I12" i="1"/>
  <c r="H12" i="1"/>
  <c r="H10" i="1"/>
  <c r="H9" i="1"/>
  <c r="L13" i="1" l="1"/>
  <c r="M13" i="1"/>
  <c r="L12" i="1"/>
  <c r="M12" i="1"/>
  <c r="F31" i="11"/>
  <c r="D36" i="11"/>
  <c r="D37" i="11"/>
  <c r="F32" i="11"/>
  <c r="P12" i="1"/>
  <c r="F37" i="11" l="1"/>
  <c r="F36" i="11"/>
  <c r="D9" i="1" l="1"/>
  <c r="S9" i="1"/>
  <c r="R9" i="1"/>
  <c r="L9" i="1" l="1"/>
  <c r="L10" i="1" l="1"/>
  <c r="M10" i="1" l="1"/>
  <c r="T12" i="1" l="1"/>
  <c r="T10" i="1"/>
  <c r="M9" i="1"/>
  <c r="P9" i="1"/>
  <c r="T9" i="1" l="1"/>
</calcChain>
</file>

<file path=xl/sharedStrings.xml><?xml version="1.0" encoding="utf-8"?>
<sst xmlns="http://schemas.openxmlformats.org/spreadsheetml/2006/main" count="138" uniqueCount="86">
  <si>
    <t>Ls</t>
    <phoneticPr fontId="1" type="noConversion"/>
  </si>
  <si>
    <t>B(MLD.)</t>
    <phoneticPr fontId="1" type="noConversion"/>
  </si>
  <si>
    <t>D</t>
    <phoneticPr fontId="1" type="noConversion"/>
  </si>
  <si>
    <t>Cb</t>
    <phoneticPr fontId="1" type="noConversion"/>
  </si>
  <si>
    <t>TOTAL</t>
    <phoneticPr fontId="1" type="noConversion"/>
  </si>
  <si>
    <t>NORMAL STRESS</t>
    <phoneticPr fontId="1" type="noConversion"/>
  </si>
  <si>
    <t>BOTTOM(m3)</t>
    <phoneticPr fontId="1" type="noConversion"/>
  </si>
  <si>
    <t>Distance from A.E. Xs(m)</t>
    <phoneticPr fontId="1" type="noConversion"/>
  </si>
  <si>
    <t>HOGGING
(KN-m)</t>
    <phoneticPr fontId="1" type="noConversion"/>
  </si>
  <si>
    <t>k
(BTM)</t>
    <phoneticPr fontId="1" type="noConversion"/>
  </si>
  <si>
    <t>m</t>
    <phoneticPr fontId="1" type="noConversion"/>
  </si>
  <si>
    <t>SUMMARY OF HULL GIRDER PROPERTIES</t>
    <phoneticPr fontId="1" type="noConversion"/>
  </si>
  <si>
    <t>L.B.P.</t>
    <phoneticPr fontId="1" type="noConversion"/>
  </si>
  <si>
    <t>fp</t>
    <phoneticPr fontId="1" type="noConversion"/>
  </si>
  <si>
    <t>C</t>
    <phoneticPr fontId="1" type="noConversion"/>
  </si>
  <si>
    <t>kN-m</t>
    <phoneticPr fontId="1" type="noConversion"/>
  </si>
  <si>
    <t>No</t>
    <phoneticPr fontId="1" type="noConversion"/>
  </si>
  <si>
    <t>k
(upp.)</t>
    <phoneticPr fontId="1" type="noConversion"/>
  </si>
  <si>
    <t>SECTION MODULUS</t>
    <phoneticPr fontId="1" type="noConversion"/>
  </si>
  <si>
    <t>ALLOWABLE STRESS</t>
    <phoneticPr fontId="1" type="noConversion"/>
  </si>
  <si>
    <t>SAGGING
(KN-m)</t>
    <phoneticPr fontId="1" type="noConversion"/>
  </si>
  <si>
    <t>DECK(m3)</t>
    <phoneticPr fontId="1" type="noConversion"/>
  </si>
  <si>
    <t>description</t>
    <phoneticPr fontId="1" type="noConversion"/>
  </si>
  <si>
    <t>Intact</t>
    <phoneticPr fontId="1" type="noConversion"/>
  </si>
  <si>
    <t>Flooded</t>
    <phoneticPr fontId="1" type="noConversion"/>
  </si>
  <si>
    <t>Harbour</t>
    <phoneticPr fontId="1" type="noConversion"/>
  </si>
  <si>
    <t>VWBM</t>
    <phoneticPr fontId="1" type="noConversion"/>
  </si>
  <si>
    <t>SWBM</t>
    <phoneticPr fontId="1" type="noConversion"/>
  </si>
  <si>
    <t>σ1_DK</t>
    <phoneticPr fontId="1" type="noConversion"/>
  </si>
  <si>
    <t>σ1_BTM</t>
    <phoneticPr fontId="1" type="noConversion"/>
  </si>
  <si>
    <t>σ_all
(DK)</t>
    <phoneticPr fontId="1" type="noConversion"/>
  </si>
  <si>
    <t>σ_all
(BTM)</t>
    <phoneticPr fontId="1" type="noConversion"/>
  </si>
  <si>
    <t>Deck</t>
    <phoneticPr fontId="1" type="noConversion"/>
  </si>
  <si>
    <t>Bottom</t>
    <phoneticPr fontId="1" type="noConversion"/>
  </si>
  <si>
    <t>Criteria</t>
    <phoneticPr fontId="1" type="noConversion"/>
  </si>
  <si>
    <t>FR.179</t>
    <phoneticPr fontId="1" type="noConversion"/>
  </si>
  <si>
    <t>Max. Bending Moment for Hogging</t>
    <phoneticPr fontId="1" type="noConversion"/>
  </si>
  <si>
    <t>Max. Bending Moment for Sagging</t>
    <phoneticPr fontId="1" type="noConversion"/>
  </si>
  <si>
    <t>X</t>
    <phoneticPr fontId="1" type="noConversion"/>
  </si>
  <si>
    <t>Maximum Hull Girder Still Water Bending Moment at Frame (Hogging)</t>
    <phoneticPr fontId="1" type="noConversion"/>
  </si>
  <si>
    <t>Total</t>
    <phoneticPr fontId="1" type="noConversion"/>
  </si>
  <si>
    <t>Wave</t>
    <phoneticPr fontId="1" type="noConversion"/>
  </si>
  <si>
    <t xml:space="preserve">Still Water </t>
    <phoneticPr fontId="1" type="noConversion"/>
  </si>
  <si>
    <t>)</t>
    <phoneticPr fontId="1" type="noConversion"/>
  </si>
  <si>
    <t>(      Design Margin :</t>
    <phoneticPr fontId="1" type="noConversion"/>
  </si>
  <si>
    <t>Flooded Condition</t>
    <phoneticPr fontId="1" type="noConversion"/>
  </si>
  <si>
    <t>Intact Condition</t>
    <phoneticPr fontId="1" type="noConversion"/>
  </si>
  <si>
    <t>Sagging</t>
    <phoneticPr fontId="1" type="noConversion"/>
  </si>
  <si>
    <t>Hogging</t>
    <phoneticPr fontId="1" type="noConversion"/>
  </si>
  <si>
    <t>Harbour Condition</t>
    <phoneticPr fontId="1" type="noConversion"/>
  </si>
  <si>
    <t>Harbour</t>
    <phoneticPr fontId="1" type="noConversion"/>
  </si>
  <si>
    <t>Flooding</t>
    <phoneticPr fontId="1" type="noConversion"/>
  </si>
  <si>
    <t>Intact</t>
    <phoneticPr fontId="1" type="noConversion"/>
  </si>
  <si>
    <t>FR.117</t>
    <phoneticPr fontId="1" type="noConversion"/>
  </si>
  <si>
    <t>FR#</t>
    <phoneticPr fontId="1" type="noConversion"/>
  </si>
  <si>
    <t>Maximum Actual Hull Girder Still Water Bending Moments (ton-m)</t>
    <phoneticPr fontId="1" type="noConversion"/>
  </si>
  <si>
    <t>Maximum Design Hull Girder Still Water Bending Moments (kN-m)</t>
    <phoneticPr fontId="1" type="noConversion"/>
  </si>
  <si>
    <t>LC.1</t>
    <phoneticPr fontId="1" type="noConversion"/>
  </si>
  <si>
    <t>LC.2</t>
    <phoneticPr fontId="1" type="noConversion"/>
  </si>
  <si>
    <t>LC.4</t>
    <phoneticPr fontId="1" type="noConversion"/>
  </si>
  <si>
    <t>LC.3</t>
    <phoneticPr fontId="1" type="noConversion"/>
  </si>
  <si>
    <t>LC.4  ▶   Heavy Ballast Condition</t>
    <phoneticPr fontId="1" type="noConversion"/>
  </si>
  <si>
    <t>LC.3  ▶   Normal Ballast Condition</t>
    <phoneticPr fontId="1" type="noConversion"/>
  </si>
  <si>
    <t>LC.1  ▶   Homogenous Loading Condition</t>
    <phoneticPr fontId="1" type="noConversion"/>
  </si>
  <si>
    <t>LC.2  ▶   Alternate Loading Condition</t>
    <phoneticPr fontId="1" type="noConversion"/>
  </si>
  <si>
    <t>Typical Loading Condition for Fatigue</t>
    <phoneticPr fontId="1" type="noConversion"/>
  </si>
  <si>
    <t>F.P</t>
    <phoneticPr fontId="1" type="noConversion"/>
  </si>
  <si>
    <t>Harbour</t>
    <phoneticPr fontId="1" type="noConversion"/>
  </si>
  <si>
    <t>03) NORMAL BALLAST COND. DEP.</t>
  </si>
  <si>
    <t>4) NORMAL BALLAST COND. ARR.</t>
  </si>
  <si>
    <t>05) HEAVY BALLAST COND. DEP.</t>
  </si>
  <si>
    <t>06) HEAVY BALLAST COND. ARR.</t>
  </si>
  <si>
    <t>09) HOMO. SCANT. LOADED COND. DEP. (S.F.= 52.87)</t>
  </si>
  <si>
    <t>10) HOMO. SCANT. LOADED COND. ARR. (S.F.= 52.87)</t>
  </si>
  <si>
    <t>21) ALTERNATE CARGO HOLD LOADING COND. DEP. (S.G.= 3.0)</t>
  </si>
  <si>
    <t>22) ALTERNATE CARGO HOLD LOADING COND. ARR. (S.G.= 3.0)</t>
  </si>
  <si>
    <t>NORMAL BALLAST</t>
    <phoneticPr fontId="1" type="noConversion"/>
  </si>
  <si>
    <t>HEAVY BALLAST</t>
    <phoneticPr fontId="1" type="noConversion"/>
  </si>
  <si>
    <t>HOMO. SCANT.</t>
    <phoneticPr fontId="1" type="noConversion"/>
  </si>
  <si>
    <t>ALTERNATE CARGO HOLD LOADING</t>
    <phoneticPr fontId="1" type="noConversion"/>
  </si>
  <si>
    <t>Minimum Still Water Bending Moments</t>
    <phoneticPr fontId="1" type="noConversion"/>
  </si>
  <si>
    <t>Sagging</t>
    <phoneticPr fontId="1" type="noConversion"/>
  </si>
  <si>
    <t>Hogging</t>
    <phoneticPr fontId="1" type="noConversion"/>
  </si>
  <si>
    <t>kN-m</t>
    <phoneticPr fontId="1" type="noConversion"/>
  </si>
  <si>
    <t>Total</t>
    <phoneticPr fontId="1" type="noConversion"/>
  </si>
  <si>
    <t>Draft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</si>
</sst>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76" formatCode="0.000_ "/>
    <numFmt numFmtId="177" formatCode="#,##0_ "/>
    <numFmt numFmtId="178" formatCode="0.0_ "/>
    <numFmt numFmtId="179" formatCode="0_ "/>
    <numFmt numFmtId="180" formatCode="#,##0.0_ "/>
    <numFmt numFmtId="181" formatCode="0.0%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7" applyProtection="0">
      <alignment horizontal="center" vertical="center"/>
    </xf>
    <xf numFmtId="0" fontId="7" fillId="0" borderId="0">
      <alignment vertical="center"/>
    </xf>
  </cellStyleXfs>
  <cellXfs count="7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0" borderId="5" xfId="0" applyNumberFormat="1" applyFont="1" applyBorder="1" applyAlignment="1">
      <alignment horizontal="center" vertical="center"/>
    </xf>
    <xf numFmtId="177" fontId="3" fillId="3" borderId="3" xfId="0" applyNumberFormat="1" applyFont="1" applyFill="1" applyBorder="1" applyAlignment="1">
      <alignment vertical="center"/>
    </xf>
    <xf numFmtId="177" fontId="3" fillId="3" borderId="4" xfId="0" applyNumberFormat="1" applyFont="1" applyFill="1" applyBorder="1" applyAlignment="1">
      <alignment vertical="center"/>
    </xf>
    <xf numFmtId="177" fontId="3" fillId="3" borderId="5" xfId="0" applyNumberFormat="1" applyFont="1" applyFill="1" applyBorder="1" applyAlignment="1">
      <alignment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4" xfId="0" applyNumberFormat="1" applyFont="1" applyFill="1" applyBorder="1" applyAlignment="1">
      <alignment horizontal="center" vertical="center"/>
    </xf>
    <xf numFmtId="176" fontId="3" fillId="3" borderId="5" xfId="0" applyNumberFormat="1" applyFont="1" applyFill="1" applyBorder="1" applyAlignment="1">
      <alignment horizontal="center" vertical="center"/>
    </xf>
    <xf numFmtId="177" fontId="3" fillId="0" borderId="0" xfId="2" applyNumberFormat="1" applyFont="1">
      <alignment vertical="center"/>
    </xf>
    <xf numFmtId="9" fontId="3" fillId="3" borderId="3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3" borderId="5" xfId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77" fontId="3" fillId="3" borderId="4" xfId="2" applyNumberFormat="1" applyFont="1" applyFill="1" applyBorder="1" applyAlignment="1">
      <alignment vertical="center"/>
    </xf>
    <xf numFmtId="0" fontId="3" fillId="3" borderId="5" xfId="0" applyFont="1" applyFill="1" applyBorder="1" applyAlignment="1">
      <alignment horizontal="center" vertical="center"/>
    </xf>
    <xf numFmtId="177" fontId="3" fillId="3" borderId="5" xfId="2" applyNumberFormat="1" applyFont="1" applyFill="1" applyBorder="1" applyAlignme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 wrapText="1"/>
    </xf>
    <xf numFmtId="179" fontId="6" fillId="0" borderId="0" xfId="0" applyNumberFormat="1" applyFont="1">
      <alignment vertical="center"/>
    </xf>
    <xf numFmtId="0" fontId="6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0" xfId="0" applyFont="1" applyAlignment="1">
      <alignment horizontal="left" vertical="center" indent="3"/>
    </xf>
    <xf numFmtId="0" fontId="3" fillId="0" borderId="0" xfId="0" applyFont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77" fontId="3" fillId="0" borderId="0" xfId="2" applyNumberFormat="1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181" fontId="3" fillId="3" borderId="4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77" fontId="6" fillId="0" borderId="0" xfId="2" applyNumberFormat="1" applyFont="1">
      <alignment vertical="center"/>
    </xf>
    <xf numFmtId="177" fontId="6" fillId="0" borderId="0" xfId="0" applyNumberFormat="1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79" fontId="3" fillId="0" borderId="1" xfId="0" applyNumberFormat="1" applyFont="1" applyBorder="1">
      <alignment vertical="center"/>
    </xf>
    <xf numFmtId="179" fontId="3" fillId="0" borderId="1" xfId="0" applyNumberFormat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3" fillId="0" borderId="1" xfId="0" applyFont="1" applyFill="1" applyBorder="1" applyAlignment="1">
      <alignment horizontal="center" vertical="center"/>
    </xf>
    <xf numFmtId="177" fontId="3" fillId="0" borderId="0" xfId="0" applyNumberFormat="1" applyFont="1">
      <alignment vertical="center"/>
    </xf>
    <xf numFmtId="0" fontId="2" fillId="4" borderId="0" xfId="0" applyFont="1" applyFill="1" applyAlignment="1">
      <alignment horizontal="center" vertical="center" wrapText="1"/>
    </xf>
    <xf numFmtId="177" fontId="3" fillId="4" borderId="0" xfId="2" applyNumberFormat="1" applyFont="1" applyFill="1">
      <alignment vertical="center"/>
    </xf>
    <xf numFmtId="0" fontId="3" fillId="4" borderId="0" xfId="0" applyFont="1" applyFill="1">
      <alignment vertical="center"/>
    </xf>
    <xf numFmtId="176" fontId="6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3" borderId="1" xfId="2" applyNumberFormat="1" applyFont="1" applyFill="1" applyBorder="1" applyAlignment="1">
      <alignment horizontal="center" vertical="center"/>
    </xf>
    <xf numFmtId="180" fontId="3" fillId="3" borderId="1" xfId="2" applyNumberFormat="1" applyFont="1" applyFill="1" applyBorder="1" applyAlignment="1">
      <alignment horizontal="center" vertical="center"/>
    </xf>
    <xf numFmtId="177" fontId="3" fillId="0" borderId="1" xfId="2" applyNumberFormat="1" applyFont="1" applyBorder="1" applyAlignment="1">
      <alignment horizontal="center" vertical="center"/>
    </xf>
    <xf numFmtId="177" fontId="3" fillId="0" borderId="1" xfId="2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0" borderId="3" xfId="0" applyNumberFormat="1" applyFont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4" xfId="0" applyNumberFormat="1" applyFont="1" applyFill="1" applyBorder="1" applyAlignment="1">
      <alignment horizontal="center" vertical="center"/>
    </xf>
    <xf numFmtId="178" fontId="3" fillId="3" borderId="5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41" fontId="3" fillId="0" borderId="0" xfId="2" applyFont="1">
      <alignment vertical="center"/>
    </xf>
  </cellXfs>
  <cellStyles count="5">
    <cellStyle name="백분율" xfId="1" builtinId="5"/>
    <cellStyle name="쉼표 [0]" xfId="2" builtinId="6"/>
    <cellStyle name="스타일 1" xfId="3"/>
    <cellStyle name="표준" xfId="0" builtinId="0"/>
    <cellStyle name="표준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ko-KR" sz="1100"/>
              <a:t>Homo.</a:t>
            </a:r>
            <a:r>
              <a:rPr lang="en-US" altLang="ko-KR" sz="1100" baseline="0"/>
              <a:t> Scant. Loaded</a:t>
            </a:r>
            <a:endParaRPr lang="ko-KR" altLang="en-US" sz="11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Sheet1!$K$1</c:f>
              <c:strCache>
                <c:ptCount val="1"/>
                <c:pt idx="0">
                  <c:v>HOMO. SCANT.</c:v>
                </c:pt>
              </c:strCache>
            </c:strRef>
          </c:tx>
          <c:marker>
            <c:symbol val="none"/>
          </c:marker>
          <c:xVal>
            <c:numRef>
              <c:f>Sheet1!$A$2:$A$217</c:f>
              <c:numCache>
                <c:formatCode>General</c:formatCode>
                <c:ptCount val="216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</c:v>
                </c:pt>
                <c:pt idx="9">
                  <c:v>6.3</c:v>
                </c:pt>
                <c:pt idx="10">
                  <c:v>7</c:v>
                </c:pt>
                <c:pt idx="11">
                  <c:v>7.7</c:v>
                </c:pt>
                <c:pt idx="12">
                  <c:v>8.4</c:v>
                </c:pt>
                <c:pt idx="13">
                  <c:v>9.1999999999999993</c:v>
                </c:pt>
                <c:pt idx="14">
                  <c:v>10</c:v>
                </c:pt>
                <c:pt idx="15">
                  <c:v>10.8</c:v>
                </c:pt>
                <c:pt idx="16">
                  <c:v>11.6</c:v>
                </c:pt>
                <c:pt idx="17">
                  <c:v>12.4</c:v>
                </c:pt>
                <c:pt idx="18">
                  <c:v>13.2</c:v>
                </c:pt>
                <c:pt idx="19">
                  <c:v>14</c:v>
                </c:pt>
                <c:pt idx="20">
                  <c:v>14.8</c:v>
                </c:pt>
                <c:pt idx="21">
                  <c:v>15.6</c:v>
                </c:pt>
                <c:pt idx="22">
                  <c:v>16.399999999999999</c:v>
                </c:pt>
                <c:pt idx="23">
                  <c:v>17.2</c:v>
                </c:pt>
                <c:pt idx="24">
                  <c:v>18</c:v>
                </c:pt>
                <c:pt idx="25">
                  <c:v>18.8</c:v>
                </c:pt>
                <c:pt idx="26">
                  <c:v>19.600000000000001</c:v>
                </c:pt>
                <c:pt idx="27">
                  <c:v>20.399999999999999</c:v>
                </c:pt>
                <c:pt idx="28">
                  <c:v>21.2</c:v>
                </c:pt>
                <c:pt idx="29">
                  <c:v>22</c:v>
                </c:pt>
                <c:pt idx="30">
                  <c:v>22.8</c:v>
                </c:pt>
                <c:pt idx="31">
                  <c:v>23.6</c:v>
                </c:pt>
                <c:pt idx="32">
                  <c:v>24.4</c:v>
                </c:pt>
                <c:pt idx="33">
                  <c:v>25.2</c:v>
                </c:pt>
                <c:pt idx="34">
                  <c:v>26</c:v>
                </c:pt>
                <c:pt idx="35">
                  <c:v>26.8</c:v>
                </c:pt>
                <c:pt idx="36">
                  <c:v>27.6</c:v>
                </c:pt>
                <c:pt idx="37">
                  <c:v>28.4</c:v>
                </c:pt>
                <c:pt idx="38">
                  <c:v>29.2</c:v>
                </c:pt>
                <c:pt idx="39">
                  <c:v>30</c:v>
                </c:pt>
                <c:pt idx="40">
                  <c:v>30.8</c:v>
                </c:pt>
                <c:pt idx="41">
                  <c:v>31.6</c:v>
                </c:pt>
                <c:pt idx="42">
                  <c:v>32.4</c:v>
                </c:pt>
                <c:pt idx="43">
                  <c:v>33.200000000000003</c:v>
                </c:pt>
                <c:pt idx="44">
                  <c:v>34</c:v>
                </c:pt>
                <c:pt idx="45">
                  <c:v>34.799999999999997</c:v>
                </c:pt>
                <c:pt idx="46">
                  <c:v>35.6</c:v>
                </c:pt>
                <c:pt idx="47">
                  <c:v>36.4</c:v>
                </c:pt>
                <c:pt idx="48">
                  <c:v>37.200000000000003</c:v>
                </c:pt>
                <c:pt idx="49">
                  <c:v>38</c:v>
                </c:pt>
                <c:pt idx="50">
                  <c:v>38.799999999999997</c:v>
                </c:pt>
                <c:pt idx="51">
                  <c:v>39.6</c:v>
                </c:pt>
                <c:pt idx="52">
                  <c:v>40.4</c:v>
                </c:pt>
                <c:pt idx="53">
                  <c:v>41.2</c:v>
                </c:pt>
                <c:pt idx="54">
                  <c:v>42</c:v>
                </c:pt>
                <c:pt idx="55">
                  <c:v>42.8</c:v>
                </c:pt>
                <c:pt idx="56">
                  <c:v>43.6</c:v>
                </c:pt>
                <c:pt idx="57">
                  <c:v>44.4</c:v>
                </c:pt>
                <c:pt idx="58">
                  <c:v>45.2</c:v>
                </c:pt>
                <c:pt idx="59">
                  <c:v>46</c:v>
                </c:pt>
                <c:pt idx="60">
                  <c:v>46.8</c:v>
                </c:pt>
                <c:pt idx="61">
                  <c:v>47.6</c:v>
                </c:pt>
                <c:pt idx="62">
                  <c:v>48.4</c:v>
                </c:pt>
                <c:pt idx="63">
                  <c:v>49.2</c:v>
                </c:pt>
                <c:pt idx="64">
                  <c:v>50</c:v>
                </c:pt>
                <c:pt idx="65">
                  <c:v>50.8</c:v>
                </c:pt>
                <c:pt idx="66">
                  <c:v>51.6</c:v>
                </c:pt>
                <c:pt idx="67">
                  <c:v>52.4</c:v>
                </c:pt>
                <c:pt idx="68">
                  <c:v>53.2</c:v>
                </c:pt>
                <c:pt idx="69">
                  <c:v>54</c:v>
                </c:pt>
                <c:pt idx="70">
                  <c:v>54.8</c:v>
                </c:pt>
                <c:pt idx="71">
                  <c:v>55.6</c:v>
                </c:pt>
                <c:pt idx="72">
                  <c:v>56.4</c:v>
                </c:pt>
                <c:pt idx="73">
                  <c:v>57.2</c:v>
                </c:pt>
                <c:pt idx="74">
                  <c:v>58</c:v>
                </c:pt>
                <c:pt idx="75">
                  <c:v>58.8</c:v>
                </c:pt>
                <c:pt idx="76">
                  <c:v>59.6</c:v>
                </c:pt>
                <c:pt idx="77">
                  <c:v>60.4</c:v>
                </c:pt>
                <c:pt idx="78">
                  <c:v>61.2</c:v>
                </c:pt>
                <c:pt idx="79">
                  <c:v>62</c:v>
                </c:pt>
                <c:pt idx="80">
                  <c:v>62.8</c:v>
                </c:pt>
                <c:pt idx="81">
                  <c:v>63.6</c:v>
                </c:pt>
                <c:pt idx="82">
                  <c:v>64.400000000000006</c:v>
                </c:pt>
                <c:pt idx="83">
                  <c:v>65.2</c:v>
                </c:pt>
                <c:pt idx="84">
                  <c:v>66</c:v>
                </c:pt>
                <c:pt idx="85">
                  <c:v>66.8</c:v>
                </c:pt>
                <c:pt idx="86">
                  <c:v>67.599999999999994</c:v>
                </c:pt>
                <c:pt idx="87">
                  <c:v>68.400000000000006</c:v>
                </c:pt>
                <c:pt idx="88">
                  <c:v>69.2</c:v>
                </c:pt>
                <c:pt idx="89">
                  <c:v>70</c:v>
                </c:pt>
                <c:pt idx="90">
                  <c:v>70.8</c:v>
                </c:pt>
                <c:pt idx="91">
                  <c:v>71.599999999999994</c:v>
                </c:pt>
                <c:pt idx="92">
                  <c:v>72.400000000000006</c:v>
                </c:pt>
                <c:pt idx="93">
                  <c:v>73.2</c:v>
                </c:pt>
                <c:pt idx="94">
                  <c:v>74</c:v>
                </c:pt>
                <c:pt idx="95">
                  <c:v>74.8</c:v>
                </c:pt>
                <c:pt idx="96">
                  <c:v>75.599999999999994</c:v>
                </c:pt>
                <c:pt idx="97">
                  <c:v>76.400000000000006</c:v>
                </c:pt>
                <c:pt idx="98">
                  <c:v>77.2</c:v>
                </c:pt>
                <c:pt idx="99">
                  <c:v>78</c:v>
                </c:pt>
                <c:pt idx="100">
                  <c:v>78.8</c:v>
                </c:pt>
                <c:pt idx="101">
                  <c:v>79.599999999999994</c:v>
                </c:pt>
                <c:pt idx="102">
                  <c:v>80.400000000000006</c:v>
                </c:pt>
                <c:pt idx="103">
                  <c:v>81.2</c:v>
                </c:pt>
                <c:pt idx="104">
                  <c:v>82</c:v>
                </c:pt>
                <c:pt idx="105">
                  <c:v>82.8</c:v>
                </c:pt>
                <c:pt idx="106">
                  <c:v>83.6</c:v>
                </c:pt>
                <c:pt idx="107">
                  <c:v>84.4</c:v>
                </c:pt>
                <c:pt idx="108">
                  <c:v>85.2</c:v>
                </c:pt>
                <c:pt idx="109">
                  <c:v>86</c:v>
                </c:pt>
                <c:pt idx="110">
                  <c:v>86.8</c:v>
                </c:pt>
                <c:pt idx="111">
                  <c:v>87.6</c:v>
                </c:pt>
                <c:pt idx="112">
                  <c:v>88.4</c:v>
                </c:pt>
                <c:pt idx="113">
                  <c:v>89.2</c:v>
                </c:pt>
                <c:pt idx="114">
                  <c:v>90</c:v>
                </c:pt>
                <c:pt idx="115">
                  <c:v>90.8</c:v>
                </c:pt>
                <c:pt idx="116">
                  <c:v>91.6</c:v>
                </c:pt>
                <c:pt idx="117">
                  <c:v>92.4</c:v>
                </c:pt>
                <c:pt idx="118">
                  <c:v>93.2</c:v>
                </c:pt>
                <c:pt idx="119">
                  <c:v>94</c:v>
                </c:pt>
                <c:pt idx="120">
                  <c:v>94.8</c:v>
                </c:pt>
                <c:pt idx="121">
                  <c:v>95.6</c:v>
                </c:pt>
                <c:pt idx="122">
                  <c:v>96.4</c:v>
                </c:pt>
                <c:pt idx="123">
                  <c:v>97.2</c:v>
                </c:pt>
                <c:pt idx="124">
                  <c:v>98</c:v>
                </c:pt>
                <c:pt idx="125">
                  <c:v>98.8</c:v>
                </c:pt>
                <c:pt idx="126">
                  <c:v>99.6</c:v>
                </c:pt>
                <c:pt idx="127">
                  <c:v>100.4</c:v>
                </c:pt>
                <c:pt idx="128">
                  <c:v>101.2</c:v>
                </c:pt>
                <c:pt idx="129">
                  <c:v>102</c:v>
                </c:pt>
                <c:pt idx="130">
                  <c:v>102.8</c:v>
                </c:pt>
                <c:pt idx="131">
                  <c:v>103.6</c:v>
                </c:pt>
                <c:pt idx="132">
                  <c:v>104.4</c:v>
                </c:pt>
                <c:pt idx="133">
                  <c:v>105.2</c:v>
                </c:pt>
                <c:pt idx="134">
                  <c:v>106</c:v>
                </c:pt>
                <c:pt idx="135">
                  <c:v>106.8</c:v>
                </c:pt>
                <c:pt idx="136">
                  <c:v>107.6</c:v>
                </c:pt>
                <c:pt idx="137">
                  <c:v>108.4</c:v>
                </c:pt>
                <c:pt idx="138">
                  <c:v>109.2</c:v>
                </c:pt>
                <c:pt idx="139">
                  <c:v>110</c:v>
                </c:pt>
                <c:pt idx="140">
                  <c:v>110.8</c:v>
                </c:pt>
                <c:pt idx="141">
                  <c:v>111.6</c:v>
                </c:pt>
                <c:pt idx="142">
                  <c:v>112.4</c:v>
                </c:pt>
                <c:pt idx="143">
                  <c:v>113.2</c:v>
                </c:pt>
                <c:pt idx="144">
                  <c:v>114</c:v>
                </c:pt>
                <c:pt idx="145">
                  <c:v>114.8</c:v>
                </c:pt>
                <c:pt idx="146">
                  <c:v>115.6</c:v>
                </c:pt>
                <c:pt idx="147">
                  <c:v>116.4</c:v>
                </c:pt>
                <c:pt idx="148">
                  <c:v>117.2</c:v>
                </c:pt>
                <c:pt idx="149">
                  <c:v>118</c:v>
                </c:pt>
                <c:pt idx="150">
                  <c:v>118.8</c:v>
                </c:pt>
                <c:pt idx="151">
                  <c:v>119.6</c:v>
                </c:pt>
                <c:pt idx="152">
                  <c:v>120.4</c:v>
                </c:pt>
                <c:pt idx="153">
                  <c:v>121.2</c:v>
                </c:pt>
                <c:pt idx="154">
                  <c:v>122</c:v>
                </c:pt>
                <c:pt idx="155">
                  <c:v>122.8</c:v>
                </c:pt>
                <c:pt idx="156">
                  <c:v>123.6</c:v>
                </c:pt>
                <c:pt idx="157">
                  <c:v>124.4</c:v>
                </c:pt>
                <c:pt idx="158">
                  <c:v>125.2</c:v>
                </c:pt>
                <c:pt idx="159">
                  <c:v>126</c:v>
                </c:pt>
                <c:pt idx="160">
                  <c:v>126.8</c:v>
                </c:pt>
                <c:pt idx="161">
                  <c:v>127.6</c:v>
                </c:pt>
                <c:pt idx="162">
                  <c:v>128.4</c:v>
                </c:pt>
                <c:pt idx="163">
                  <c:v>129.19999999999999</c:v>
                </c:pt>
                <c:pt idx="164">
                  <c:v>130</c:v>
                </c:pt>
                <c:pt idx="165">
                  <c:v>130.80000000000001</c:v>
                </c:pt>
                <c:pt idx="166">
                  <c:v>131.6</c:v>
                </c:pt>
                <c:pt idx="167">
                  <c:v>132.4</c:v>
                </c:pt>
                <c:pt idx="168">
                  <c:v>133.19999999999999</c:v>
                </c:pt>
                <c:pt idx="169">
                  <c:v>134</c:v>
                </c:pt>
                <c:pt idx="170">
                  <c:v>134.80000000000001</c:v>
                </c:pt>
                <c:pt idx="171">
                  <c:v>135.6</c:v>
                </c:pt>
                <c:pt idx="172">
                  <c:v>136.4</c:v>
                </c:pt>
                <c:pt idx="173">
                  <c:v>137.19999999999999</c:v>
                </c:pt>
                <c:pt idx="174">
                  <c:v>138</c:v>
                </c:pt>
                <c:pt idx="175">
                  <c:v>138.80000000000001</c:v>
                </c:pt>
                <c:pt idx="176">
                  <c:v>139.6</c:v>
                </c:pt>
                <c:pt idx="177">
                  <c:v>140.4</c:v>
                </c:pt>
                <c:pt idx="178">
                  <c:v>141.19999999999999</c:v>
                </c:pt>
                <c:pt idx="179">
                  <c:v>142</c:v>
                </c:pt>
                <c:pt idx="180">
                  <c:v>142.80000000000001</c:v>
                </c:pt>
                <c:pt idx="181">
                  <c:v>143.6</c:v>
                </c:pt>
                <c:pt idx="182">
                  <c:v>144.4</c:v>
                </c:pt>
                <c:pt idx="183">
                  <c:v>145.19999999999999</c:v>
                </c:pt>
                <c:pt idx="184">
                  <c:v>146</c:v>
                </c:pt>
                <c:pt idx="185">
                  <c:v>146.80000000000001</c:v>
                </c:pt>
                <c:pt idx="186">
                  <c:v>147.6</c:v>
                </c:pt>
                <c:pt idx="187">
                  <c:v>148.4</c:v>
                </c:pt>
                <c:pt idx="188">
                  <c:v>149.19999999999999</c:v>
                </c:pt>
                <c:pt idx="189">
                  <c:v>150</c:v>
                </c:pt>
                <c:pt idx="190">
                  <c:v>150.80000000000001</c:v>
                </c:pt>
                <c:pt idx="191">
                  <c:v>151.6</c:v>
                </c:pt>
                <c:pt idx="192">
                  <c:v>152.4</c:v>
                </c:pt>
                <c:pt idx="193">
                  <c:v>153.19999999999999</c:v>
                </c:pt>
                <c:pt idx="194">
                  <c:v>154</c:v>
                </c:pt>
                <c:pt idx="195">
                  <c:v>154.80000000000001</c:v>
                </c:pt>
                <c:pt idx="196">
                  <c:v>155.6</c:v>
                </c:pt>
                <c:pt idx="197">
                  <c:v>156.4</c:v>
                </c:pt>
                <c:pt idx="198">
                  <c:v>157.19999999999999</c:v>
                </c:pt>
                <c:pt idx="199">
                  <c:v>158</c:v>
                </c:pt>
                <c:pt idx="200">
                  <c:v>158.80000000000001</c:v>
                </c:pt>
                <c:pt idx="201">
                  <c:v>159.6</c:v>
                </c:pt>
                <c:pt idx="202">
                  <c:v>160.4</c:v>
                </c:pt>
                <c:pt idx="203">
                  <c:v>161.19999999999999</c:v>
                </c:pt>
                <c:pt idx="204">
                  <c:v>162</c:v>
                </c:pt>
                <c:pt idx="205">
                  <c:v>162.80000000000001</c:v>
                </c:pt>
                <c:pt idx="206">
                  <c:v>163.6</c:v>
                </c:pt>
                <c:pt idx="207">
                  <c:v>164.4</c:v>
                </c:pt>
                <c:pt idx="208">
                  <c:v>165.1</c:v>
                </c:pt>
                <c:pt idx="209">
                  <c:v>165.8</c:v>
                </c:pt>
                <c:pt idx="210">
                  <c:v>166.5</c:v>
                </c:pt>
                <c:pt idx="211">
                  <c:v>167.2</c:v>
                </c:pt>
                <c:pt idx="212">
                  <c:v>167.9</c:v>
                </c:pt>
                <c:pt idx="213">
                  <c:v>168.6</c:v>
                </c:pt>
                <c:pt idx="214">
                  <c:v>169.3</c:v>
                </c:pt>
                <c:pt idx="215">
                  <c:v>170</c:v>
                </c:pt>
              </c:numCache>
            </c:numRef>
          </c:xVal>
          <c:yVal>
            <c:numRef>
              <c:f>Sheet1!$K$2:$K$217</c:f>
              <c:numCache>
                <c:formatCode>#,##0_ </c:formatCode>
                <c:ptCount val="216"/>
                <c:pt idx="0">
                  <c:v>2035.575</c:v>
                </c:pt>
                <c:pt idx="1">
                  <c:v>2918.4750000000004</c:v>
                </c:pt>
                <c:pt idx="2">
                  <c:v>3796.4700000000003</c:v>
                </c:pt>
                <c:pt idx="3">
                  <c:v>4752.9449999999997</c:v>
                </c:pt>
                <c:pt idx="4">
                  <c:v>5846.76</c:v>
                </c:pt>
                <c:pt idx="5">
                  <c:v>7077.9150000000009</c:v>
                </c:pt>
                <c:pt idx="6">
                  <c:v>8490.5550000000003</c:v>
                </c:pt>
                <c:pt idx="7">
                  <c:v>10040.535</c:v>
                </c:pt>
                <c:pt idx="8">
                  <c:v>11727.855</c:v>
                </c:pt>
                <c:pt idx="9">
                  <c:v>13532.895</c:v>
                </c:pt>
                <c:pt idx="10">
                  <c:v>15416.415000000001</c:v>
                </c:pt>
                <c:pt idx="11">
                  <c:v>17501.04</c:v>
                </c:pt>
                <c:pt idx="12">
                  <c:v>19776.96</c:v>
                </c:pt>
                <c:pt idx="13">
                  <c:v>22631.670000000002</c:v>
                </c:pt>
                <c:pt idx="14">
                  <c:v>25662.959999999999</c:v>
                </c:pt>
                <c:pt idx="15">
                  <c:v>28821.78</c:v>
                </c:pt>
                <c:pt idx="16">
                  <c:v>32044.364999999998</c:v>
                </c:pt>
                <c:pt idx="17">
                  <c:v>35296.380000000005</c:v>
                </c:pt>
                <c:pt idx="18">
                  <c:v>38484.630000000005</c:v>
                </c:pt>
                <c:pt idx="19">
                  <c:v>41579.684999999998</c:v>
                </c:pt>
                <c:pt idx="20">
                  <c:v>44498.16</c:v>
                </c:pt>
                <c:pt idx="21">
                  <c:v>47244.960000000006</c:v>
                </c:pt>
                <c:pt idx="22">
                  <c:v>49815.18</c:v>
                </c:pt>
                <c:pt idx="23">
                  <c:v>52164.675000000003</c:v>
                </c:pt>
                <c:pt idx="24">
                  <c:v>54244.395000000004</c:v>
                </c:pt>
                <c:pt idx="25">
                  <c:v>55995.479999999996</c:v>
                </c:pt>
                <c:pt idx="26">
                  <c:v>57094.2</c:v>
                </c:pt>
                <c:pt idx="27">
                  <c:v>58192.92</c:v>
                </c:pt>
                <c:pt idx="28">
                  <c:v>58796.235000000001</c:v>
                </c:pt>
                <c:pt idx="29">
                  <c:v>58776.615000000005</c:v>
                </c:pt>
                <c:pt idx="30">
                  <c:v>58202.73</c:v>
                </c:pt>
                <c:pt idx="31">
                  <c:v>57030.435000000005</c:v>
                </c:pt>
                <c:pt idx="32">
                  <c:v>55210.680000000008</c:v>
                </c:pt>
                <c:pt idx="33">
                  <c:v>52655.175000000003</c:v>
                </c:pt>
                <c:pt idx="34">
                  <c:v>49305.06</c:v>
                </c:pt>
                <c:pt idx="35">
                  <c:v>44919.990000000005</c:v>
                </c:pt>
                <c:pt idx="36">
                  <c:v>40108.184999999998</c:v>
                </c:pt>
                <c:pt idx="37">
                  <c:v>33986.745000000003</c:v>
                </c:pt>
                <c:pt idx="38">
                  <c:v>27193.32</c:v>
                </c:pt>
                <c:pt idx="39">
                  <c:v>19718.100000000002</c:v>
                </c:pt>
                <c:pt idx="40">
                  <c:v>11615.04</c:v>
                </c:pt>
                <c:pt idx="41">
                  <c:v>3659.13</c:v>
                </c:pt>
                <c:pt idx="42">
                  <c:v>-4242.8249999999998</c:v>
                </c:pt>
                <c:pt idx="43">
                  <c:v>-12017.25</c:v>
                </c:pt>
                <c:pt idx="44">
                  <c:v>-19693.575000000001</c:v>
                </c:pt>
                <c:pt idx="45">
                  <c:v>-27335.565000000002</c:v>
                </c:pt>
                <c:pt idx="46">
                  <c:v>-34668.54</c:v>
                </c:pt>
                <c:pt idx="47">
                  <c:v>-42006.42</c:v>
                </c:pt>
                <c:pt idx="48">
                  <c:v>-49094.145000000004</c:v>
                </c:pt>
                <c:pt idx="49">
                  <c:v>-55917</c:v>
                </c:pt>
                <c:pt idx="50">
                  <c:v>-62435.745000000003</c:v>
                </c:pt>
                <c:pt idx="51">
                  <c:v>-68954.490000000005</c:v>
                </c:pt>
                <c:pt idx="52">
                  <c:v>-75134.790000000008</c:v>
                </c:pt>
                <c:pt idx="53">
                  <c:v>-81182.654999999999</c:v>
                </c:pt>
                <c:pt idx="54">
                  <c:v>-86887.17</c:v>
                </c:pt>
                <c:pt idx="55">
                  <c:v>-92581.875</c:v>
                </c:pt>
                <c:pt idx="56">
                  <c:v>-98016.615000000005</c:v>
                </c:pt>
                <c:pt idx="57">
                  <c:v>-103294.395</c:v>
                </c:pt>
                <c:pt idx="58">
                  <c:v>-108253.35</c:v>
                </c:pt>
                <c:pt idx="59">
                  <c:v>-113212.30500000001</c:v>
                </c:pt>
                <c:pt idx="60">
                  <c:v>-117960.345</c:v>
                </c:pt>
                <c:pt idx="61">
                  <c:v>-122566.14000000001</c:v>
                </c:pt>
                <c:pt idx="62">
                  <c:v>-126892.35</c:v>
                </c:pt>
                <c:pt idx="63">
                  <c:v>-131223.465</c:v>
                </c:pt>
                <c:pt idx="64">
                  <c:v>-135284.80499999999</c:v>
                </c:pt>
                <c:pt idx="65">
                  <c:v>-139218.61499999999</c:v>
                </c:pt>
                <c:pt idx="66">
                  <c:v>-142848.315</c:v>
                </c:pt>
                <c:pt idx="67">
                  <c:v>-146478.01500000001</c:v>
                </c:pt>
                <c:pt idx="68">
                  <c:v>-149901.70500000002</c:v>
                </c:pt>
                <c:pt idx="69">
                  <c:v>-153129.19500000001</c:v>
                </c:pt>
                <c:pt idx="70">
                  <c:v>-156234.06</c:v>
                </c:pt>
                <c:pt idx="71">
                  <c:v>-159334.02000000002</c:v>
                </c:pt>
                <c:pt idx="72">
                  <c:v>-162355.5</c:v>
                </c:pt>
                <c:pt idx="73">
                  <c:v>-165455.46000000002</c:v>
                </c:pt>
                <c:pt idx="74">
                  <c:v>-168732</c:v>
                </c:pt>
                <c:pt idx="75">
                  <c:v>-172003.63500000001</c:v>
                </c:pt>
                <c:pt idx="76">
                  <c:v>-175255.65000000002</c:v>
                </c:pt>
                <c:pt idx="77">
                  <c:v>-178517.47500000001</c:v>
                </c:pt>
                <c:pt idx="78">
                  <c:v>-181774.39500000002</c:v>
                </c:pt>
                <c:pt idx="79">
                  <c:v>-184889.07</c:v>
                </c:pt>
                <c:pt idx="80">
                  <c:v>-187998.84000000003</c:v>
                </c:pt>
                <c:pt idx="81">
                  <c:v>-190897.69500000001</c:v>
                </c:pt>
                <c:pt idx="82">
                  <c:v>-193722.97500000003</c:v>
                </c:pt>
                <c:pt idx="83">
                  <c:v>-196283.38500000001</c:v>
                </c:pt>
                <c:pt idx="84">
                  <c:v>-198838.89</c:v>
                </c:pt>
                <c:pt idx="85">
                  <c:v>-201119.71500000003</c:v>
                </c:pt>
                <c:pt idx="86">
                  <c:v>-203400.54</c:v>
                </c:pt>
                <c:pt idx="87">
                  <c:v>-205391.97</c:v>
                </c:pt>
                <c:pt idx="88">
                  <c:v>-207378.495</c:v>
                </c:pt>
                <c:pt idx="89">
                  <c:v>-209173.72500000001</c:v>
                </c:pt>
                <c:pt idx="90">
                  <c:v>-210875.76</c:v>
                </c:pt>
                <c:pt idx="91">
                  <c:v>-212317.83000000002</c:v>
                </c:pt>
                <c:pt idx="92">
                  <c:v>-213764.80499999999</c:v>
                </c:pt>
                <c:pt idx="93">
                  <c:v>-215010.67500000002</c:v>
                </c:pt>
                <c:pt idx="94">
                  <c:v>-216187.875</c:v>
                </c:pt>
                <c:pt idx="95">
                  <c:v>-217114.91999999998</c:v>
                </c:pt>
                <c:pt idx="96">
                  <c:v>-218041.96500000003</c:v>
                </c:pt>
                <c:pt idx="97">
                  <c:v>-218733.57</c:v>
                </c:pt>
                <c:pt idx="98">
                  <c:v>-219376.125</c:v>
                </c:pt>
                <c:pt idx="99">
                  <c:v>-219763.62000000002</c:v>
                </c:pt>
                <c:pt idx="100">
                  <c:v>-220151.11500000002</c:v>
                </c:pt>
                <c:pt idx="101">
                  <c:v>-220347.315</c:v>
                </c:pt>
                <c:pt idx="102">
                  <c:v>-220474.84500000003</c:v>
                </c:pt>
                <c:pt idx="103">
                  <c:v>-220528.8</c:v>
                </c:pt>
                <c:pt idx="104">
                  <c:v>-220582.755</c:v>
                </c:pt>
                <c:pt idx="105">
                  <c:v>-220617.09000000003</c:v>
                </c:pt>
                <c:pt idx="106">
                  <c:v>-220774.05</c:v>
                </c:pt>
                <c:pt idx="107">
                  <c:v>-221137.02000000002</c:v>
                </c:pt>
                <c:pt idx="108">
                  <c:v>-221519.61000000002</c:v>
                </c:pt>
                <c:pt idx="109">
                  <c:v>-221912.01</c:v>
                </c:pt>
                <c:pt idx="110">
                  <c:v>-222348.55499999999</c:v>
                </c:pt>
                <c:pt idx="111">
                  <c:v>-222790.005</c:v>
                </c:pt>
                <c:pt idx="112">
                  <c:v>-223123.54500000001</c:v>
                </c:pt>
                <c:pt idx="113">
                  <c:v>-223457.08500000002</c:v>
                </c:pt>
                <c:pt idx="114">
                  <c:v>-223604.23500000002</c:v>
                </c:pt>
                <c:pt idx="115">
                  <c:v>-223682.71500000003</c:v>
                </c:pt>
                <c:pt idx="116">
                  <c:v>-223530.66</c:v>
                </c:pt>
                <c:pt idx="117">
                  <c:v>-223378.60500000001</c:v>
                </c:pt>
                <c:pt idx="118">
                  <c:v>-222976.39500000002</c:v>
                </c:pt>
                <c:pt idx="119">
                  <c:v>-222574.185</c:v>
                </c:pt>
                <c:pt idx="120">
                  <c:v>-221907.10500000001</c:v>
                </c:pt>
                <c:pt idx="121">
                  <c:v>-221249.83500000002</c:v>
                </c:pt>
                <c:pt idx="122">
                  <c:v>-220411.08000000002</c:v>
                </c:pt>
                <c:pt idx="123">
                  <c:v>-219498.75</c:v>
                </c:pt>
                <c:pt idx="124">
                  <c:v>-218350.98</c:v>
                </c:pt>
                <c:pt idx="125">
                  <c:v>-217208.11499999999</c:v>
                </c:pt>
                <c:pt idx="126">
                  <c:v>-215878.86</c:v>
                </c:pt>
                <c:pt idx="127">
                  <c:v>-214495.65000000002</c:v>
                </c:pt>
                <c:pt idx="128">
                  <c:v>-212891.71500000003</c:v>
                </c:pt>
                <c:pt idx="129">
                  <c:v>-211287.78</c:v>
                </c:pt>
                <c:pt idx="130">
                  <c:v>-209472.93000000002</c:v>
                </c:pt>
                <c:pt idx="131">
                  <c:v>-207613.935</c:v>
                </c:pt>
                <c:pt idx="132">
                  <c:v>-205529.31</c:v>
                </c:pt>
                <c:pt idx="133">
                  <c:v>-203449.59000000003</c:v>
                </c:pt>
                <c:pt idx="134">
                  <c:v>-201193.29</c:v>
                </c:pt>
                <c:pt idx="135">
                  <c:v>-198887.94</c:v>
                </c:pt>
                <c:pt idx="136">
                  <c:v>-196523.73</c:v>
                </c:pt>
                <c:pt idx="137">
                  <c:v>-194169.33000000002</c:v>
                </c:pt>
                <c:pt idx="138">
                  <c:v>-191834.55000000002</c:v>
                </c:pt>
                <c:pt idx="139">
                  <c:v>-189632.20500000002</c:v>
                </c:pt>
                <c:pt idx="140">
                  <c:v>-187670.20500000002</c:v>
                </c:pt>
                <c:pt idx="141">
                  <c:v>-185737.63500000001</c:v>
                </c:pt>
                <c:pt idx="142">
                  <c:v>-183829.59000000003</c:v>
                </c:pt>
                <c:pt idx="143">
                  <c:v>-182000.02500000002</c:v>
                </c:pt>
                <c:pt idx="144">
                  <c:v>-180170.46000000002</c:v>
                </c:pt>
                <c:pt idx="145">
                  <c:v>-178321.27500000002</c:v>
                </c:pt>
                <c:pt idx="146">
                  <c:v>-176413.23</c:v>
                </c:pt>
                <c:pt idx="147">
                  <c:v>-174397.27500000002</c:v>
                </c:pt>
                <c:pt idx="148">
                  <c:v>-172278.315</c:v>
                </c:pt>
                <c:pt idx="149">
                  <c:v>-169987.68</c:v>
                </c:pt>
                <c:pt idx="150">
                  <c:v>-167697.04500000001</c:v>
                </c:pt>
                <c:pt idx="151">
                  <c:v>-165269.07</c:v>
                </c:pt>
                <c:pt idx="152">
                  <c:v>-162777.33000000002</c:v>
                </c:pt>
                <c:pt idx="153">
                  <c:v>-160109.01</c:v>
                </c:pt>
                <c:pt idx="154">
                  <c:v>-157396.54500000001</c:v>
                </c:pt>
                <c:pt idx="155">
                  <c:v>-154605.6</c:v>
                </c:pt>
                <c:pt idx="156">
                  <c:v>-151716.55499999999</c:v>
                </c:pt>
                <c:pt idx="157">
                  <c:v>-148685.26500000001</c:v>
                </c:pt>
                <c:pt idx="158">
                  <c:v>-145585.30499999999</c:v>
                </c:pt>
                <c:pt idx="159">
                  <c:v>-142377.435</c:v>
                </c:pt>
                <c:pt idx="160">
                  <c:v>-139120.51500000001</c:v>
                </c:pt>
                <c:pt idx="161">
                  <c:v>-135667.39500000002</c:v>
                </c:pt>
                <c:pt idx="162">
                  <c:v>-132214.27499999999</c:v>
                </c:pt>
                <c:pt idx="163">
                  <c:v>-128648.34</c:v>
                </c:pt>
                <c:pt idx="164">
                  <c:v>-124979.40000000001</c:v>
                </c:pt>
                <c:pt idx="165">
                  <c:v>-121168.215</c:v>
                </c:pt>
                <c:pt idx="166">
                  <c:v>-117288.36000000002</c:v>
                </c:pt>
                <c:pt idx="167">
                  <c:v>-113339.83500000001</c:v>
                </c:pt>
                <c:pt idx="168">
                  <c:v>-109288.30500000001</c:v>
                </c:pt>
                <c:pt idx="169">
                  <c:v>-105236.77500000001</c:v>
                </c:pt>
                <c:pt idx="170">
                  <c:v>-101204.86500000001</c:v>
                </c:pt>
                <c:pt idx="171">
                  <c:v>-97251.434999999998</c:v>
                </c:pt>
                <c:pt idx="172">
                  <c:v>-93528.540000000008</c:v>
                </c:pt>
                <c:pt idx="173">
                  <c:v>-90070.515000000014</c:v>
                </c:pt>
                <c:pt idx="174">
                  <c:v>-86676.255000000005</c:v>
                </c:pt>
                <c:pt idx="175">
                  <c:v>-83414.430000000008</c:v>
                </c:pt>
                <c:pt idx="176">
                  <c:v>-80378.235000000015</c:v>
                </c:pt>
                <c:pt idx="177">
                  <c:v>-77342.040000000008</c:v>
                </c:pt>
                <c:pt idx="178">
                  <c:v>-74560.904999999999</c:v>
                </c:pt>
                <c:pt idx="179">
                  <c:v>-71784.675000000017</c:v>
                </c:pt>
                <c:pt idx="180">
                  <c:v>-69082.02</c:v>
                </c:pt>
                <c:pt idx="181">
                  <c:v>-66448.035000000003</c:v>
                </c:pt>
                <c:pt idx="182">
                  <c:v>-63858.195</c:v>
                </c:pt>
                <c:pt idx="183">
                  <c:v>-61341.930000000008</c:v>
                </c:pt>
                <c:pt idx="184">
                  <c:v>-58850.19</c:v>
                </c:pt>
                <c:pt idx="185">
                  <c:v>-56476.17</c:v>
                </c:pt>
                <c:pt idx="186">
                  <c:v>-54092.34</c:v>
                </c:pt>
                <c:pt idx="187">
                  <c:v>-51782.085000000006</c:v>
                </c:pt>
                <c:pt idx="188">
                  <c:v>-49530.69</c:v>
                </c:pt>
                <c:pt idx="189">
                  <c:v>-47323.44</c:v>
                </c:pt>
                <c:pt idx="190">
                  <c:v>-45121.095000000001</c:v>
                </c:pt>
                <c:pt idx="191">
                  <c:v>-42977.61</c:v>
                </c:pt>
                <c:pt idx="192">
                  <c:v>-40858.65</c:v>
                </c:pt>
                <c:pt idx="193">
                  <c:v>-38739.69</c:v>
                </c:pt>
                <c:pt idx="194">
                  <c:v>-36591.300000000003</c:v>
                </c:pt>
                <c:pt idx="195">
                  <c:v>-34496.865000000005</c:v>
                </c:pt>
                <c:pt idx="196">
                  <c:v>-32348.475000000002</c:v>
                </c:pt>
                <c:pt idx="197">
                  <c:v>-30180.465000000004</c:v>
                </c:pt>
                <c:pt idx="198">
                  <c:v>-27958.5</c:v>
                </c:pt>
                <c:pt idx="199">
                  <c:v>-25746.345000000001</c:v>
                </c:pt>
                <c:pt idx="200">
                  <c:v>-23539.095000000001</c:v>
                </c:pt>
                <c:pt idx="201">
                  <c:v>-21390.705000000002</c:v>
                </c:pt>
                <c:pt idx="202">
                  <c:v>-19242.315000000002</c:v>
                </c:pt>
                <c:pt idx="203">
                  <c:v>-16971.300000000003</c:v>
                </c:pt>
                <c:pt idx="204">
                  <c:v>-14592.375</c:v>
                </c:pt>
                <c:pt idx="205">
                  <c:v>-12169.305</c:v>
                </c:pt>
                <c:pt idx="206">
                  <c:v>-9432.3150000000005</c:v>
                </c:pt>
                <c:pt idx="207">
                  <c:v>-6695.3250000000007</c:v>
                </c:pt>
                <c:pt idx="208">
                  <c:v>-4380.1650000000009</c:v>
                </c:pt>
                <c:pt idx="209">
                  <c:v>-2550.6000000000004</c:v>
                </c:pt>
                <c:pt idx="210">
                  <c:v>-1049.67</c:v>
                </c:pt>
                <c:pt idx="211">
                  <c:v>176.58</c:v>
                </c:pt>
                <c:pt idx="212">
                  <c:v>1034.9549999999999</c:v>
                </c:pt>
                <c:pt idx="213">
                  <c:v>1530.3600000000001</c:v>
                </c:pt>
                <c:pt idx="214">
                  <c:v>1878.6150000000002</c:v>
                </c:pt>
                <c:pt idx="215">
                  <c:v>2035.5750000000003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HGDAT!$C$46</c:f>
              <c:strCache>
                <c:ptCount val="1"/>
                <c:pt idx="0">
                  <c:v>LC.1</c:v>
                </c:pt>
              </c:strCache>
            </c:strRef>
          </c:tx>
          <c:marker>
            <c:symbol val="none"/>
          </c:marker>
          <c:xVal>
            <c:numRef>
              <c:f>HGDAT!$B$47:$B$56</c:f>
              <c:numCache>
                <c:formatCode>0.000_ </c:formatCode>
                <c:ptCount val="10"/>
                <c:pt idx="0">
                  <c:v>0</c:v>
                </c:pt>
                <c:pt idx="1">
                  <c:v>1.54</c:v>
                </c:pt>
                <c:pt idx="2">
                  <c:v>52.677999999999997</c:v>
                </c:pt>
                <c:pt idx="3">
                  <c:v>66.8</c:v>
                </c:pt>
                <c:pt idx="4">
                  <c:v>79.599999999999994</c:v>
                </c:pt>
                <c:pt idx="5">
                  <c:v>92.4</c:v>
                </c:pt>
                <c:pt idx="6">
                  <c:v>105.2</c:v>
                </c:pt>
                <c:pt idx="7">
                  <c:v>120.86199999999999</c:v>
                </c:pt>
                <c:pt idx="8">
                  <c:v>170</c:v>
                </c:pt>
                <c:pt idx="9">
                  <c:v>172</c:v>
                </c:pt>
              </c:numCache>
            </c:numRef>
          </c:xVal>
          <c:yVal>
            <c:numRef>
              <c:f>HGDAT!$C$47:$C$56</c:f>
              <c:numCache>
                <c:formatCode>0_ </c:formatCode>
                <c:ptCount val="10"/>
                <c:pt idx="0">
                  <c:v>2035.575</c:v>
                </c:pt>
                <c:pt idx="1">
                  <c:v>3538.7484140384377</c:v>
                </c:pt>
                <c:pt idx="2">
                  <c:v>-245000</c:v>
                </c:pt>
                <c:pt idx="3">
                  <c:v>-245000</c:v>
                </c:pt>
                <c:pt idx="4">
                  <c:v>-245000</c:v>
                </c:pt>
                <c:pt idx="5">
                  <c:v>-245000</c:v>
                </c:pt>
                <c:pt idx="6">
                  <c:v>-245000</c:v>
                </c:pt>
                <c:pt idx="7">
                  <c:v>-245000</c:v>
                </c:pt>
                <c:pt idx="8">
                  <c:v>2035.5750000000003</c:v>
                </c:pt>
                <c:pt idx="9">
                  <c:v>3225.4930815683301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27200"/>
        <c:axId val="126228736"/>
      </c:scatterChart>
      <c:valAx>
        <c:axId val="126227200"/>
        <c:scaling>
          <c:orientation val="minMax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126228736"/>
        <c:crosses val="autoZero"/>
        <c:crossBetween val="midCat"/>
      </c:valAx>
      <c:valAx>
        <c:axId val="126228736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126227200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ko-KR" sz="1100"/>
              <a:t>Alter. Cargo Hold Loading</a:t>
            </a:r>
            <a:endParaRPr lang="en-US" altLang="en-US" sz="11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Sheet1!$N$1</c:f>
              <c:strCache>
                <c:ptCount val="1"/>
                <c:pt idx="0">
                  <c:v>ALTERNATE CARGO HOLD LOADING</c:v>
                </c:pt>
              </c:strCache>
            </c:strRef>
          </c:tx>
          <c:marker>
            <c:symbol val="none"/>
          </c:marker>
          <c:xVal>
            <c:numRef>
              <c:f>Sheet1!$A$2:$A$217</c:f>
              <c:numCache>
                <c:formatCode>General</c:formatCode>
                <c:ptCount val="216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</c:v>
                </c:pt>
                <c:pt idx="9">
                  <c:v>6.3</c:v>
                </c:pt>
                <c:pt idx="10">
                  <c:v>7</c:v>
                </c:pt>
                <c:pt idx="11">
                  <c:v>7.7</c:v>
                </c:pt>
                <c:pt idx="12">
                  <c:v>8.4</c:v>
                </c:pt>
                <c:pt idx="13">
                  <c:v>9.1999999999999993</c:v>
                </c:pt>
                <c:pt idx="14">
                  <c:v>10</c:v>
                </c:pt>
                <c:pt idx="15">
                  <c:v>10.8</c:v>
                </c:pt>
                <c:pt idx="16">
                  <c:v>11.6</c:v>
                </c:pt>
                <c:pt idx="17">
                  <c:v>12.4</c:v>
                </c:pt>
                <c:pt idx="18">
                  <c:v>13.2</c:v>
                </c:pt>
                <c:pt idx="19">
                  <c:v>14</c:v>
                </c:pt>
                <c:pt idx="20">
                  <c:v>14.8</c:v>
                </c:pt>
                <c:pt idx="21">
                  <c:v>15.6</c:v>
                </c:pt>
                <c:pt idx="22">
                  <c:v>16.399999999999999</c:v>
                </c:pt>
                <c:pt idx="23">
                  <c:v>17.2</c:v>
                </c:pt>
                <c:pt idx="24">
                  <c:v>18</c:v>
                </c:pt>
                <c:pt idx="25">
                  <c:v>18.8</c:v>
                </c:pt>
                <c:pt idx="26">
                  <c:v>19.600000000000001</c:v>
                </c:pt>
                <c:pt idx="27">
                  <c:v>20.399999999999999</c:v>
                </c:pt>
                <c:pt idx="28">
                  <c:v>21.2</c:v>
                </c:pt>
                <c:pt idx="29">
                  <c:v>22</c:v>
                </c:pt>
                <c:pt idx="30">
                  <c:v>22.8</c:v>
                </c:pt>
                <c:pt idx="31">
                  <c:v>23.6</c:v>
                </c:pt>
                <c:pt idx="32">
                  <c:v>24.4</c:v>
                </c:pt>
                <c:pt idx="33">
                  <c:v>25.2</c:v>
                </c:pt>
                <c:pt idx="34">
                  <c:v>26</c:v>
                </c:pt>
                <c:pt idx="35">
                  <c:v>26.8</c:v>
                </c:pt>
                <c:pt idx="36">
                  <c:v>27.6</c:v>
                </c:pt>
                <c:pt idx="37">
                  <c:v>28.4</c:v>
                </c:pt>
                <c:pt idx="38">
                  <c:v>29.2</c:v>
                </c:pt>
                <c:pt idx="39">
                  <c:v>30</c:v>
                </c:pt>
                <c:pt idx="40">
                  <c:v>30.8</c:v>
                </c:pt>
                <c:pt idx="41">
                  <c:v>31.6</c:v>
                </c:pt>
                <c:pt idx="42">
                  <c:v>32.4</c:v>
                </c:pt>
                <c:pt idx="43">
                  <c:v>33.200000000000003</c:v>
                </c:pt>
                <c:pt idx="44">
                  <c:v>34</c:v>
                </c:pt>
                <c:pt idx="45">
                  <c:v>34.799999999999997</c:v>
                </c:pt>
                <c:pt idx="46">
                  <c:v>35.6</c:v>
                </c:pt>
                <c:pt idx="47">
                  <c:v>36.4</c:v>
                </c:pt>
                <c:pt idx="48">
                  <c:v>37.200000000000003</c:v>
                </c:pt>
                <c:pt idx="49">
                  <c:v>38</c:v>
                </c:pt>
                <c:pt idx="50">
                  <c:v>38.799999999999997</c:v>
                </c:pt>
                <c:pt idx="51">
                  <c:v>39.6</c:v>
                </c:pt>
                <c:pt idx="52">
                  <c:v>40.4</c:v>
                </c:pt>
                <c:pt idx="53">
                  <c:v>41.2</c:v>
                </c:pt>
                <c:pt idx="54">
                  <c:v>42</c:v>
                </c:pt>
                <c:pt idx="55">
                  <c:v>42.8</c:v>
                </c:pt>
                <c:pt idx="56">
                  <c:v>43.6</c:v>
                </c:pt>
                <c:pt idx="57">
                  <c:v>44.4</c:v>
                </c:pt>
                <c:pt idx="58">
                  <c:v>45.2</c:v>
                </c:pt>
                <c:pt idx="59">
                  <c:v>46</c:v>
                </c:pt>
                <c:pt idx="60">
                  <c:v>46.8</c:v>
                </c:pt>
                <c:pt idx="61">
                  <c:v>47.6</c:v>
                </c:pt>
                <c:pt idx="62">
                  <c:v>48.4</c:v>
                </c:pt>
                <c:pt idx="63">
                  <c:v>49.2</c:v>
                </c:pt>
                <c:pt idx="64">
                  <c:v>50</c:v>
                </c:pt>
                <c:pt idx="65">
                  <c:v>50.8</c:v>
                </c:pt>
                <c:pt idx="66">
                  <c:v>51.6</c:v>
                </c:pt>
                <c:pt idx="67">
                  <c:v>52.4</c:v>
                </c:pt>
                <c:pt idx="68">
                  <c:v>53.2</c:v>
                </c:pt>
                <c:pt idx="69">
                  <c:v>54</c:v>
                </c:pt>
                <c:pt idx="70">
                  <c:v>54.8</c:v>
                </c:pt>
                <c:pt idx="71">
                  <c:v>55.6</c:v>
                </c:pt>
                <c:pt idx="72">
                  <c:v>56.4</c:v>
                </c:pt>
                <c:pt idx="73">
                  <c:v>57.2</c:v>
                </c:pt>
                <c:pt idx="74">
                  <c:v>58</c:v>
                </c:pt>
                <c:pt idx="75">
                  <c:v>58.8</c:v>
                </c:pt>
                <c:pt idx="76">
                  <c:v>59.6</c:v>
                </c:pt>
                <c:pt idx="77">
                  <c:v>60.4</c:v>
                </c:pt>
                <c:pt idx="78">
                  <c:v>61.2</c:v>
                </c:pt>
                <c:pt idx="79">
                  <c:v>62</c:v>
                </c:pt>
                <c:pt idx="80">
                  <c:v>62.8</c:v>
                </c:pt>
                <c:pt idx="81">
                  <c:v>63.6</c:v>
                </c:pt>
                <c:pt idx="82">
                  <c:v>64.400000000000006</c:v>
                </c:pt>
                <c:pt idx="83">
                  <c:v>65.2</c:v>
                </c:pt>
                <c:pt idx="84">
                  <c:v>66</c:v>
                </c:pt>
                <c:pt idx="85">
                  <c:v>66.8</c:v>
                </c:pt>
                <c:pt idx="86">
                  <c:v>67.599999999999994</c:v>
                </c:pt>
                <c:pt idx="87">
                  <c:v>68.400000000000006</c:v>
                </c:pt>
                <c:pt idx="88">
                  <c:v>69.2</c:v>
                </c:pt>
                <c:pt idx="89">
                  <c:v>70</c:v>
                </c:pt>
                <c:pt idx="90">
                  <c:v>70.8</c:v>
                </c:pt>
                <c:pt idx="91">
                  <c:v>71.599999999999994</c:v>
                </c:pt>
                <c:pt idx="92">
                  <c:v>72.400000000000006</c:v>
                </c:pt>
                <c:pt idx="93">
                  <c:v>73.2</c:v>
                </c:pt>
                <c:pt idx="94">
                  <c:v>74</c:v>
                </c:pt>
                <c:pt idx="95">
                  <c:v>74.8</c:v>
                </c:pt>
                <c:pt idx="96">
                  <c:v>75.599999999999994</c:v>
                </c:pt>
                <c:pt idx="97">
                  <c:v>76.400000000000006</c:v>
                </c:pt>
                <c:pt idx="98">
                  <c:v>77.2</c:v>
                </c:pt>
                <c:pt idx="99">
                  <c:v>78</c:v>
                </c:pt>
                <c:pt idx="100">
                  <c:v>78.8</c:v>
                </c:pt>
                <c:pt idx="101">
                  <c:v>79.599999999999994</c:v>
                </c:pt>
                <c:pt idx="102">
                  <c:v>80.400000000000006</c:v>
                </c:pt>
                <c:pt idx="103">
                  <c:v>81.2</c:v>
                </c:pt>
                <c:pt idx="104">
                  <c:v>82</c:v>
                </c:pt>
                <c:pt idx="105">
                  <c:v>82.8</c:v>
                </c:pt>
                <c:pt idx="106">
                  <c:v>83.6</c:v>
                </c:pt>
                <c:pt idx="107">
                  <c:v>84.4</c:v>
                </c:pt>
                <c:pt idx="108">
                  <c:v>85.2</c:v>
                </c:pt>
                <c:pt idx="109">
                  <c:v>86</c:v>
                </c:pt>
                <c:pt idx="110">
                  <c:v>86.8</c:v>
                </c:pt>
                <c:pt idx="111">
                  <c:v>87.6</c:v>
                </c:pt>
                <c:pt idx="112">
                  <c:v>88.4</c:v>
                </c:pt>
                <c:pt idx="113">
                  <c:v>89.2</c:v>
                </c:pt>
                <c:pt idx="114">
                  <c:v>90</c:v>
                </c:pt>
                <c:pt idx="115">
                  <c:v>90.8</c:v>
                </c:pt>
                <c:pt idx="116">
                  <c:v>91.6</c:v>
                </c:pt>
                <c:pt idx="117">
                  <c:v>92.4</c:v>
                </c:pt>
                <c:pt idx="118">
                  <c:v>93.2</c:v>
                </c:pt>
                <c:pt idx="119">
                  <c:v>94</c:v>
                </c:pt>
                <c:pt idx="120">
                  <c:v>94.8</c:v>
                </c:pt>
                <c:pt idx="121">
                  <c:v>95.6</c:v>
                </c:pt>
                <c:pt idx="122">
                  <c:v>96.4</c:v>
                </c:pt>
                <c:pt idx="123">
                  <c:v>97.2</c:v>
                </c:pt>
                <c:pt idx="124">
                  <c:v>98</c:v>
                </c:pt>
                <c:pt idx="125">
                  <c:v>98.8</c:v>
                </c:pt>
                <c:pt idx="126">
                  <c:v>99.6</c:v>
                </c:pt>
                <c:pt idx="127">
                  <c:v>100.4</c:v>
                </c:pt>
                <c:pt idx="128">
                  <c:v>101.2</c:v>
                </c:pt>
                <c:pt idx="129">
                  <c:v>102</c:v>
                </c:pt>
                <c:pt idx="130">
                  <c:v>102.8</c:v>
                </c:pt>
                <c:pt idx="131">
                  <c:v>103.6</c:v>
                </c:pt>
                <c:pt idx="132">
                  <c:v>104.4</c:v>
                </c:pt>
                <c:pt idx="133">
                  <c:v>105.2</c:v>
                </c:pt>
                <c:pt idx="134">
                  <c:v>106</c:v>
                </c:pt>
                <c:pt idx="135">
                  <c:v>106.8</c:v>
                </c:pt>
                <c:pt idx="136">
                  <c:v>107.6</c:v>
                </c:pt>
                <c:pt idx="137">
                  <c:v>108.4</c:v>
                </c:pt>
                <c:pt idx="138">
                  <c:v>109.2</c:v>
                </c:pt>
                <c:pt idx="139">
                  <c:v>110</c:v>
                </c:pt>
                <c:pt idx="140">
                  <c:v>110.8</c:v>
                </c:pt>
                <c:pt idx="141">
                  <c:v>111.6</c:v>
                </c:pt>
                <c:pt idx="142">
                  <c:v>112.4</c:v>
                </c:pt>
                <c:pt idx="143">
                  <c:v>113.2</c:v>
                </c:pt>
                <c:pt idx="144">
                  <c:v>114</c:v>
                </c:pt>
                <c:pt idx="145">
                  <c:v>114.8</c:v>
                </c:pt>
                <c:pt idx="146">
                  <c:v>115.6</c:v>
                </c:pt>
                <c:pt idx="147">
                  <c:v>116.4</c:v>
                </c:pt>
                <c:pt idx="148">
                  <c:v>117.2</c:v>
                </c:pt>
                <c:pt idx="149">
                  <c:v>118</c:v>
                </c:pt>
                <c:pt idx="150">
                  <c:v>118.8</c:v>
                </c:pt>
                <c:pt idx="151">
                  <c:v>119.6</c:v>
                </c:pt>
                <c:pt idx="152">
                  <c:v>120.4</c:v>
                </c:pt>
                <c:pt idx="153">
                  <c:v>121.2</c:v>
                </c:pt>
                <c:pt idx="154">
                  <c:v>122</c:v>
                </c:pt>
                <c:pt idx="155">
                  <c:v>122.8</c:v>
                </c:pt>
                <c:pt idx="156">
                  <c:v>123.6</c:v>
                </c:pt>
                <c:pt idx="157">
                  <c:v>124.4</c:v>
                </c:pt>
                <c:pt idx="158">
                  <c:v>125.2</c:v>
                </c:pt>
                <c:pt idx="159">
                  <c:v>126</c:v>
                </c:pt>
                <c:pt idx="160">
                  <c:v>126.8</c:v>
                </c:pt>
                <c:pt idx="161">
                  <c:v>127.6</c:v>
                </c:pt>
                <c:pt idx="162">
                  <c:v>128.4</c:v>
                </c:pt>
                <c:pt idx="163">
                  <c:v>129.19999999999999</c:v>
                </c:pt>
                <c:pt idx="164">
                  <c:v>130</c:v>
                </c:pt>
                <c:pt idx="165">
                  <c:v>130.80000000000001</c:v>
                </c:pt>
                <c:pt idx="166">
                  <c:v>131.6</c:v>
                </c:pt>
                <c:pt idx="167">
                  <c:v>132.4</c:v>
                </c:pt>
                <c:pt idx="168">
                  <c:v>133.19999999999999</c:v>
                </c:pt>
                <c:pt idx="169">
                  <c:v>134</c:v>
                </c:pt>
                <c:pt idx="170">
                  <c:v>134.80000000000001</c:v>
                </c:pt>
                <c:pt idx="171">
                  <c:v>135.6</c:v>
                </c:pt>
                <c:pt idx="172">
                  <c:v>136.4</c:v>
                </c:pt>
                <c:pt idx="173">
                  <c:v>137.19999999999999</c:v>
                </c:pt>
                <c:pt idx="174">
                  <c:v>138</c:v>
                </c:pt>
                <c:pt idx="175">
                  <c:v>138.80000000000001</c:v>
                </c:pt>
                <c:pt idx="176">
                  <c:v>139.6</c:v>
                </c:pt>
                <c:pt idx="177">
                  <c:v>140.4</c:v>
                </c:pt>
                <c:pt idx="178">
                  <c:v>141.19999999999999</c:v>
                </c:pt>
                <c:pt idx="179">
                  <c:v>142</c:v>
                </c:pt>
                <c:pt idx="180">
                  <c:v>142.80000000000001</c:v>
                </c:pt>
                <c:pt idx="181">
                  <c:v>143.6</c:v>
                </c:pt>
                <c:pt idx="182">
                  <c:v>144.4</c:v>
                </c:pt>
                <c:pt idx="183">
                  <c:v>145.19999999999999</c:v>
                </c:pt>
                <c:pt idx="184">
                  <c:v>146</c:v>
                </c:pt>
                <c:pt idx="185">
                  <c:v>146.80000000000001</c:v>
                </c:pt>
                <c:pt idx="186">
                  <c:v>147.6</c:v>
                </c:pt>
                <c:pt idx="187">
                  <c:v>148.4</c:v>
                </c:pt>
                <c:pt idx="188">
                  <c:v>149.19999999999999</c:v>
                </c:pt>
                <c:pt idx="189">
                  <c:v>150</c:v>
                </c:pt>
                <c:pt idx="190">
                  <c:v>150.80000000000001</c:v>
                </c:pt>
                <c:pt idx="191">
                  <c:v>151.6</c:v>
                </c:pt>
                <c:pt idx="192">
                  <c:v>152.4</c:v>
                </c:pt>
                <c:pt idx="193">
                  <c:v>153.19999999999999</c:v>
                </c:pt>
                <c:pt idx="194">
                  <c:v>154</c:v>
                </c:pt>
                <c:pt idx="195">
                  <c:v>154.80000000000001</c:v>
                </c:pt>
                <c:pt idx="196">
                  <c:v>155.6</c:v>
                </c:pt>
                <c:pt idx="197">
                  <c:v>156.4</c:v>
                </c:pt>
                <c:pt idx="198">
                  <c:v>157.19999999999999</c:v>
                </c:pt>
                <c:pt idx="199">
                  <c:v>158</c:v>
                </c:pt>
                <c:pt idx="200">
                  <c:v>158.80000000000001</c:v>
                </c:pt>
                <c:pt idx="201">
                  <c:v>159.6</c:v>
                </c:pt>
                <c:pt idx="202">
                  <c:v>160.4</c:v>
                </c:pt>
                <c:pt idx="203">
                  <c:v>161.19999999999999</c:v>
                </c:pt>
                <c:pt idx="204">
                  <c:v>162</c:v>
                </c:pt>
                <c:pt idx="205">
                  <c:v>162.80000000000001</c:v>
                </c:pt>
                <c:pt idx="206">
                  <c:v>163.6</c:v>
                </c:pt>
                <c:pt idx="207">
                  <c:v>164.4</c:v>
                </c:pt>
                <c:pt idx="208">
                  <c:v>165.1</c:v>
                </c:pt>
                <c:pt idx="209">
                  <c:v>165.8</c:v>
                </c:pt>
                <c:pt idx="210">
                  <c:v>166.5</c:v>
                </c:pt>
                <c:pt idx="211">
                  <c:v>167.2</c:v>
                </c:pt>
                <c:pt idx="212">
                  <c:v>167.9</c:v>
                </c:pt>
                <c:pt idx="213">
                  <c:v>168.6</c:v>
                </c:pt>
                <c:pt idx="214">
                  <c:v>169.3</c:v>
                </c:pt>
                <c:pt idx="215">
                  <c:v>170</c:v>
                </c:pt>
              </c:numCache>
            </c:numRef>
          </c:xVal>
          <c:yVal>
            <c:numRef>
              <c:f>Sheet1!$N$2:$N$217</c:f>
              <c:numCache>
                <c:formatCode>#,##0_ </c:formatCode>
                <c:ptCount val="216"/>
                <c:pt idx="0">
                  <c:v>1819.7550000000001</c:v>
                </c:pt>
                <c:pt idx="1">
                  <c:v>2599.65</c:v>
                </c:pt>
                <c:pt idx="2">
                  <c:v>3384.4500000000003</c:v>
                </c:pt>
                <c:pt idx="3">
                  <c:v>4223.2049999999999</c:v>
                </c:pt>
                <c:pt idx="4">
                  <c:v>5184.585</c:v>
                </c:pt>
                <c:pt idx="5">
                  <c:v>6263.6850000000004</c:v>
                </c:pt>
                <c:pt idx="6">
                  <c:v>7499.7449999999999</c:v>
                </c:pt>
                <c:pt idx="7">
                  <c:v>8858.43</c:v>
                </c:pt>
                <c:pt idx="8">
                  <c:v>10334.834999999999</c:v>
                </c:pt>
                <c:pt idx="9">
                  <c:v>11904.435000000001</c:v>
                </c:pt>
                <c:pt idx="10">
                  <c:v>13537.800000000001</c:v>
                </c:pt>
                <c:pt idx="11">
                  <c:v>15342.84</c:v>
                </c:pt>
                <c:pt idx="12">
                  <c:v>17324.46</c:v>
                </c:pt>
                <c:pt idx="13">
                  <c:v>19816.2</c:v>
                </c:pt>
                <c:pt idx="14">
                  <c:v>22455.09</c:v>
                </c:pt>
                <c:pt idx="15">
                  <c:v>25182.27</c:v>
                </c:pt>
                <c:pt idx="16">
                  <c:v>27953.595000000001</c:v>
                </c:pt>
                <c:pt idx="17">
                  <c:v>30720.015000000003</c:v>
                </c:pt>
                <c:pt idx="18">
                  <c:v>33383.43</c:v>
                </c:pt>
                <c:pt idx="19">
                  <c:v>35938.935000000005</c:v>
                </c:pt>
                <c:pt idx="20">
                  <c:v>38273.715000000004</c:v>
                </c:pt>
                <c:pt idx="21">
                  <c:v>40412.294999999998</c:v>
                </c:pt>
                <c:pt idx="22">
                  <c:v>42339.960000000006</c:v>
                </c:pt>
                <c:pt idx="23">
                  <c:v>44017.47</c:v>
                </c:pt>
                <c:pt idx="24">
                  <c:v>45385.964999999997</c:v>
                </c:pt>
                <c:pt idx="25">
                  <c:v>46396.395000000004</c:v>
                </c:pt>
                <c:pt idx="26">
                  <c:v>46705.41</c:v>
                </c:pt>
                <c:pt idx="27">
                  <c:v>47014.425000000003</c:v>
                </c:pt>
                <c:pt idx="28">
                  <c:v>46788.794999999998</c:v>
                </c:pt>
                <c:pt idx="29">
                  <c:v>45910.8</c:v>
                </c:pt>
                <c:pt idx="30">
                  <c:v>44439.3</c:v>
                </c:pt>
                <c:pt idx="31">
                  <c:v>42335.055000000008</c:v>
                </c:pt>
                <c:pt idx="32">
                  <c:v>39553.919999999998</c:v>
                </c:pt>
                <c:pt idx="33">
                  <c:v>36012.51</c:v>
                </c:pt>
                <c:pt idx="34">
                  <c:v>31642.155000000002</c:v>
                </c:pt>
                <c:pt idx="35">
                  <c:v>26192.700000000004</c:v>
                </c:pt>
                <c:pt idx="36">
                  <c:v>20306.7</c:v>
                </c:pt>
                <c:pt idx="37">
                  <c:v>13071.825000000001</c:v>
                </c:pt>
                <c:pt idx="38">
                  <c:v>5130.63</c:v>
                </c:pt>
                <c:pt idx="39">
                  <c:v>-3502.17</c:v>
                </c:pt>
                <c:pt idx="40">
                  <c:v>-12488.130000000001</c:v>
                </c:pt>
                <c:pt idx="41">
                  <c:v>-20576.475000000002</c:v>
                </c:pt>
                <c:pt idx="42">
                  <c:v>-28218.465</c:v>
                </c:pt>
                <c:pt idx="43">
                  <c:v>-34913.79</c:v>
                </c:pt>
                <c:pt idx="44">
                  <c:v>-40603.590000000004</c:v>
                </c:pt>
                <c:pt idx="45">
                  <c:v>-45866.654999999999</c:v>
                </c:pt>
                <c:pt idx="46">
                  <c:v>-49442.400000000009</c:v>
                </c:pt>
                <c:pt idx="47">
                  <c:v>-53008.335000000006</c:v>
                </c:pt>
                <c:pt idx="48">
                  <c:v>-55509.885000000002</c:v>
                </c:pt>
                <c:pt idx="49">
                  <c:v>-56770.47</c:v>
                </c:pt>
                <c:pt idx="50">
                  <c:v>-56461.455000000002</c:v>
                </c:pt>
                <c:pt idx="51">
                  <c:v>-56152.44</c:v>
                </c:pt>
                <c:pt idx="52">
                  <c:v>-54043.290000000008</c:v>
                </c:pt>
                <c:pt idx="53">
                  <c:v>-51154.245000000003</c:v>
                </c:pt>
                <c:pt idx="54">
                  <c:v>-46165.86</c:v>
                </c:pt>
                <c:pt idx="55">
                  <c:v>-41167.665000000001</c:v>
                </c:pt>
                <c:pt idx="56">
                  <c:v>-34501.770000000004</c:v>
                </c:pt>
                <c:pt idx="57">
                  <c:v>-26889.21</c:v>
                </c:pt>
                <c:pt idx="58">
                  <c:v>-16878.105</c:v>
                </c:pt>
                <c:pt idx="59">
                  <c:v>-6862.0950000000012</c:v>
                </c:pt>
                <c:pt idx="60">
                  <c:v>4870.665</c:v>
                </c:pt>
                <c:pt idx="61">
                  <c:v>17770.815000000002</c:v>
                </c:pt>
                <c:pt idx="62">
                  <c:v>33010.65</c:v>
                </c:pt>
                <c:pt idx="63">
                  <c:v>48255.39</c:v>
                </c:pt>
                <c:pt idx="64">
                  <c:v>65810.385000000009</c:v>
                </c:pt>
                <c:pt idx="65">
                  <c:v>84473.91</c:v>
                </c:pt>
                <c:pt idx="66">
                  <c:v>105761.61</c:v>
                </c:pt>
                <c:pt idx="67">
                  <c:v>127049.31</c:v>
                </c:pt>
                <c:pt idx="68">
                  <c:v>150146.95500000002</c:v>
                </c:pt>
                <c:pt idx="69">
                  <c:v>175000.59000000003</c:v>
                </c:pt>
                <c:pt idx="70">
                  <c:v>201889.8</c:v>
                </c:pt>
                <c:pt idx="71">
                  <c:v>229568.71500000003</c:v>
                </c:pt>
                <c:pt idx="72">
                  <c:v>259234.15500000003</c:v>
                </c:pt>
                <c:pt idx="73">
                  <c:v>289527.435</c:v>
                </c:pt>
                <c:pt idx="74">
                  <c:v>318211.875</c:v>
                </c:pt>
                <c:pt idx="75">
                  <c:v>346876.69500000001</c:v>
                </c:pt>
                <c:pt idx="76">
                  <c:v>372392.505</c:v>
                </c:pt>
                <c:pt idx="77">
                  <c:v>397908.315</c:v>
                </c:pt>
                <c:pt idx="78">
                  <c:v>421697.565</c:v>
                </c:pt>
                <c:pt idx="79">
                  <c:v>442622.29500000004</c:v>
                </c:pt>
                <c:pt idx="80">
                  <c:v>463547.02500000002</c:v>
                </c:pt>
                <c:pt idx="81">
                  <c:v>481930.96500000003</c:v>
                </c:pt>
                <c:pt idx="82">
                  <c:v>499456.53</c:v>
                </c:pt>
                <c:pt idx="83">
                  <c:v>515579.26500000001</c:v>
                </c:pt>
                <c:pt idx="84">
                  <c:v>530279.55000000005</c:v>
                </c:pt>
                <c:pt idx="85">
                  <c:v>542144.74500000011</c:v>
                </c:pt>
                <c:pt idx="86">
                  <c:v>554009.93999999994</c:v>
                </c:pt>
                <c:pt idx="87">
                  <c:v>563334.34499999997</c:v>
                </c:pt>
                <c:pt idx="88">
                  <c:v>571795.47</c:v>
                </c:pt>
                <c:pt idx="89">
                  <c:v>578848.86</c:v>
                </c:pt>
                <c:pt idx="90">
                  <c:v>584474.89500000002</c:v>
                </c:pt>
                <c:pt idx="91">
                  <c:v>587265.84000000008</c:v>
                </c:pt>
                <c:pt idx="92">
                  <c:v>590061.69000000006</c:v>
                </c:pt>
                <c:pt idx="93">
                  <c:v>590306.93999999994</c:v>
                </c:pt>
                <c:pt idx="94">
                  <c:v>589688.91</c:v>
                </c:pt>
                <c:pt idx="95">
                  <c:v>587672.95500000007</c:v>
                </c:pt>
                <c:pt idx="96">
                  <c:v>584219.83499999996</c:v>
                </c:pt>
                <c:pt idx="97">
                  <c:v>578216.11499999999</c:v>
                </c:pt>
                <c:pt idx="98">
                  <c:v>571363.83000000007</c:v>
                </c:pt>
                <c:pt idx="99">
                  <c:v>563231.34000000008</c:v>
                </c:pt>
                <c:pt idx="100">
                  <c:v>552970.08000000007</c:v>
                </c:pt>
                <c:pt idx="101">
                  <c:v>542002.5</c:v>
                </c:pt>
                <c:pt idx="102">
                  <c:v>529475.13</c:v>
                </c:pt>
                <c:pt idx="103">
                  <c:v>514254.91500000004</c:v>
                </c:pt>
                <c:pt idx="104">
                  <c:v>499034.70000000007</c:v>
                </c:pt>
                <c:pt idx="105">
                  <c:v>481548.375</c:v>
                </c:pt>
                <c:pt idx="106">
                  <c:v>463046.71500000003</c:v>
                </c:pt>
                <c:pt idx="107">
                  <c:v>444716.73</c:v>
                </c:pt>
                <c:pt idx="108">
                  <c:v>426916.48500000004</c:v>
                </c:pt>
                <c:pt idx="109">
                  <c:v>410700.55500000005</c:v>
                </c:pt>
                <c:pt idx="110">
                  <c:v>395995.36499999999</c:v>
                </c:pt>
                <c:pt idx="111">
                  <c:v>381290.17500000005</c:v>
                </c:pt>
                <c:pt idx="112">
                  <c:v>369380.83500000002</c:v>
                </c:pt>
                <c:pt idx="113">
                  <c:v>357476.4</c:v>
                </c:pt>
                <c:pt idx="114">
                  <c:v>347494.72499999998</c:v>
                </c:pt>
                <c:pt idx="115">
                  <c:v>338150.7</c:v>
                </c:pt>
                <c:pt idx="116">
                  <c:v>331215.03000000003</c:v>
                </c:pt>
                <c:pt idx="117">
                  <c:v>324284.26500000001</c:v>
                </c:pt>
                <c:pt idx="118">
                  <c:v>319913.91000000003</c:v>
                </c:pt>
                <c:pt idx="119">
                  <c:v>315543.55500000005</c:v>
                </c:pt>
                <c:pt idx="120">
                  <c:v>313905.28500000003</c:v>
                </c:pt>
                <c:pt idx="121">
                  <c:v>312257.20500000002</c:v>
                </c:pt>
                <c:pt idx="122">
                  <c:v>312448.5</c:v>
                </c:pt>
                <c:pt idx="123">
                  <c:v>313449.12</c:v>
                </c:pt>
                <c:pt idx="124">
                  <c:v>316931.67000000004</c:v>
                </c:pt>
                <c:pt idx="125">
                  <c:v>320409.315</c:v>
                </c:pt>
                <c:pt idx="126">
                  <c:v>325804.81500000006</c:v>
                </c:pt>
                <c:pt idx="127">
                  <c:v>331847.77500000002</c:v>
                </c:pt>
                <c:pt idx="128">
                  <c:v>340289.28000000003</c:v>
                </c:pt>
                <c:pt idx="129">
                  <c:v>348725.88</c:v>
                </c:pt>
                <c:pt idx="130">
                  <c:v>359487.45</c:v>
                </c:pt>
                <c:pt idx="131">
                  <c:v>370729.71</c:v>
                </c:pt>
                <c:pt idx="132">
                  <c:v>384448.995</c:v>
                </c:pt>
                <c:pt idx="133">
                  <c:v>398168.28</c:v>
                </c:pt>
                <c:pt idx="134">
                  <c:v>413795.61000000004</c:v>
                </c:pt>
                <c:pt idx="135">
                  <c:v>430075.30500000005</c:v>
                </c:pt>
                <c:pt idx="136">
                  <c:v>448699.59</c:v>
                </c:pt>
                <c:pt idx="137">
                  <c:v>467323.875</c:v>
                </c:pt>
                <c:pt idx="138">
                  <c:v>487866.01500000001</c:v>
                </c:pt>
                <c:pt idx="139">
                  <c:v>508795.65</c:v>
                </c:pt>
                <c:pt idx="140">
                  <c:v>528366.6</c:v>
                </c:pt>
                <c:pt idx="141">
                  <c:v>547221.42000000004</c:v>
                </c:pt>
                <c:pt idx="142">
                  <c:v>563672.79</c:v>
                </c:pt>
                <c:pt idx="143">
                  <c:v>579118.63500000001</c:v>
                </c:pt>
                <c:pt idx="144">
                  <c:v>593539.33500000008</c:v>
                </c:pt>
                <c:pt idx="145">
                  <c:v>605458.4850000001</c:v>
                </c:pt>
                <c:pt idx="146">
                  <c:v>616460.4</c:v>
                </c:pt>
                <c:pt idx="147">
                  <c:v>625907.43000000005</c:v>
                </c:pt>
                <c:pt idx="148">
                  <c:v>632828.38500000001</c:v>
                </c:pt>
                <c:pt idx="149">
                  <c:v>639508.99500000011</c:v>
                </c:pt>
                <c:pt idx="150">
                  <c:v>644247.22500000009</c:v>
                </c:pt>
                <c:pt idx="151">
                  <c:v>647253.99</c:v>
                </c:pt>
                <c:pt idx="152">
                  <c:v>649387.66500000004</c:v>
                </c:pt>
                <c:pt idx="153">
                  <c:v>648995.26500000001</c:v>
                </c:pt>
                <c:pt idx="154">
                  <c:v>647744.49</c:v>
                </c:pt>
                <c:pt idx="155">
                  <c:v>644914.30500000005</c:v>
                </c:pt>
                <c:pt idx="156">
                  <c:v>640259.46000000008</c:v>
                </c:pt>
                <c:pt idx="157">
                  <c:v>635119.02</c:v>
                </c:pt>
                <c:pt idx="158">
                  <c:v>627329.88000000012</c:v>
                </c:pt>
                <c:pt idx="159">
                  <c:v>618064.33500000008</c:v>
                </c:pt>
                <c:pt idx="160">
                  <c:v>607670.64000000013</c:v>
                </c:pt>
                <c:pt idx="161">
                  <c:v>595697.53499999992</c:v>
                </c:pt>
                <c:pt idx="162">
                  <c:v>582365.74500000011</c:v>
                </c:pt>
                <c:pt idx="163">
                  <c:v>567331.92000000004</c:v>
                </c:pt>
                <c:pt idx="164">
                  <c:v>550233.09000000008</c:v>
                </c:pt>
                <c:pt idx="165">
                  <c:v>532839.96</c:v>
                </c:pt>
                <c:pt idx="166">
                  <c:v>512513.64</c:v>
                </c:pt>
                <c:pt idx="167">
                  <c:v>492005.83500000002</c:v>
                </c:pt>
                <c:pt idx="168">
                  <c:v>469619.41500000004</c:v>
                </c:pt>
                <c:pt idx="169">
                  <c:v>444937.45500000002</c:v>
                </c:pt>
                <c:pt idx="170">
                  <c:v>419524.65</c:v>
                </c:pt>
                <c:pt idx="171">
                  <c:v>392483.38500000001</c:v>
                </c:pt>
                <c:pt idx="172">
                  <c:v>364215.87</c:v>
                </c:pt>
                <c:pt idx="173">
                  <c:v>336203.41500000004</c:v>
                </c:pt>
                <c:pt idx="174">
                  <c:v>308858.04000000004</c:v>
                </c:pt>
                <c:pt idx="175">
                  <c:v>283087.17000000004</c:v>
                </c:pt>
                <c:pt idx="176">
                  <c:v>258979.095</c:v>
                </c:pt>
                <c:pt idx="177">
                  <c:v>234871.02000000002</c:v>
                </c:pt>
                <c:pt idx="178">
                  <c:v>213529.36499999999</c:v>
                </c:pt>
                <c:pt idx="179">
                  <c:v>192182.80499999999</c:v>
                </c:pt>
                <c:pt idx="180">
                  <c:v>172479.42</c:v>
                </c:pt>
                <c:pt idx="181">
                  <c:v>154223.01</c:v>
                </c:pt>
                <c:pt idx="182">
                  <c:v>136869.12</c:v>
                </c:pt>
                <c:pt idx="183">
                  <c:v>121025.97</c:v>
                </c:pt>
                <c:pt idx="184">
                  <c:v>105683.13</c:v>
                </c:pt>
                <c:pt idx="185">
                  <c:v>92478.87000000001</c:v>
                </c:pt>
                <c:pt idx="186">
                  <c:v>79279.514999999999</c:v>
                </c:pt>
                <c:pt idx="187">
                  <c:v>67394.700000000012</c:v>
                </c:pt>
                <c:pt idx="188">
                  <c:v>56770.47</c:v>
                </c:pt>
                <c:pt idx="189">
                  <c:v>46960.47</c:v>
                </c:pt>
                <c:pt idx="190">
                  <c:v>37425.15</c:v>
                </c:pt>
                <c:pt idx="191">
                  <c:v>29258.325000000001</c:v>
                </c:pt>
                <c:pt idx="192">
                  <c:v>22214.745000000003</c:v>
                </c:pt>
                <c:pt idx="193">
                  <c:v>15499.8</c:v>
                </c:pt>
                <c:pt idx="194">
                  <c:v>9795.2849999999999</c:v>
                </c:pt>
                <c:pt idx="195">
                  <c:v>4811.8050000000003</c:v>
                </c:pt>
                <c:pt idx="196">
                  <c:v>544.45500000000004</c:v>
                </c:pt>
                <c:pt idx="197">
                  <c:v>-3423.6900000000005</c:v>
                </c:pt>
                <c:pt idx="198">
                  <c:v>-6494.22</c:v>
                </c:pt>
                <c:pt idx="199">
                  <c:v>-8564.130000000001</c:v>
                </c:pt>
                <c:pt idx="200">
                  <c:v>-10634.04</c:v>
                </c:pt>
                <c:pt idx="201">
                  <c:v>-11619.945</c:v>
                </c:pt>
                <c:pt idx="202">
                  <c:v>-12468.51</c:v>
                </c:pt>
                <c:pt idx="203">
                  <c:v>-12208.545000000002</c:v>
                </c:pt>
                <c:pt idx="204">
                  <c:v>-11497.32</c:v>
                </c:pt>
                <c:pt idx="205">
                  <c:v>-10545.75</c:v>
                </c:pt>
                <c:pt idx="206">
                  <c:v>-8382.6450000000004</c:v>
                </c:pt>
                <c:pt idx="207">
                  <c:v>-6214.6350000000002</c:v>
                </c:pt>
                <c:pt idx="208">
                  <c:v>-3992.67</c:v>
                </c:pt>
                <c:pt idx="209">
                  <c:v>-2241.585</c:v>
                </c:pt>
                <c:pt idx="210">
                  <c:v>-804.42000000000007</c:v>
                </c:pt>
                <c:pt idx="211">
                  <c:v>358.06500000000005</c:v>
                </c:pt>
                <c:pt idx="212">
                  <c:v>1177.2</c:v>
                </c:pt>
                <c:pt idx="213">
                  <c:v>1643.1750000000002</c:v>
                </c:pt>
                <c:pt idx="214">
                  <c:v>1962</c:v>
                </c:pt>
                <c:pt idx="215">
                  <c:v>2099.34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HGDAT!$D$46</c:f>
              <c:strCache>
                <c:ptCount val="1"/>
                <c:pt idx="0">
                  <c:v>LC.2</c:v>
                </c:pt>
              </c:strCache>
            </c:strRef>
          </c:tx>
          <c:marker>
            <c:symbol val="none"/>
          </c:marker>
          <c:xVal>
            <c:numRef>
              <c:f>HGDAT!$B$47:$B$56</c:f>
              <c:numCache>
                <c:formatCode>0.000_ </c:formatCode>
                <c:ptCount val="10"/>
                <c:pt idx="0">
                  <c:v>0</c:v>
                </c:pt>
                <c:pt idx="1">
                  <c:v>1.54</c:v>
                </c:pt>
                <c:pt idx="2">
                  <c:v>52.677999999999997</c:v>
                </c:pt>
                <c:pt idx="3">
                  <c:v>66.8</c:v>
                </c:pt>
                <c:pt idx="4">
                  <c:v>79.599999999999994</c:v>
                </c:pt>
                <c:pt idx="5">
                  <c:v>92.4</c:v>
                </c:pt>
                <c:pt idx="6">
                  <c:v>105.2</c:v>
                </c:pt>
                <c:pt idx="7">
                  <c:v>120.86199999999999</c:v>
                </c:pt>
                <c:pt idx="8">
                  <c:v>170</c:v>
                </c:pt>
                <c:pt idx="9">
                  <c:v>172</c:v>
                </c:pt>
              </c:numCache>
            </c:numRef>
          </c:xVal>
          <c:yVal>
            <c:numRef>
              <c:f>HGDAT!$D$47:$D$56</c:f>
              <c:numCache>
                <c:formatCode>0_ </c:formatCode>
                <c:ptCount val="10"/>
                <c:pt idx="0">
                  <c:v>1819.7550000000001</c:v>
                </c:pt>
                <c:pt idx="1">
                  <c:v>5770.2901668701697</c:v>
                </c:pt>
                <c:pt idx="2">
                  <c:v>666844</c:v>
                </c:pt>
                <c:pt idx="3">
                  <c:v>666844</c:v>
                </c:pt>
                <c:pt idx="4">
                  <c:v>666844</c:v>
                </c:pt>
                <c:pt idx="5">
                  <c:v>666844</c:v>
                </c:pt>
                <c:pt idx="6">
                  <c:v>666844</c:v>
                </c:pt>
                <c:pt idx="7">
                  <c:v>666844</c:v>
                </c:pt>
                <c:pt idx="8">
                  <c:v>2099.34</c:v>
                </c:pt>
                <c:pt idx="9">
                  <c:v>3941.6076232843097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74176"/>
        <c:axId val="126275968"/>
      </c:scatterChart>
      <c:valAx>
        <c:axId val="126274176"/>
        <c:scaling>
          <c:orientation val="minMax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126275968"/>
        <c:crosses val="autoZero"/>
        <c:crossBetween val="midCat"/>
      </c:valAx>
      <c:valAx>
        <c:axId val="126275968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126274176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ko-KR" sz="1100"/>
              <a:t>Normal Ballast</a:t>
            </a:r>
            <a:endParaRPr lang="en-US" altLang="en-US" sz="11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NORMAL BALLAST</c:v>
                </c:pt>
              </c:strCache>
            </c:strRef>
          </c:tx>
          <c:marker>
            <c:symbol val="none"/>
          </c:marker>
          <c:xVal>
            <c:numRef>
              <c:f>Sheet1!$A$2:$A$217</c:f>
              <c:numCache>
                <c:formatCode>General</c:formatCode>
                <c:ptCount val="216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</c:v>
                </c:pt>
                <c:pt idx="9">
                  <c:v>6.3</c:v>
                </c:pt>
                <c:pt idx="10">
                  <c:v>7</c:v>
                </c:pt>
                <c:pt idx="11">
                  <c:v>7.7</c:v>
                </c:pt>
                <c:pt idx="12">
                  <c:v>8.4</c:v>
                </c:pt>
                <c:pt idx="13">
                  <c:v>9.1999999999999993</c:v>
                </c:pt>
                <c:pt idx="14">
                  <c:v>10</c:v>
                </c:pt>
                <c:pt idx="15">
                  <c:v>10.8</c:v>
                </c:pt>
                <c:pt idx="16">
                  <c:v>11.6</c:v>
                </c:pt>
                <c:pt idx="17">
                  <c:v>12.4</c:v>
                </c:pt>
                <c:pt idx="18">
                  <c:v>13.2</c:v>
                </c:pt>
                <c:pt idx="19">
                  <c:v>14</c:v>
                </c:pt>
                <c:pt idx="20">
                  <c:v>14.8</c:v>
                </c:pt>
                <c:pt idx="21">
                  <c:v>15.6</c:v>
                </c:pt>
                <c:pt idx="22">
                  <c:v>16.399999999999999</c:v>
                </c:pt>
                <c:pt idx="23">
                  <c:v>17.2</c:v>
                </c:pt>
                <c:pt idx="24">
                  <c:v>18</c:v>
                </c:pt>
                <c:pt idx="25">
                  <c:v>18.8</c:v>
                </c:pt>
                <c:pt idx="26">
                  <c:v>19.600000000000001</c:v>
                </c:pt>
                <c:pt idx="27">
                  <c:v>20.399999999999999</c:v>
                </c:pt>
                <c:pt idx="28">
                  <c:v>21.2</c:v>
                </c:pt>
                <c:pt idx="29">
                  <c:v>22</c:v>
                </c:pt>
                <c:pt idx="30">
                  <c:v>22.8</c:v>
                </c:pt>
                <c:pt idx="31">
                  <c:v>23.6</c:v>
                </c:pt>
                <c:pt idx="32">
                  <c:v>24.4</c:v>
                </c:pt>
                <c:pt idx="33">
                  <c:v>25.2</c:v>
                </c:pt>
                <c:pt idx="34">
                  <c:v>26</c:v>
                </c:pt>
                <c:pt idx="35">
                  <c:v>26.8</c:v>
                </c:pt>
                <c:pt idx="36">
                  <c:v>27.6</c:v>
                </c:pt>
                <c:pt idx="37">
                  <c:v>28.4</c:v>
                </c:pt>
                <c:pt idx="38">
                  <c:v>29.2</c:v>
                </c:pt>
                <c:pt idx="39">
                  <c:v>30</c:v>
                </c:pt>
                <c:pt idx="40">
                  <c:v>30.8</c:v>
                </c:pt>
                <c:pt idx="41">
                  <c:v>31.6</c:v>
                </c:pt>
                <c:pt idx="42">
                  <c:v>32.4</c:v>
                </c:pt>
                <c:pt idx="43">
                  <c:v>33.200000000000003</c:v>
                </c:pt>
                <c:pt idx="44">
                  <c:v>34</c:v>
                </c:pt>
                <c:pt idx="45">
                  <c:v>34.799999999999997</c:v>
                </c:pt>
                <c:pt idx="46">
                  <c:v>35.6</c:v>
                </c:pt>
                <c:pt idx="47">
                  <c:v>36.4</c:v>
                </c:pt>
                <c:pt idx="48">
                  <c:v>37.200000000000003</c:v>
                </c:pt>
                <c:pt idx="49">
                  <c:v>38</c:v>
                </c:pt>
                <c:pt idx="50">
                  <c:v>38.799999999999997</c:v>
                </c:pt>
                <c:pt idx="51">
                  <c:v>39.6</c:v>
                </c:pt>
                <c:pt idx="52">
                  <c:v>40.4</c:v>
                </c:pt>
                <c:pt idx="53">
                  <c:v>41.2</c:v>
                </c:pt>
                <c:pt idx="54">
                  <c:v>42</c:v>
                </c:pt>
                <c:pt idx="55">
                  <c:v>42.8</c:v>
                </c:pt>
                <c:pt idx="56">
                  <c:v>43.6</c:v>
                </c:pt>
                <c:pt idx="57">
                  <c:v>44.4</c:v>
                </c:pt>
                <c:pt idx="58">
                  <c:v>45.2</c:v>
                </c:pt>
                <c:pt idx="59">
                  <c:v>46</c:v>
                </c:pt>
                <c:pt idx="60">
                  <c:v>46.8</c:v>
                </c:pt>
                <c:pt idx="61">
                  <c:v>47.6</c:v>
                </c:pt>
                <c:pt idx="62">
                  <c:v>48.4</c:v>
                </c:pt>
                <c:pt idx="63">
                  <c:v>49.2</c:v>
                </c:pt>
                <c:pt idx="64">
                  <c:v>50</c:v>
                </c:pt>
                <c:pt idx="65">
                  <c:v>50.8</c:v>
                </c:pt>
                <c:pt idx="66">
                  <c:v>51.6</c:v>
                </c:pt>
                <c:pt idx="67">
                  <c:v>52.4</c:v>
                </c:pt>
                <c:pt idx="68">
                  <c:v>53.2</c:v>
                </c:pt>
                <c:pt idx="69">
                  <c:v>54</c:v>
                </c:pt>
                <c:pt idx="70">
                  <c:v>54.8</c:v>
                </c:pt>
                <c:pt idx="71">
                  <c:v>55.6</c:v>
                </c:pt>
                <c:pt idx="72">
                  <c:v>56.4</c:v>
                </c:pt>
                <c:pt idx="73">
                  <c:v>57.2</c:v>
                </c:pt>
                <c:pt idx="74">
                  <c:v>58</c:v>
                </c:pt>
                <c:pt idx="75">
                  <c:v>58.8</c:v>
                </c:pt>
                <c:pt idx="76">
                  <c:v>59.6</c:v>
                </c:pt>
                <c:pt idx="77">
                  <c:v>60.4</c:v>
                </c:pt>
                <c:pt idx="78">
                  <c:v>61.2</c:v>
                </c:pt>
                <c:pt idx="79">
                  <c:v>62</c:v>
                </c:pt>
                <c:pt idx="80">
                  <c:v>62.8</c:v>
                </c:pt>
                <c:pt idx="81">
                  <c:v>63.6</c:v>
                </c:pt>
                <c:pt idx="82">
                  <c:v>64.400000000000006</c:v>
                </c:pt>
                <c:pt idx="83">
                  <c:v>65.2</c:v>
                </c:pt>
                <c:pt idx="84">
                  <c:v>66</c:v>
                </c:pt>
                <c:pt idx="85">
                  <c:v>66.8</c:v>
                </c:pt>
                <c:pt idx="86">
                  <c:v>67.599999999999994</c:v>
                </c:pt>
                <c:pt idx="87">
                  <c:v>68.400000000000006</c:v>
                </c:pt>
                <c:pt idx="88">
                  <c:v>69.2</c:v>
                </c:pt>
                <c:pt idx="89">
                  <c:v>70</c:v>
                </c:pt>
                <c:pt idx="90">
                  <c:v>70.8</c:v>
                </c:pt>
                <c:pt idx="91">
                  <c:v>71.599999999999994</c:v>
                </c:pt>
                <c:pt idx="92">
                  <c:v>72.400000000000006</c:v>
                </c:pt>
                <c:pt idx="93">
                  <c:v>73.2</c:v>
                </c:pt>
                <c:pt idx="94">
                  <c:v>74</c:v>
                </c:pt>
                <c:pt idx="95">
                  <c:v>74.8</c:v>
                </c:pt>
                <c:pt idx="96">
                  <c:v>75.599999999999994</c:v>
                </c:pt>
                <c:pt idx="97">
                  <c:v>76.400000000000006</c:v>
                </c:pt>
                <c:pt idx="98">
                  <c:v>77.2</c:v>
                </c:pt>
                <c:pt idx="99">
                  <c:v>78</c:v>
                </c:pt>
                <c:pt idx="100">
                  <c:v>78.8</c:v>
                </c:pt>
                <c:pt idx="101">
                  <c:v>79.599999999999994</c:v>
                </c:pt>
                <c:pt idx="102">
                  <c:v>80.400000000000006</c:v>
                </c:pt>
                <c:pt idx="103">
                  <c:v>81.2</c:v>
                </c:pt>
                <c:pt idx="104">
                  <c:v>82</c:v>
                </c:pt>
                <c:pt idx="105">
                  <c:v>82.8</c:v>
                </c:pt>
                <c:pt idx="106">
                  <c:v>83.6</c:v>
                </c:pt>
                <c:pt idx="107">
                  <c:v>84.4</c:v>
                </c:pt>
                <c:pt idx="108">
                  <c:v>85.2</c:v>
                </c:pt>
                <c:pt idx="109">
                  <c:v>86</c:v>
                </c:pt>
                <c:pt idx="110">
                  <c:v>86.8</c:v>
                </c:pt>
                <c:pt idx="111">
                  <c:v>87.6</c:v>
                </c:pt>
                <c:pt idx="112">
                  <c:v>88.4</c:v>
                </c:pt>
                <c:pt idx="113">
                  <c:v>89.2</c:v>
                </c:pt>
                <c:pt idx="114">
                  <c:v>90</c:v>
                </c:pt>
                <c:pt idx="115">
                  <c:v>90.8</c:v>
                </c:pt>
                <c:pt idx="116">
                  <c:v>91.6</c:v>
                </c:pt>
                <c:pt idx="117">
                  <c:v>92.4</c:v>
                </c:pt>
                <c:pt idx="118">
                  <c:v>93.2</c:v>
                </c:pt>
                <c:pt idx="119">
                  <c:v>94</c:v>
                </c:pt>
                <c:pt idx="120">
                  <c:v>94.8</c:v>
                </c:pt>
                <c:pt idx="121">
                  <c:v>95.6</c:v>
                </c:pt>
                <c:pt idx="122">
                  <c:v>96.4</c:v>
                </c:pt>
                <c:pt idx="123">
                  <c:v>97.2</c:v>
                </c:pt>
                <c:pt idx="124">
                  <c:v>98</c:v>
                </c:pt>
                <c:pt idx="125">
                  <c:v>98.8</c:v>
                </c:pt>
                <c:pt idx="126">
                  <c:v>99.6</c:v>
                </c:pt>
                <c:pt idx="127">
                  <c:v>100.4</c:v>
                </c:pt>
                <c:pt idx="128">
                  <c:v>101.2</c:v>
                </c:pt>
                <c:pt idx="129">
                  <c:v>102</c:v>
                </c:pt>
                <c:pt idx="130">
                  <c:v>102.8</c:v>
                </c:pt>
                <c:pt idx="131">
                  <c:v>103.6</c:v>
                </c:pt>
                <c:pt idx="132">
                  <c:v>104.4</c:v>
                </c:pt>
                <c:pt idx="133">
                  <c:v>105.2</c:v>
                </c:pt>
                <c:pt idx="134">
                  <c:v>106</c:v>
                </c:pt>
                <c:pt idx="135">
                  <c:v>106.8</c:v>
                </c:pt>
                <c:pt idx="136">
                  <c:v>107.6</c:v>
                </c:pt>
                <c:pt idx="137">
                  <c:v>108.4</c:v>
                </c:pt>
                <c:pt idx="138">
                  <c:v>109.2</c:v>
                </c:pt>
                <c:pt idx="139">
                  <c:v>110</c:v>
                </c:pt>
                <c:pt idx="140">
                  <c:v>110.8</c:v>
                </c:pt>
                <c:pt idx="141">
                  <c:v>111.6</c:v>
                </c:pt>
                <c:pt idx="142">
                  <c:v>112.4</c:v>
                </c:pt>
                <c:pt idx="143">
                  <c:v>113.2</c:v>
                </c:pt>
                <c:pt idx="144">
                  <c:v>114</c:v>
                </c:pt>
                <c:pt idx="145">
                  <c:v>114.8</c:v>
                </c:pt>
                <c:pt idx="146">
                  <c:v>115.6</c:v>
                </c:pt>
                <c:pt idx="147">
                  <c:v>116.4</c:v>
                </c:pt>
                <c:pt idx="148">
                  <c:v>117.2</c:v>
                </c:pt>
                <c:pt idx="149">
                  <c:v>118</c:v>
                </c:pt>
                <c:pt idx="150">
                  <c:v>118.8</c:v>
                </c:pt>
                <c:pt idx="151">
                  <c:v>119.6</c:v>
                </c:pt>
                <c:pt idx="152">
                  <c:v>120.4</c:v>
                </c:pt>
                <c:pt idx="153">
                  <c:v>121.2</c:v>
                </c:pt>
                <c:pt idx="154">
                  <c:v>122</c:v>
                </c:pt>
                <c:pt idx="155">
                  <c:v>122.8</c:v>
                </c:pt>
                <c:pt idx="156">
                  <c:v>123.6</c:v>
                </c:pt>
                <c:pt idx="157">
                  <c:v>124.4</c:v>
                </c:pt>
                <c:pt idx="158">
                  <c:v>125.2</c:v>
                </c:pt>
                <c:pt idx="159">
                  <c:v>126</c:v>
                </c:pt>
                <c:pt idx="160">
                  <c:v>126.8</c:v>
                </c:pt>
                <c:pt idx="161">
                  <c:v>127.6</c:v>
                </c:pt>
                <c:pt idx="162">
                  <c:v>128.4</c:v>
                </c:pt>
                <c:pt idx="163">
                  <c:v>129.19999999999999</c:v>
                </c:pt>
                <c:pt idx="164">
                  <c:v>130</c:v>
                </c:pt>
                <c:pt idx="165">
                  <c:v>130.80000000000001</c:v>
                </c:pt>
                <c:pt idx="166">
                  <c:v>131.6</c:v>
                </c:pt>
                <c:pt idx="167">
                  <c:v>132.4</c:v>
                </c:pt>
                <c:pt idx="168">
                  <c:v>133.19999999999999</c:v>
                </c:pt>
                <c:pt idx="169">
                  <c:v>134</c:v>
                </c:pt>
                <c:pt idx="170">
                  <c:v>134.80000000000001</c:v>
                </c:pt>
                <c:pt idx="171">
                  <c:v>135.6</c:v>
                </c:pt>
                <c:pt idx="172">
                  <c:v>136.4</c:v>
                </c:pt>
                <c:pt idx="173">
                  <c:v>137.19999999999999</c:v>
                </c:pt>
                <c:pt idx="174">
                  <c:v>138</c:v>
                </c:pt>
                <c:pt idx="175">
                  <c:v>138.80000000000001</c:v>
                </c:pt>
                <c:pt idx="176">
                  <c:v>139.6</c:v>
                </c:pt>
                <c:pt idx="177">
                  <c:v>140.4</c:v>
                </c:pt>
                <c:pt idx="178">
                  <c:v>141.19999999999999</c:v>
                </c:pt>
                <c:pt idx="179">
                  <c:v>142</c:v>
                </c:pt>
                <c:pt idx="180">
                  <c:v>142.80000000000001</c:v>
                </c:pt>
                <c:pt idx="181">
                  <c:v>143.6</c:v>
                </c:pt>
                <c:pt idx="182">
                  <c:v>144.4</c:v>
                </c:pt>
                <c:pt idx="183">
                  <c:v>145.19999999999999</c:v>
                </c:pt>
                <c:pt idx="184">
                  <c:v>146</c:v>
                </c:pt>
                <c:pt idx="185">
                  <c:v>146.80000000000001</c:v>
                </c:pt>
                <c:pt idx="186">
                  <c:v>147.6</c:v>
                </c:pt>
                <c:pt idx="187">
                  <c:v>148.4</c:v>
                </c:pt>
                <c:pt idx="188">
                  <c:v>149.19999999999999</c:v>
                </c:pt>
                <c:pt idx="189">
                  <c:v>150</c:v>
                </c:pt>
                <c:pt idx="190">
                  <c:v>150.80000000000001</c:v>
                </c:pt>
                <c:pt idx="191">
                  <c:v>151.6</c:v>
                </c:pt>
                <c:pt idx="192">
                  <c:v>152.4</c:v>
                </c:pt>
                <c:pt idx="193">
                  <c:v>153.19999999999999</c:v>
                </c:pt>
                <c:pt idx="194">
                  <c:v>154</c:v>
                </c:pt>
                <c:pt idx="195">
                  <c:v>154.80000000000001</c:v>
                </c:pt>
                <c:pt idx="196">
                  <c:v>155.6</c:v>
                </c:pt>
                <c:pt idx="197">
                  <c:v>156.4</c:v>
                </c:pt>
                <c:pt idx="198">
                  <c:v>157.19999999999999</c:v>
                </c:pt>
                <c:pt idx="199">
                  <c:v>158</c:v>
                </c:pt>
                <c:pt idx="200">
                  <c:v>158.80000000000001</c:v>
                </c:pt>
                <c:pt idx="201">
                  <c:v>159.6</c:v>
                </c:pt>
                <c:pt idx="202">
                  <c:v>160.4</c:v>
                </c:pt>
                <c:pt idx="203">
                  <c:v>161.19999999999999</c:v>
                </c:pt>
                <c:pt idx="204">
                  <c:v>162</c:v>
                </c:pt>
                <c:pt idx="205">
                  <c:v>162.80000000000001</c:v>
                </c:pt>
                <c:pt idx="206">
                  <c:v>163.6</c:v>
                </c:pt>
                <c:pt idx="207">
                  <c:v>164.4</c:v>
                </c:pt>
                <c:pt idx="208">
                  <c:v>165.1</c:v>
                </c:pt>
                <c:pt idx="209">
                  <c:v>165.8</c:v>
                </c:pt>
                <c:pt idx="210">
                  <c:v>166.5</c:v>
                </c:pt>
                <c:pt idx="211">
                  <c:v>167.2</c:v>
                </c:pt>
                <c:pt idx="212">
                  <c:v>167.9</c:v>
                </c:pt>
                <c:pt idx="213">
                  <c:v>168.6</c:v>
                </c:pt>
                <c:pt idx="214">
                  <c:v>169.3</c:v>
                </c:pt>
                <c:pt idx="215">
                  <c:v>170</c:v>
                </c:pt>
              </c:numCache>
            </c:numRef>
          </c:xVal>
          <c:yVal>
            <c:numRef>
              <c:f>Sheet1!$E$2:$E$217</c:f>
              <c:numCache>
                <c:formatCode>#,##0_ </c:formatCode>
                <c:ptCount val="216"/>
                <c:pt idx="0">
                  <c:v>3546.3150000000005</c:v>
                </c:pt>
                <c:pt idx="1">
                  <c:v>5008.005000000001</c:v>
                </c:pt>
                <c:pt idx="2">
                  <c:v>6749.2800000000007</c:v>
                </c:pt>
                <c:pt idx="3">
                  <c:v>8686.755000000001</c:v>
                </c:pt>
                <c:pt idx="4">
                  <c:v>10933.245000000001</c:v>
                </c:pt>
                <c:pt idx="5">
                  <c:v>13567.230000000001</c:v>
                </c:pt>
                <c:pt idx="6">
                  <c:v>16539.66</c:v>
                </c:pt>
                <c:pt idx="7">
                  <c:v>19840.725000000002</c:v>
                </c:pt>
                <c:pt idx="8">
                  <c:v>23573.43</c:v>
                </c:pt>
                <c:pt idx="9">
                  <c:v>27747.585000000003</c:v>
                </c:pt>
                <c:pt idx="10">
                  <c:v>32157.18</c:v>
                </c:pt>
                <c:pt idx="11">
                  <c:v>37287.810000000005</c:v>
                </c:pt>
                <c:pt idx="12">
                  <c:v>42673.5</c:v>
                </c:pt>
                <c:pt idx="13">
                  <c:v>49741.605000000003</c:v>
                </c:pt>
                <c:pt idx="14">
                  <c:v>57054.96</c:v>
                </c:pt>
                <c:pt idx="15">
                  <c:v>64927.485000000001</c:v>
                </c:pt>
                <c:pt idx="16">
                  <c:v>73123.740000000005</c:v>
                </c:pt>
                <c:pt idx="17">
                  <c:v>81805.59</c:v>
                </c:pt>
                <c:pt idx="18">
                  <c:v>90938.700000000012</c:v>
                </c:pt>
                <c:pt idx="19">
                  <c:v>100189.53</c:v>
                </c:pt>
                <c:pt idx="20">
                  <c:v>109822.95000000001</c:v>
                </c:pt>
                <c:pt idx="21">
                  <c:v>119755.575</c:v>
                </c:pt>
                <c:pt idx="22">
                  <c:v>130002.12</c:v>
                </c:pt>
                <c:pt idx="23">
                  <c:v>140538.06</c:v>
                </c:pt>
                <c:pt idx="24">
                  <c:v>151383.01500000001</c:v>
                </c:pt>
                <c:pt idx="25">
                  <c:v>162340.78500000003</c:v>
                </c:pt>
                <c:pt idx="26">
                  <c:v>173627.19</c:v>
                </c:pt>
                <c:pt idx="27">
                  <c:v>184918.5</c:v>
                </c:pt>
                <c:pt idx="28">
                  <c:v>196386.39</c:v>
                </c:pt>
                <c:pt idx="29">
                  <c:v>207986.71500000003</c:v>
                </c:pt>
                <c:pt idx="30">
                  <c:v>219621.375</c:v>
                </c:pt>
                <c:pt idx="31">
                  <c:v>231309.99000000002</c:v>
                </c:pt>
                <c:pt idx="32">
                  <c:v>242998.60500000004</c:v>
                </c:pt>
                <c:pt idx="33">
                  <c:v>254613.64500000002</c:v>
                </c:pt>
                <c:pt idx="34">
                  <c:v>266086.44</c:v>
                </c:pt>
                <c:pt idx="35">
                  <c:v>277387.56</c:v>
                </c:pt>
                <c:pt idx="36">
                  <c:v>288590.58</c:v>
                </c:pt>
                <c:pt idx="37">
                  <c:v>299533.63500000001</c:v>
                </c:pt>
                <c:pt idx="38">
                  <c:v>310334.44500000001</c:v>
                </c:pt>
                <c:pt idx="39">
                  <c:v>320988.10499999998</c:v>
                </c:pt>
                <c:pt idx="40">
                  <c:v>331528.95</c:v>
                </c:pt>
                <c:pt idx="41">
                  <c:v>342094.32</c:v>
                </c:pt>
                <c:pt idx="42">
                  <c:v>352703.83500000002</c:v>
                </c:pt>
                <c:pt idx="43">
                  <c:v>363342.78</c:v>
                </c:pt>
                <c:pt idx="44">
                  <c:v>373986.63</c:v>
                </c:pt>
                <c:pt idx="45">
                  <c:v>384625.57500000001</c:v>
                </c:pt>
                <c:pt idx="46">
                  <c:v>395254.71</c:v>
                </c:pt>
                <c:pt idx="47">
                  <c:v>405888.75</c:v>
                </c:pt>
                <c:pt idx="48">
                  <c:v>416512.98</c:v>
                </c:pt>
                <c:pt idx="49">
                  <c:v>427083.255</c:v>
                </c:pt>
                <c:pt idx="50">
                  <c:v>437633.91000000003</c:v>
                </c:pt>
                <c:pt idx="51">
                  <c:v>448135.51500000001</c:v>
                </c:pt>
                <c:pt idx="52">
                  <c:v>458529.21</c:v>
                </c:pt>
                <c:pt idx="53">
                  <c:v>468829.71</c:v>
                </c:pt>
                <c:pt idx="54">
                  <c:v>479066.44500000001</c:v>
                </c:pt>
                <c:pt idx="55">
                  <c:v>489121.69500000007</c:v>
                </c:pt>
                <c:pt idx="56">
                  <c:v>499078.84499999997</c:v>
                </c:pt>
                <c:pt idx="57">
                  <c:v>508928.08500000002</c:v>
                </c:pt>
                <c:pt idx="58">
                  <c:v>518502.64500000002</c:v>
                </c:pt>
                <c:pt idx="59">
                  <c:v>528072.30000000005</c:v>
                </c:pt>
                <c:pt idx="60">
                  <c:v>537484.995</c:v>
                </c:pt>
                <c:pt idx="61">
                  <c:v>546691.68000000005</c:v>
                </c:pt>
                <c:pt idx="62">
                  <c:v>555677.64</c:v>
                </c:pt>
                <c:pt idx="63">
                  <c:v>564663.60000000009</c:v>
                </c:pt>
                <c:pt idx="64">
                  <c:v>573340.54500000004</c:v>
                </c:pt>
                <c:pt idx="65">
                  <c:v>581757.52500000002</c:v>
                </c:pt>
                <c:pt idx="66">
                  <c:v>589968.495</c:v>
                </c:pt>
                <c:pt idx="67">
                  <c:v>598130.41500000004</c:v>
                </c:pt>
                <c:pt idx="68">
                  <c:v>605953.89</c:v>
                </c:pt>
                <c:pt idx="69">
                  <c:v>613532.11499999999</c:v>
                </c:pt>
                <c:pt idx="70">
                  <c:v>620732.65500000003</c:v>
                </c:pt>
                <c:pt idx="71">
                  <c:v>627869.42999999993</c:v>
                </c:pt>
                <c:pt idx="72">
                  <c:v>634667.76</c:v>
                </c:pt>
                <c:pt idx="73">
                  <c:v>641490.61499999999</c:v>
                </c:pt>
                <c:pt idx="74">
                  <c:v>648450.81000000006</c:v>
                </c:pt>
                <c:pt idx="75">
                  <c:v>655420.81500000006</c:v>
                </c:pt>
                <c:pt idx="76">
                  <c:v>662130.85499999998</c:v>
                </c:pt>
                <c:pt idx="77">
                  <c:v>668473.02</c:v>
                </c:pt>
                <c:pt idx="78">
                  <c:v>674824.99500000011</c:v>
                </c:pt>
                <c:pt idx="79">
                  <c:v>680686.47</c:v>
                </c:pt>
                <c:pt idx="80">
                  <c:v>686312.505</c:v>
                </c:pt>
                <c:pt idx="81">
                  <c:v>691649.14500000002</c:v>
                </c:pt>
                <c:pt idx="82">
                  <c:v>696868.06500000006</c:v>
                </c:pt>
                <c:pt idx="83">
                  <c:v>701831.92500000005</c:v>
                </c:pt>
                <c:pt idx="84">
                  <c:v>706457.34000000008</c:v>
                </c:pt>
                <c:pt idx="85">
                  <c:v>710812.98</c:v>
                </c:pt>
                <c:pt idx="86">
                  <c:v>714996.94500000007</c:v>
                </c:pt>
                <c:pt idx="87">
                  <c:v>718950.375</c:v>
                </c:pt>
                <c:pt idx="88">
                  <c:v>722589.88500000001</c:v>
                </c:pt>
                <c:pt idx="89">
                  <c:v>726062.625</c:v>
                </c:pt>
                <c:pt idx="90">
                  <c:v>729260.68500000006</c:v>
                </c:pt>
                <c:pt idx="91">
                  <c:v>732174.25500000012</c:v>
                </c:pt>
                <c:pt idx="92">
                  <c:v>734818.05</c:v>
                </c:pt>
                <c:pt idx="93">
                  <c:v>737363.745</c:v>
                </c:pt>
                <c:pt idx="94">
                  <c:v>739649.47500000009</c:v>
                </c:pt>
                <c:pt idx="95">
                  <c:v>741532.99500000011</c:v>
                </c:pt>
                <c:pt idx="96">
                  <c:v>743357.65500000003</c:v>
                </c:pt>
                <c:pt idx="97">
                  <c:v>744888.01500000013</c:v>
                </c:pt>
                <c:pt idx="98">
                  <c:v>746163.31500000006</c:v>
                </c:pt>
                <c:pt idx="99">
                  <c:v>747144.31499999994</c:v>
                </c:pt>
                <c:pt idx="100">
                  <c:v>748100.79</c:v>
                </c:pt>
                <c:pt idx="101">
                  <c:v>748664.86499999999</c:v>
                </c:pt>
                <c:pt idx="102">
                  <c:v>749067.07499999995</c:v>
                </c:pt>
                <c:pt idx="103">
                  <c:v>749052.3600000001</c:v>
                </c:pt>
                <c:pt idx="104">
                  <c:v>749032.74</c:v>
                </c:pt>
                <c:pt idx="105">
                  <c:v>748679.58000000007</c:v>
                </c:pt>
                <c:pt idx="106">
                  <c:v>748370.56500000006</c:v>
                </c:pt>
                <c:pt idx="107">
                  <c:v>748247.94</c:v>
                </c:pt>
                <c:pt idx="108">
                  <c:v>748140.03</c:v>
                </c:pt>
                <c:pt idx="109">
                  <c:v>747835.92</c:v>
                </c:pt>
                <c:pt idx="110">
                  <c:v>747262.03500000003</c:v>
                </c:pt>
                <c:pt idx="111">
                  <c:v>746555.71500000008</c:v>
                </c:pt>
                <c:pt idx="112">
                  <c:v>745481.52</c:v>
                </c:pt>
                <c:pt idx="113">
                  <c:v>744225.84000000008</c:v>
                </c:pt>
                <c:pt idx="114">
                  <c:v>742720.005</c:v>
                </c:pt>
                <c:pt idx="115">
                  <c:v>741106.26</c:v>
                </c:pt>
                <c:pt idx="116">
                  <c:v>739281.60000000009</c:v>
                </c:pt>
                <c:pt idx="117">
                  <c:v>737147.92500000005</c:v>
                </c:pt>
                <c:pt idx="118">
                  <c:v>734808.24</c:v>
                </c:pt>
                <c:pt idx="119">
                  <c:v>732355.74</c:v>
                </c:pt>
                <c:pt idx="120">
                  <c:v>729657.99</c:v>
                </c:pt>
                <c:pt idx="121">
                  <c:v>726685.56</c:v>
                </c:pt>
                <c:pt idx="122">
                  <c:v>723639.55500000005</c:v>
                </c:pt>
                <c:pt idx="123">
                  <c:v>720318.87</c:v>
                </c:pt>
                <c:pt idx="124">
                  <c:v>716698.98</c:v>
                </c:pt>
                <c:pt idx="125">
                  <c:v>712956.46500000008</c:v>
                </c:pt>
                <c:pt idx="126">
                  <c:v>709091.32499999995</c:v>
                </c:pt>
                <c:pt idx="127">
                  <c:v>704980.93500000006</c:v>
                </c:pt>
                <c:pt idx="128">
                  <c:v>700537.00500000012</c:v>
                </c:pt>
                <c:pt idx="129">
                  <c:v>696078.3600000001</c:v>
                </c:pt>
                <c:pt idx="130">
                  <c:v>691320.51</c:v>
                </c:pt>
                <c:pt idx="131">
                  <c:v>686376.27</c:v>
                </c:pt>
                <c:pt idx="132">
                  <c:v>681172.06499999994</c:v>
                </c:pt>
                <c:pt idx="133">
                  <c:v>675958.05</c:v>
                </c:pt>
                <c:pt idx="134">
                  <c:v>670400.68500000006</c:v>
                </c:pt>
                <c:pt idx="135">
                  <c:v>664710.88500000001</c:v>
                </c:pt>
                <c:pt idx="136">
                  <c:v>658658.11499999999</c:v>
                </c:pt>
                <c:pt idx="137">
                  <c:v>652590.63</c:v>
                </c:pt>
                <c:pt idx="138">
                  <c:v>646238.65500000003</c:v>
                </c:pt>
                <c:pt idx="139">
                  <c:v>639960.255</c:v>
                </c:pt>
                <c:pt idx="140">
                  <c:v>633907.4850000001</c:v>
                </c:pt>
                <c:pt idx="141">
                  <c:v>627889.05000000005</c:v>
                </c:pt>
                <c:pt idx="142">
                  <c:v>621728.37000000011</c:v>
                </c:pt>
                <c:pt idx="143">
                  <c:v>615268.4850000001</c:v>
                </c:pt>
                <c:pt idx="144">
                  <c:v>608788.98</c:v>
                </c:pt>
                <c:pt idx="145">
                  <c:v>601946.50500000012</c:v>
                </c:pt>
                <c:pt idx="146">
                  <c:v>594966.69000000006</c:v>
                </c:pt>
                <c:pt idx="147">
                  <c:v>587790.67500000005</c:v>
                </c:pt>
                <c:pt idx="148">
                  <c:v>580393.93500000006</c:v>
                </c:pt>
                <c:pt idx="149">
                  <c:v>572899.09499999997</c:v>
                </c:pt>
                <c:pt idx="150">
                  <c:v>565129.57499999995</c:v>
                </c:pt>
                <c:pt idx="151">
                  <c:v>557208</c:v>
                </c:pt>
                <c:pt idx="152">
                  <c:v>549153.99</c:v>
                </c:pt>
                <c:pt idx="153">
                  <c:v>540879.255</c:v>
                </c:pt>
                <c:pt idx="154">
                  <c:v>532383.79500000004</c:v>
                </c:pt>
                <c:pt idx="155">
                  <c:v>523824.57000000007</c:v>
                </c:pt>
                <c:pt idx="156">
                  <c:v>515000.47500000003</c:v>
                </c:pt>
                <c:pt idx="157">
                  <c:v>506039.04000000004</c:v>
                </c:pt>
                <c:pt idx="158">
                  <c:v>496842.16500000004</c:v>
                </c:pt>
                <c:pt idx="159">
                  <c:v>487503.04500000004</c:v>
                </c:pt>
                <c:pt idx="160">
                  <c:v>478065.82500000001</c:v>
                </c:pt>
                <c:pt idx="161">
                  <c:v>468304.875</c:v>
                </c:pt>
                <c:pt idx="162">
                  <c:v>458514.495</c:v>
                </c:pt>
                <c:pt idx="163">
                  <c:v>448508.29500000004</c:v>
                </c:pt>
                <c:pt idx="164">
                  <c:v>438296.08500000002</c:v>
                </c:pt>
                <c:pt idx="165">
                  <c:v>427912.2</c:v>
                </c:pt>
                <c:pt idx="166">
                  <c:v>417425.31</c:v>
                </c:pt>
                <c:pt idx="167">
                  <c:v>406752.03</c:v>
                </c:pt>
                <c:pt idx="168">
                  <c:v>395916.88500000001</c:v>
                </c:pt>
                <c:pt idx="169">
                  <c:v>384836.49</c:v>
                </c:pt>
                <c:pt idx="170">
                  <c:v>373677.61499999999</c:v>
                </c:pt>
                <c:pt idx="171">
                  <c:v>362327.44500000007</c:v>
                </c:pt>
                <c:pt idx="172">
                  <c:v>351080.28</c:v>
                </c:pt>
                <c:pt idx="173">
                  <c:v>340279.47</c:v>
                </c:pt>
                <c:pt idx="174">
                  <c:v>329660.14500000002</c:v>
                </c:pt>
                <c:pt idx="175">
                  <c:v>319173.255</c:v>
                </c:pt>
                <c:pt idx="176">
                  <c:v>308676.55500000005</c:v>
                </c:pt>
                <c:pt idx="177">
                  <c:v>298174.95</c:v>
                </c:pt>
                <c:pt idx="178">
                  <c:v>287737.11</c:v>
                </c:pt>
                <c:pt idx="179">
                  <c:v>277309.08</c:v>
                </c:pt>
                <c:pt idx="180">
                  <c:v>266984.05500000005</c:v>
                </c:pt>
                <c:pt idx="181">
                  <c:v>256673.74500000002</c:v>
                </c:pt>
                <c:pt idx="182">
                  <c:v>246486.06</c:v>
                </c:pt>
                <c:pt idx="183">
                  <c:v>236357.23500000002</c:v>
                </c:pt>
                <c:pt idx="184">
                  <c:v>226404.99</c:v>
                </c:pt>
                <c:pt idx="185">
                  <c:v>216452.745</c:v>
                </c:pt>
                <c:pt idx="186">
                  <c:v>206691.79500000001</c:v>
                </c:pt>
                <c:pt idx="187">
                  <c:v>197004.42</c:v>
                </c:pt>
                <c:pt idx="188">
                  <c:v>187562.29500000001</c:v>
                </c:pt>
                <c:pt idx="189">
                  <c:v>178188.84000000003</c:v>
                </c:pt>
                <c:pt idx="190">
                  <c:v>168918.39</c:v>
                </c:pt>
                <c:pt idx="191">
                  <c:v>159883.38</c:v>
                </c:pt>
                <c:pt idx="192">
                  <c:v>151078.90500000003</c:v>
                </c:pt>
                <c:pt idx="193">
                  <c:v>142328.38500000001</c:v>
                </c:pt>
                <c:pt idx="194">
                  <c:v>133832.92500000002</c:v>
                </c:pt>
                <c:pt idx="195">
                  <c:v>125396.32500000001</c:v>
                </c:pt>
                <c:pt idx="196">
                  <c:v>117303.07500000001</c:v>
                </c:pt>
                <c:pt idx="197">
                  <c:v>109214.73000000001</c:v>
                </c:pt>
                <c:pt idx="198">
                  <c:v>101332.395</c:v>
                </c:pt>
                <c:pt idx="199">
                  <c:v>93636.450000000012</c:v>
                </c:pt>
                <c:pt idx="200">
                  <c:v>86112.180000000008</c:v>
                </c:pt>
                <c:pt idx="201">
                  <c:v>78690.915000000008</c:v>
                </c:pt>
                <c:pt idx="202">
                  <c:v>71333.415000000008</c:v>
                </c:pt>
                <c:pt idx="203">
                  <c:v>64211.35500000001</c:v>
                </c:pt>
                <c:pt idx="204">
                  <c:v>57383.595000000001</c:v>
                </c:pt>
                <c:pt idx="205">
                  <c:v>50693.175000000003</c:v>
                </c:pt>
                <c:pt idx="206">
                  <c:v>44252.91</c:v>
                </c:pt>
                <c:pt idx="207">
                  <c:v>37871.505000000005</c:v>
                </c:pt>
                <c:pt idx="208">
                  <c:v>32691.825000000004</c:v>
                </c:pt>
                <c:pt idx="209">
                  <c:v>27983.025000000001</c:v>
                </c:pt>
                <c:pt idx="210">
                  <c:v>23926.590000000004</c:v>
                </c:pt>
                <c:pt idx="211">
                  <c:v>20076.165000000001</c:v>
                </c:pt>
                <c:pt idx="212">
                  <c:v>16515.135000000002</c:v>
                </c:pt>
                <c:pt idx="213">
                  <c:v>13537.8</c:v>
                </c:pt>
                <c:pt idx="214">
                  <c:v>10962.675000000001</c:v>
                </c:pt>
                <c:pt idx="215">
                  <c:v>8554.32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HGDAT!$E$46</c:f>
              <c:strCache>
                <c:ptCount val="1"/>
                <c:pt idx="0">
                  <c:v>LC.3</c:v>
                </c:pt>
              </c:strCache>
            </c:strRef>
          </c:tx>
          <c:marker>
            <c:symbol val="none"/>
          </c:marker>
          <c:xVal>
            <c:numRef>
              <c:f>HGDAT!$B$47:$B$56</c:f>
              <c:numCache>
                <c:formatCode>0.000_ </c:formatCode>
                <c:ptCount val="10"/>
                <c:pt idx="0">
                  <c:v>0</c:v>
                </c:pt>
                <c:pt idx="1">
                  <c:v>1.54</c:v>
                </c:pt>
                <c:pt idx="2">
                  <c:v>52.677999999999997</c:v>
                </c:pt>
                <c:pt idx="3">
                  <c:v>66.8</c:v>
                </c:pt>
                <c:pt idx="4">
                  <c:v>79.599999999999994</c:v>
                </c:pt>
                <c:pt idx="5">
                  <c:v>92.4</c:v>
                </c:pt>
                <c:pt idx="6">
                  <c:v>105.2</c:v>
                </c:pt>
                <c:pt idx="7">
                  <c:v>120.86199999999999</c:v>
                </c:pt>
                <c:pt idx="8">
                  <c:v>170</c:v>
                </c:pt>
                <c:pt idx="9">
                  <c:v>172</c:v>
                </c:pt>
              </c:numCache>
            </c:numRef>
          </c:xVal>
          <c:yVal>
            <c:numRef>
              <c:f>HGDAT!$E$47:$E$56</c:f>
              <c:numCache>
                <c:formatCode>0_ </c:formatCode>
                <c:ptCount val="10"/>
                <c:pt idx="0">
                  <c:v>3546.3150000000005</c:v>
                </c:pt>
                <c:pt idx="1">
                  <c:v>5920.8366071497585</c:v>
                </c:pt>
                <c:pt idx="2">
                  <c:v>605953.89</c:v>
                </c:pt>
                <c:pt idx="3">
                  <c:v>710812.98</c:v>
                </c:pt>
                <c:pt idx="4">
                  <c:v>748664.86499999999</c:v>
                </c:pt>
                <c:pt idx="5">
                  <c:v>737147.92500000005</c:v>
                </c:pt>
                <c:pt idx="6">
                  <c:v>675958.05</c:v>
                </c:pt>
                <c:pt idx="7">
                  <c:v>572899.09499999997</c:v>
                </c:pt>
                <c:pt idx="8">
                  <c:v>8554.32</c:v>
                </c:pt>
                <c:pt idx="9">
                  <c:v>3029.2394104143968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112512"/>
        <c:axId val="126114048"/>
      </c:scatterChart>
      <c:valAx>
        <c:axId val="126112512"/>
        <c:scaling>
          <c:orientation val="minMax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126114048"/>
        <c:crosses val="autoZero"/>
        <c:crossBetween val="midCat"/>
      </c:valAx>
      <c:valAx>
        <c:axId val="126114048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126112512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ko-KR" sz="1100"/>
              <a:t>Heavy Ballast</a:t>
            </a:r>
            <a:endParaRPr lang="en-US" altLang="en-US" sz="1100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HEAVY BALLAST</c:v>
                </c:pt>
              </c:strCache>
            </c:strRef>
          </c:tx>
          <c:marker>
            <c:symbol val="none"/>
          </c:marker>
          <c:xVal>
            <c:numRef>
              <c:f>Sheet1!$A$2:$A$217</c:f>
              <c:numCache>
                <c:formatCode>General</c:formatCode>
                <c:ptCount val="216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</c:v>
                </c:pt>
                <c:pt idx="9">
                  <c:v>6.3</c:v>
                </c:pt>
                <c:pt idx="10">
                  <c:v>7</c:v>
                </c:pt>
                <c:pt idx="11">
                  <c:v>7.7</c:v>
                </c:pt>
                <c:pt idx="12">
                  <c:v>8.4</c:v>
                </c:pt>
                <c:pt idx="13">
                  <c:v>9.1999999999999993</c:v>
                </c:pt>
                <c:pt idx="14">
                  <c:v>10</c:v>
                </c:pt>
                <c:pt idx="15">
                  <c:v>10.8</c:v>
                </c:pt>
                <c:pt idx="16">
                  <c:v>11.6</c:v>
                </c:pt>
                <c:pt idx="17">
                  <c:v>12.4</c:v>
                </c:pt>
                <c:pt idx="18">
                  <c:v>13.2</c:v>
                </c:pt>
                <c:pt idx="19">
                  <c:v>14</c:v>
                </c:pt>
                <c:pt idx="20">
                  <c:v>14.8</c:v>
                </c:pt>
                <c:pt idx="21">
                  <c:v>15.6</c:v>
                </c:pt>
                <c:pt idx="22">
                  <c:v>16.399999999999999</c:v>
                </c:pt>
                <c:pt idx="23">
                  <c:v>17.2</c:v>
                </c:pt>
                <c:pt idx="24">
                  <c:v>18</c:v>
                </c:pt>
                <c:pt idx="25">
                  <c:v>18.8</c:v>
                </c:pt>
                <c:pt idx="26">
                  <c:v>19.600000000000001</c:v>
                </c:pt>
                <c:pt idx="27">
                  <c:v>20.399999999999999</c:v>
                </c:pt>
                <c:pt idx="28">
                  <c:v>21.2</c:v>
                </c:pt>
                <c:pt idx="29">
                  <c:v>22</c:v>
                </c:pt>
                <c:pt idx="30">
                  <c:v>22.8</c:v>
                </c:pt>
                <c:pt idx="31">
                  <c:v>23.6</c:v>
                </c:pt>
                <c:pt idx="32">
                  <c:v>24.4</c:v>
                </c:pt>
                <c:pt idx="33">
                  <c:v>25.2</c:v>
                </c:pt>
                <c:pt idx="34">
                  <c:v>26</c:v>
                </c:pt>
                <c:pt idx="35">
                  <c:v>26.8</c:v>
                </c:pt>
                <c:pt idx="36">
                  <c:v>27.6</c:v>
                </c:pt>
                <c:pt idx="37">
                  <c:v>28.4</c:v>
                </c:pt>
                <c:pt idx="38">
                  <c:v>29.2</c:v>
                </c:pt>
                <c:pt idx="39">
                  <c:v>30</c:v>
                </c:pt>
                <c:pt idx="40">
                  <c:v>30.8</c:v>
                </c:pt>
                <c:pt idx="41">
                  <c:v>31.6</c:v>
                </c:pt>
                <c:pt idx="42">
                  <c:v>32.4</c:v>
                </c:pt>
                <c:pt idx="43">
                  <c:v>33.200000000000003</c:v>
                </c:pt>
                <c:pt idx="44">
                  <c:v>34</c:v>
                </c:pt>
                <c:pt idx="45">
                  <c:v>34.799999999999997</c:v>
                </c:pt>
                <c:pt idx="46">
                  <c:v>35.6</c:v>
                </c:pt>
                <c:pt idx="47">
                  <c:v>36.4</c:v>
                </c:pt>
                <c:pt idx="48">
                  <c:v>37.200000000000003</c:v>
                </c:pt>
                <c:pt idx="49">
                  <c:v>38</c:v>
                </c:pt>
                <c:pt idx="50">
                  <c:v>38.799999999999997</c:v>
                </c:pt>
                <c:pt idx="51">
                  <c:v>39.6</c:v>
                </c:pt>
                <c:pt idx="52">
                  <c:v>40.4</c:v>
                </c:pt>
                <c:pt idx="53">
                  <c:v>41.2</c:v>
                </c:pt>
                <c:pt idx="54">
                  <c:v>42</c:v>
                </c:pt>
                <c:pt idx="55">
                  <c:v>42.8</c:v>
                </c:pt>
                <c:pt idx="56">
                  <c:v>43.6</c:v>
                </c:pt>
                <c:pt idx="57">
                  <c:v>44.4</c:v>
                </c:pt>
                <c:pt idx="58">
                  <c:v>45.2</c:v>
                </c:pt>
                <c:pt idx="59">
                  <c:v>46</c:v>
                </c:pt>
                <c:pt idx="60">
                  <c:v>46.8</c:v>
                </c:pt>
                <c:pt idx="61">
                  <c:v>47.6</c:v>
                </c:pt>
                <c:pt idx="62">
                  <c:v>48.4</c:v>
                </c:pt>
                <c:pt idx="63">
                  <c:v>49.2</c:v>
                </c:pt>
                <c:pt idx="64">
                  <c:v>50</c:v>
                </c:pt>
                <c:pt idx="65">
                  <c:v>50.8</c:v>
                </c:pt>
                <c:pt idx="66">
                  <c:v>51.6</c:v>
                </c:pt>
                <c:pt idx="67">
                  <c:v>52.4</c:v>
                </c:pt>
                <c:pt idx="68">
                  <c:v>53.2</c:v>
                </c:pt>
                <c:pt idx="69">
                  <c:v>54</c:v>
                </c:pt>
                <c:pt idx="70">
                  <c:v>54.8</c:v>
                </c:pt>
                <c:pt idx="71">
                  <c:v>55.6</c:v>
                </c:pt>
                <c:pt idx="72">
                  <c:v>56.4</c:v>
                </c:pt>
                <c:pt idx="73">
                  <c:v>57.2</c:v>
                </c:pt>
                <c:pt idx="74">
                  <c:v>58</c:v>
                </c:pt>
                <c:pt idx="75">
                  <c:v>58.8</c:v>
                </c:pt>
                <c:pt idx="76">
                  <c:v>59.6</c:v>
                </c:pt>
                <c:pt idx="77">
                  <c:v>60.4</c:v>
                </c:pt>
                <c:pt idx="78">
                  <c:v>61.2</c:v>
                </c:pt>
                <c:pt idx="79">
                  <c:v>62</c:v>
                </c:pt>
                <c:pt idx="80">
                  <c:v>62.8</c:v>
                </c:pt>
                <c:pt idx="81">
                  <c:v>63.6</c:v>
                </c:pt>
                <c:pt idx="82">
                  <c:v>64.400000000000006</c:v>
                </c:pt>
                <c:pt idx="83">
                  <c:v>65.2</c:v>
                </c:pt>
                <c:pt idx="84">
                  <c:v>66</c:v>
                </c:pt>
                <c:pt idx="85">
                  <c:v>66.8</c:v>
                </c:pt>
                <c:pt idx="86">
                  <c:v>67.599999999999994</c:v>
                </c:pt>
                <c:pt idx="87">
                  <c:v>68.400000000000006</c:v>
                </c:pt>
                <c:pt idx="88">
                  <c:v>69.2</c:v>
                </c:pt>
                <c:pt idx="89">
                  <c:v>70</c:v>
                </c:pt>
                <c:pt idx="90">
                  <c:v>70.8</c:v>
                </c:pt>
                <c:pt idx="91">
                  <c:v>71.599999999999994</c:v>
                </c:pt>
                <c:pt idx="92">
                  <c:v>72.400000000000006</c:v>
                </c:pt>
                <c:pt idx="93">
                  <c:v>73.2</c:v>
                </c:pt>
                <c:pt idx="94">
                  <c:v>74</c:v>
                </c:pt>
                <c:pt idx="95">
                  <c:v>74.8</c:v>
                </c:pt>
                <c:pt idx="96">
                  <c:v>75.599999999999994</c:v>
                </c:pt>
                <c:pt idx="97">
                  <c:v>76.400000000000006</c:v>
                </c:pt>
                <c:pt idx="98">
                  <c:v>77.2</c:v>
                </c:pt>
                <c:pt idx="99">
                  <c:v>78</c:v>
                </c:pt>
                <c:pt idx="100">
                  <c:v>78.8</c:v>
                </c:pt>
                <c:pt idx="101">
                  <c:v>79.599999999999994</c:v>
                </c:pt>
                <c:pt idx="102">
                  <c:v>80.400000000000006</c:v>
                </c:pt>
                <c:pt idx="103">
                  <c:v>81.2</c:v>
                </c:pt>
                <c:pt idx="104">
                  <c:v>82</c:v>
                </c:pt>
                <c:pt idx="105">
                  <c:v>82.8</c:v>
                </c:pt>
                <c:pt idx="106">
                  <c:v>83.6</c:v>
                </c:pt>
                <c:pt idx="107">
                  <c:v>84.4</c:v>
                </c:pt>
                <c:pt idx="108">
                  <c:v>85.2</c:v>
                </c:pt>
                <c:pt idx="109">
                  <c:v>86</c:v>
                </c:pt>
                <c:pt idx="110">
                  <c:v>86.8</c:v>
                </c:pt>
                <c:pt idx="111">
                  <c:v>87.6</c:v>
                </c:pt>
                <c:pt idx="112">
                  <c:v>88.4</c:v>
                </c:pt>
                <c:pt idx="113">
                  <c:v>89.2</c:v>
                </c:pt>
                <c:pt idx="114">
                  <c:v>90</c:v>
                </c:pt>
                <c:pt idx="115">
                  <c:v>90.8</c:v>
                </c:pt>
                <c:pt idx="116">
                  <c:v>91.6</c:v>
                </c:pt>
                <c:pt idx="117">
                  <c:v>92.4</c:v>
                </c:pt>
                <c:pt idx="118">
                  <c:v>93.2</c:v>
                </c:pt>
                <c:pt idx="119">
                  <c:v>94</c:v>
                </c:pt>
                <c:pt idx="120">
                  <c:v>94.8</c:v>
                </c:pt>
                <c:pt idx="121">
                  <c:v>95.6</c:v>
                </c:pt>
                <c:pt idx="122">
                  <c:v>96.4</c:v>
                </c:pt>
                <c:pt idx="123">
                  <c:v>97.2</c:v>
                </c:pt>
                <c:pt idx="124">
                  <c:v>98</c:v>
                </c:pt>
                <c:pt idx="125">
                  <c:v>98.8</c:v>
                </c:pt>
                <c:pt idx="126">
                  <c:v>99.6</c:v>
                </c:pt>
                <c:pt idx="127">
                  <c:v>100.4</c:v>
                </c:pt>
                <c:pt idx="128">
                  <c:v>101.2</c:v>
                </c:pt>
                <c:pt idx="129">
                  <c:v>102</c:v>
                </c:pt>
                <c:pt idx="130">
                  <c:v>102.8</c:v>
                </c:pt>
                <c:pt idx="131">
                  <c:v>103.6</c:v>
                </c:pt>
                <c:pt idx="132">
                  <c:v>104.4</c:v>
                </c:pt>
                <c:pt idx="133">
                  <c:v>105.2</c:v>
                </c:pt>
                <c:pt idx="134">
                  <c:v>106</c:v>
                </c:pt>
                <c:pt idx="135">
                  <c:v>106.8</c:v>
                </c:pt>
                <c:pt idx="136">
                  <c:v>107.6</c:v>
                </c:pt>
                <c:pt idx="137">
                  <c:v>108.4</c:v>
                </c:pt>
                <c:pt idx="138">
                  <c:v>109.2</c:v>
                </c:pt>
                <c:pt idx="139">
                  <c:v>110</c:v>
                </c:pt>
                <c:pt idx="140">
                  <c:v>110.8</c:v>
                </c:pt>
                <c:pt idx="141">
                  <c:v>111.6</c:v>
                </c:pt>
                <c:pt idx="142">
                  <c:v>112.4</c:v>
                </c:pt>
                <c:pt idx="143">
                  <c:v>113.2</c:v>
                </c:pt>
                <c:pt idx="144">
                  <c:v>114</c:v>
                </c:pt>
                <c:pt idx="145">
                  <c:v>114.8</c:v>
                </c:pt>
                <c:pt idx="146">
                  <c:v>115.6</c:v>
                </c:pt>
                <c:pt idx="147">
                  <c:v>116.4</c:v>
                </c:pt>
                <c:pt idx="148">
                  <c:v>117.2</c:v>
                </c:pt>
                <c:pt idx="149">
                  <c:v>118</c:v>
                </c:pt>
                <c:pt idx="150">
                  <c:v>118.8</c:v>
                </c:pt>
                <c:pt idx="151">
                  <c:v>119.6</c:v>
                </c:pt>
                <c:pt idx="152">
                  <c:v>120.4</c:v>
                </c:pt>
                <c:pt idx="153">
                  <c:v>121.2</c:v>
                </c:pt>
                <c:pt idx="154">
                  <c:v>122</c:v>
                </c:pt>
                <c:pt idx="155">
                  <c:v>122.8</c:v>
                </c:pt>
                <c:pt idx="156">
                  <c:v>123.6</c:v>
                </c:pt>
                <c:pt idx="157">
                  <c:v>124.4</c:v>
                </c:pt>
                <c:pt idx="158">
                  <c:v>125.2</c:v>
                </c:pt>
                <c:pt idx="159">
                  <c:v>126</c:v>
                </c:pt>
                <c:pt idx="160">
                  <c:v>126.8</c:v>
                </c:pt>
                <c:pt idx="161">
                  <c:v>127.6</c:v>
                </c:pt>
                <c:pt idx="162">
                  <c:v>128.4</c:v>
                </c:pt>
                <c:pt idx="163">
                  <c:v>129.19999999999999</c:v>
                </c:pt>
                <c:pt idx="164">
                  <c:v>130</c:v>
                </c:pt>
                <c:pt idx="165">
                  <c:v>130.80000000000001</c:v>
                </c:pt>
                <c:pt idx="166">
                  <c:v>131.6</c:v>
                </c:pt>
                <c:pt idx="167">
                  <c:v>132.4</c:v>
                </c:pt>
                <c:pt idx="168">
                  <c:v>133.19999999999999</c:v>
                </c:pt>
                <c:pt idx="169">
                  <c:v>134</c:v>
                </c:pt>
                <c:pt idx="170">
                  <c:v>134.80000000000001</c:v>
                </c:pt>
                <c:pt idx="171">
                  <c:v>135.6</c:v>
                </c:pt>
                <c:pt idx="172">
                  <c:v>136.4</c:v>
                </c:pt>
                <c:pt idx="173">
                  <c:v>137.19999999999999</c:v>
                </c:pt>
                <c:pt idx="174">
                  <c:v>138</c:v>
                </c:pt>
                <c:pt idx="175">
                  <c:v>138.80000000000001</c:v>
                </c:pt>
                <c:pt idx="176">
                  <c:v>139.6</c:v>
                </c:pt>
                <c:pt idx="177">
                  <c:v>140.4</c:v>
                </c:pt>
                <c:pt idx="178">
                  <c:v>141.19999999999999</c:v>
                </c:pt>
                <c:pt idx="179">
                  <c:v>142</c:v>
                </c:pt>
                <c:pt idx="180">
                  <c:v>142.80000000000001</c:v>
                </c:pt>
                <c:pt idx="181">
                  <c:v>143.6</c:v>
                </c:pt>
                <c:pt idx="182">
                  <c:v>144.4</c:v>
                </c:pt>
                <c:pt idx="183">
                  <c:v>145.19999999999999</c:v>
                </c:pt>
                <c:pt idx="184">
                  <c:v>146</c:v>
                </c:pt>
                <c:pt idx="185">
                  <c:v>146.80000000000001</c:v>
                </c:pt>
                <c:pt idx="186">
                  <c:v>147.6</c:v>
                </c:pt>
                <c:pt idx="187">
                  <c:v>148.4</c:v>
                </c:pt>
                <c:pt idx="188">
                  <c:v>149.19999999999999</c:v>
                </c:pt>
                <c:pt idx="189">
                  <c:v>150</c:v>
                </c:pt>
                <c:pt idx="190">
                  <c:v>150.80000000000001</c:v>
                </c:pt>
                <c:pt idx="191">
                  <c:v>151.6</c:v>
                </c:pt>
                <c:pt idx="192">
                  <c:v>152.4</c:v>
                </c:pt>
                <c:pt idx="193">
                  <c:v>153.19999999999999</c:v>
                </c:pt>
                <c:pt idx="194">
                  <c:v>154</c:v>
                </c:pt>
                <c:pt idx="195">
                  <c:v>154.80000000000001</c:v>
                </c:pt>
                <c:pt idx="196">
                  <c:v>155.6</c:v>
                </c:pt>
                <c:pt idx="197">
                  <c:v>156.4</c:v>
                </c:pt>
                <c:pt idx="198">
                  <c:v>157.19999999999999</c:v>
                </c:pt>
                <c:pt idx="199">
                  <c:v>158</c:v>
                </c:pt>
                <c:pt idx="200">
                  <c:v>158.80000000000001</c:v>
                </c:pt>
                <c:pt idx="201">
                  <c:v>159.6</c:v>
                </c:pt>
                <c:pt idx="202">
                  <c:v>160.4</c:v>
                </c:pt>
                <c:pt idx="203">
                  <c:v>161.19999999999999</c:v>
                </c:pt>
                <c:pt idx="204">
                  <c:v>162</c:v>
                </c:pt>
                <c:pt idx="205">
                  <c:v>162.80000000000001</c:v>
                </c:pt>
                <c:pt idx="206">
                  <c:v>163.6</c:v>
                </c:pt>
                <c:pt idx="207">
                  <c:v>164.4</c:v>
                </c:pt>
                <c:pt idx="208">
                  <c:v>165.1</c:v>
                </c:pt>
                <c:pt idx="209">
                  <c:v>165.8</c:v>
                </c:pt>
                <c:pt idx="210">
                  <c:v>166.5</c:v>
                </c:pt>
                <c:pt idx="211">
                  <c:v>167.2</c:v>
                </c:pt>
                <c:pt idx="212">
                  <c:v>167.9</c:v>
                </c:pt>
                <c:pt idx="213">
                  <c:v>168.6</c:v>
                </c:pt>
                <c:pt idx="214">
                  <c:v>169.3</c:v>
                </c:pt>
                <c:pt idx="215">
                  <c:v>170</c:v>
                </c:pt>
              </c:numCache>
            </c:numRef>
          </c:xVal>
          <c:yVal>
            <c:numRef>
              <c:f>Sheet1!$H$2:$H$217</c:f>
              <c:numCache>
                <c:formatCode>#,##0_ </c:formatCode>
                <c:ptCount val="216"/>
                <c:pt idx="0">
                  <c:v>4208.49</c:v>
                </c:pt>
                <c:pt idx="1">
                  <c:v>5979.1949999999997</c:v>
                </c:pt>
                <c:pt idx="2">
                  <c:v>8073.630000000001</c:v>
                </c:pt>
                <c:pt idx="3">
                  <c:v>10516.32</c:v>
                </c:pt>
                <c:pt idx="4">
                  <c:v>13331.79</c:v>
                </c:pt>
                <c:pt idx="5">
                  <c:v>16569.09</c:v>
                </c:pt>
                <c:pt idx="6">
                  <c:v>20291.985000000001</c:v>
                </c:pt>
                <c:pt idx="7">
                  <c:v>24505.38</c:v>
                </c:pt>
                <c:pt idx="8">
                  <c:v>29179.845000000001</c:v>
                </c:pt>
                <c:pt idx="9">
                  <c:v>34330.095000000001</c:v>
                </c:pt>
                <c:pt idx="10">
                  <c:v>39961.035000000003</c:v>
                </c:pt>
                <c:pt idx="11">
                  <c:v>46229.625</c:v>
                </c:pt>
                <c:pt idx="12">
                  <c:v>53057.385000000002</c:v>
                </c:pt>
                <c:pt idx="13">
                  <c:v>61523.415000000008</c:v>
                </c:pt>
                <c:pt idx="14">
                  <c:v>70386.75</c:v>
                </c:pt>
                <c:pt idx="15">
                  <c:v>79598.34</c:v>
                </c:pt>
                <c:pt idx="16">
                  <c:v>89104.23000000001</c:v>
                </c:pt>
                <c:pt idx="17">
                  <c:v>98894.61</c:v>
                </c:pt>
                <c:pt idx="18">
                  <c:v>108910.62000000001</c:v>
                </c:pt>
                <c:pt idx="19">
                  <c:v>119044.35</c:v>
                </c:pt>
                <c:pt idx="20">
                  <c:v>129305.61000000002</c:v>
                </c:pt>
                <c:pt idx="21">
                  <c:v>139679.685</c:v>
                </c:pt>
                <c:pt idx="22">
                  <c:v>150161.67000000001</c:v>
                </c:pt>
                <c:pt idx="23">
                  <c:v>160722.13500000001</c:v>
                </c:pt>
                <c:pt idx="24">
                  <c:v>171312.03000000003</c:v>
                </c:pt>
                <c:pt idx="25">
                  <c:v>181887.21000000002</c:v>
                </c:pt>
                <c:pt idx="26">
                  <c:v>192320.14500000002</c:v>
                </c:pt>
                <c:pt idx="27">
                  <c:v>202762.89</c:v>
                </c:pt>
                <c:pt idx="28">
                  <c:v>213063.39</c:v>
                </c:pt>
                <c:pt idx="29">
                  <c:v>223157.88</c:v>
                </c:pt>
                <c:pt idx="30">
                  <c:v>233031.64500000002</c:v>
                </c:pt>
                <c:pt idx="31">
                  <c:v>242645.44500000001</c:v>
                </c:pt>
                <c:pt idx="32">
                  <c:v>251955.13500000001</c:v>
                </c:pt>
                <c:pt idx="33">
                  <c:v>260882.23499999999</c:v>
                </c:pt>
                <c:pt idx="34">
                  <c:v>269362.98000000004</c:v>
                </c:pt>
                <c:pt idx="35">
                  <c:v>277250.22000000003</c:v>
                </c:pt>
                <c:pt idx="36">
                  <c:v>284887.30500000005</c:v>
                </c:pt>
                <c:pt idx="37">
                  <c:v>291759.20999999996</c:v>
                </c:pt>
                <c:pt idx="38">
                  <c:v>298233.81000000006</c:v>
                </c:pt>
                <c:pt idx="39">
                  <c:v>304301.29500000004</c:v>
                </c:pt>
                <c:pt idx="40">
                  <c:v>309809.61</c:v>
                </c:pt>
                <c:pt idx="41">
                  <c:v>314940.24</c:v>
                </c:pt>
                <c:pt idx="42">
                  <c:v>319894.29000000004</c:v>
                </c:pt>
                <c:pt idx="43">
                  <c:v>324436.32</c:v>
                </c:pt>
                <c:pt idx="44">
                  <c:v>328531.995</c:v>
                </c:pt>
                <c:pt idx="45">
                  <c:v>332436.375</c:v>
                </c:pt>
                <c:pt idx="46">
                  <c:v>335639.34</c:v>
                </c:pt>
                <c:pt idx="47">
                  <c:v>338837.4</c:v>
                </c:pt>
                <c:pt idx="48">
                  <c:v>341608.72499999998</c:v>
                </c:pt>
                <c:pt idx="49">
                  <c:v>343619.77500000002</c:v>
                </c:pt>
                <c:pt idx="50">
                  <c:v>345625.92000000004</c:v>
                </c:pt>
                <c:pt idx="51">
                  <c:v>347156.28</c:v>
                </c:pt>
                <c:pt idx="52">
                  <c:v>348044.08500000002</c:v>
                </c:pt>
                <c:pt idx="53">
                  <c:v>348480.63</c:v>
                </c:pt>
                <c:pt idx="54">
                  <c:v>348603.255</c:v>
                </c:pt>
                <c:pt idx="55">
                  <c:v>347985.22500000003</c:v>
                </c:pt>
                <c:pt idx="56">
                  <c:v>346960.08</c:v>
                </c:pt>
                <c:pt idx="57">
                  <c:v>345552.34499999997</c:v>
                </c:pt>
                <c:pt idx="58">
                  <c:v>343153.80000000005</c:v>
                </c:pt>
                <c:pt idx="59">
                  <c:v>340750.35</c:v>
                </c:pt>
                <c:pt idx="60">
                  <c:v>337684.72500000003</c:v>
                </c:pt>
                <c:pt idx="61">
                  <c:v>333956.92500000005</c:v>
                </c:pt>
                <c:pt idx="62">
                  <c:v>329512.995</c:v>
                </c:pt>
                <c:pt idx="63">
                  <c:v>325069.06500000006</c:v>
                </c:pt>
                <c:pt idx="64">
                  <c:v>319658.84999999998</c:v>
                </c:pt>
                <c:pt idx="65">
                  <c:v>313463.83500000002</c:v>
                </c:pt>
                <c:pt idx="66">
                  <c:v>306812.65500000003</c:v>
                </c:pt>
                <c:pt idx="67">
                  <c:v>299896.60499999998</c:v>
                </c:pt>
                <c:pt idx="68">
                  <c:v>292146.70500000002</c:v>
                </c:pt>
                <c:pt idx="69">
                  <c:v>283715.01</c:v>
                </c:pt>
                <c:pt idx="70">
                  <c:v>274449.46500000003</c:v>
                </c:pt>
                <c:pt idx="71">
                  <c:v>264835.66499999998</c:v>
                </c:pt>
                <c:pt idx="72">
                  <c:v>254437.065</c:v>
                </c:pt>
                <c:pt idx="73">
                  <c:v>243655.875</c:v>
                </c:pt>
                <c:pt idx="74">
                  <c:v>232550.95500000002</c:v>
                </c:pt>
                <c:pt idx="75">
                  <c:v>221195.88</c:v>
                </c:pt>
                <c:pt idx="76">
                  <c:v>209031.48</c:v>
                </c:pt>
                <c:pt idx="77">
                  <c:v>196018.51500000001</c:v>
                </c:pt>
                <c:pt idx="78">
                  <c:v>183010.45500000002</c:v>
                </c:pt>
                <c:pt idx="79">
                  <c:v>168756.52500000002</c:v>
                </c:pt>
                <c:pt idx="80">
                  <c:v>153972.85499999998</c:v>
                </c:pt>
                <c:pt idx="81">
                  <c:v>138370.05000000002</c:v>
                </c:pt>
                <c:pt idx="82">
                  <c:v>122468.04000000001</c:v>
                </c:pt>
                <c:pt idx="83">
                  <c:v>105908.76000000001</c:v>
                </c:pt>
                <c:pt idx="84">
                  <c:v>88554.87</c:v>
                </c:pt>
                <c:pt idx="85">
                  <c:v>70112.070000000007</c:v>
                </c:pt>
                <c:pt idx="86">
                  <c:v>51659.460000000006</c:v>
                </c:pt>
                <c:pt idx="87">
                  <c:v>32338.665000000001</c:v>
                </c:pt>
                <c:pt idx="88">
                  <c:v>12164.400000000001</c:v>
                </c:pt>
                <c:pt idx="89">
                  <c:v>-8269.8300000000017</c:v>
                </c:pt>
                <c:pt idx="90">
                  <c:v>-29503.575000000001</c:v>
                </c:pt>
                <c:pt idx="91">
                  <c:v>-51801.705000000002</c:v>
                </c:pt>
                <c:pt idx="92">
                  <c:v>-74448.09</c:v>
                </c:pt>
                <c:pt idx="93">
                  <c:v>-97506.49500000001</c:v>
                </c:pt>
                <c:pt idx="94">
                  <c:v>-121344.79500000001</c:v>
                </c:pt>
                <c:pt idx="95">
                  <c:v>-146227.86000000002</c:v>
                </c:pt>
                <c:pt idx="96">
                  <c:v>-171164.88</c:v>
                </c:pt>
                <c:pt idx="97">
                  <c:v>-197220.24</c:v>
                </c:pt>
                <c:pt idx="98">
                  <c:v>-223824.96000000002</c:v>
                </c:pt>
                <c:pt idx="99">
                  <c:v>-251253.72</c:v>
                </c:pt>
                <c:pt idx="100">
                  <c:v>-278741.33999999997</c:v>
                </c:pt>
                <c:pt idx="101">
                  <c:v>-307366.92000000004</c:v>
                </c:pt>
                <c:pt idx="102">
                  <c:v>-336429.04500000004</c:v>
                </c:pt>
                <c:pt idx="103">
                  <c:v>-366629.13</c:v>
                </c:pt>
                <c:pt idx="104">
                  <c:v>-396834.12</c:v>
                </c:pt>
                <c:pt idx="105">
                  <c:v>-428015.20500000002</c:v>
                </c:pt>
                <c:pt idx="106">
                  <c:v>-459166.86000000004</c:v>
                </c:pt>
                <c:pt idx="107">
                  <c:v>-488817.58500000002</c:v>
                </c:pt>
                <c:pt idx="108">
                  <c:v>-517403.92500000005</c:v>
                </c:pt>
                <c:pt idx="109">
                  <c:v>-543704.53500000003</c:v>
                </c:pt>
                <c:pt idx="110">
                  <c:v>-568048.05000000005</c:v>
                </c:pt>
                <c:pt idx="111">
                  <c:v>-592391.56499999994</c:v>
                </c:pt>
                <c:pt idx="112">
                  <c:v>-613659.64500000002</c:v>
                </c:pt>
                <c:pt idx="113">
                  <c:v>-633456.22500000009</c:v>
                </c:pt>
                <c:pt idx="114">
                  <c:v>-651133.84499999997</c:v>
                </c:pt>
                <c:pt idx="115">
                  <c:v>-668188.53</c:v>
                </c:pt>
                <c:pt idx="116">
                  <c:v>-682481.70000000007</c:v>
                </c:pt>
                <c:pt idx="117">
                  <c:v>-695156.22</c:v>
                </c:pt>
                <c:pt idx="118">
                  <c:v>-705000.55499999993</c:v>
                </c:pt>
                <c:pt idx="119">
                  <c:v>-714839.9850000001</c:v>
                </c:pt>
                <c:pt idx="120">
                  <c:v>-721564.74</c:v>
                </c:pt>
                <c:pt idx="121">
                  <c:v>-726376.54500000004</c:v>
                </c:pt>
                <c:pt idx="122">
                  <c:v>-730457.50500000012</c:v>
                </c:pt>
                <c:pt idx="123">
                  <c:v>-732345.92999999993</c:v>
                </c:pt>
                <c:pt idx="124">
                  <c:v>-731271.7350000001</c:v>
                </c:pt>
                <c:pt idx="125">
                  <c:v>-729216.54</c:v>
                </c:pt>
                <c:pt idx="126">
                  <c:v>-726043.005</c:v>
                </c:pt>
                <c:pt idx="127">
                  <c:v>-720711.27</c:v>
                </c:pt>
                <c:pt idx="128">
                  <c:v>-712387.48499999999</c:v>
                </c:pt>
                <c:pt idx="129">
                  <c:v>-703970.505</c:v>
                </c:pt>
                <c:pt idx="130">
                  <c:v>-692468.28</c:v>
                </c:pt>
                <c:pt idx="131">
                  <c:v>-679945.81500000006</c:v>
                </c:pt>
                <c:pt idx="132">
                  <c:v>-664063.42500000005</c:v>
                </c:pt>
                <c:pt idx="133">
                  <c:v>-648171.22500000009</c:v>
                </c:pt>
                <c:pt idx="134">
                  <c:v>-630012.91500000004</c:v>
                </c:pt>
                <c:pt idx="135">
                  <c:v>-610044.66</c:v>
                </c:pt>
                <c:pt idx="136">
                  <c:v>-587329.60499999998</c:v>
                </c:pt>
                <c:pt idx="137">
                  <c:v>-564609.64500000002</c:v>
                </c:pt>
                <c:pt idx="138">
                  <c:v>-539427.375</c:v>
                </c:pt>
                <c:pt idx="139">
                  <c:v>-513058.09500000003</c:v>
                </c:pt>
                <c:pt idx="140">
                  <c:v>-486590.71500000003</c:v>
                </c:pt>
                <c:pt idx="141">
                  <c:v>-460373.49</c:v>
                </c:pt>
                <c:pt idx="142">
                  <c:v>-434896.92000000004</c:v>
                </c:pt>
                <c:pt idx="143">
                  <c:v>-410322.87</c:v>
                </c:pt>
                <c:pt idx="144">
                  <c:v>-385812.58500000002</c:v>
                </c:pt>
                <c:pt idx="145">
                  <c:v>-362469.69</c:v>
                </c:pt>
                <c:pt idx="146">
                  <c:v>-339582.96</c:v>
                </c:pt>
                <c:pt idx="147">
                  <c:v>-317328.97500000003</c:v>
                </c:pt>
                <c:pt idx="148">
                  <c:v>-296100.13500000001</c:v>
                </c:pt>
                <c:pt idx="149">
                  <c:v>-274954.68000000005</c:v>
                </c:pt>
                <c:pt idx="150">
                  <c:v>-254922.66</c:v>
                </c:pt>
                <c:pt idx="151">
                  <c:v>-235336.99500000002</c:v>
                </c:pt>
                <c:pt idx="152">
                  <c:v>-216290.88</c:v>
                </c:pt>
                <c:pt idx="153">
                  <c:v>-198049.185</c:v>
                </c:pt>
                <c:pt idx="154">
                  <c:v>-180602.1</c:v>
                </c:pt>
                <c:pt idx="155">
                  <c:v>-163449.315</c:v>
                </c:pt>
                <c:pt idx="156">
                  <c:v>-147184.33500000002</c:v>
                </c:pt>
                <c:pt idx="157">
                  <c:v>-131468.71500000003</c:v>
                </c:pt>
                <c:pt idx="158">
                  <c:v>-116547.705</c:v>
                </c:pt>
                <c:pt idx="159">
                  <c:v>-102269.25</c:v>
                </c:pt>
                <c:pt idx="160">
                  <c:v>-88329.24</c:v>
                </c:pt>
                <c:pt idx="161">
                  <c:v>-75674.34</c:v>
                </c:pt>
                <c:pt idx="162">
                  <c:v>-63073.395000000004</c:v>
                </c:pt>
                <c:pt idx="163">
                  <c:v>-51183.675000000003</c:v>
                </c:pt>
                <c:pt idx="164">
                  <c:v>-40181.760000000002</c:v>
                </c:pt>
                <c:pt idx="165">
                  <c:v>-29881.260000000002</c:v>
                </c:pt>
                <c:pt idx="166">
                  <c:v>-20002.59</c:v>
                </c:pt>
                <c:pt idx="167">
                  <c:v>-10756.665000000001</c:v>
                </c:pt>
                <c:pt idx="168">
                  <c:v>-2202.3449999999998</c:v>
                </c:pt>
                <c:pt idx="169">
                  <c:v>5405.31</c:v>
                </c:pt>
                <c:pt idx="170">
                  <c:v>12699.045000000002</c:v>
                </c:pt>
                <c:pt idx="171">
                  <c:v>19286.460000000003</c:v>
                </c:pt>
                <c:pt idx="172">
                  <c:v>25427.520000000004</c:v>
                </c:pt>
                <c:pt idx="173">
                  <c:v>31441.050000000003</c:v>
                </c:pt>
                <c:pt idx="174">
                  <c:v>37302.525000000001</c:v>
                </c:pt>
                <c:pt idx="175">
                  <c:v>42663.69</c:v>
                </c:pt>
                <c:pt idx="176">
                  <c:v>47397.014999999999</c:v>
                </c:pt>
                <c:pt idx="177">
                  <c:v>52076.385000000002</c:v>
                </c:pt>
                <c:pt idx="178">
                  <c:v>55853.235000000001</c:v>
                </c:pt>
                <c:pt idx="179">
                  <c:v>59541.794999999998</c:v>
                </c:pt>
                <c:pt idx="180">
                  <c:v>62479.89</c:v>
                </c:pt>
                <c:pt idx="181">
                  <c:v>65349.315000000002</c:v>
                </c:pt>
                <c:pt idx="182">
                  <c:v>67585.994999999995</c:v>
                </c:pt>
                <c:pt idx="183">
                  <c:v>69479.325000000012</c:v>
                </c:pt>
                <c:pt idx="184">
                  <c:v>70774.244999999995</c:v>
                </c:pt>
                <c:pt idx="185">
                  <c:v>72074.070000000007</c:v>
                </c:pt>
                <c:pt idx="186">
                  <c:v>72775.485000000015</c:v>
                </c:pt>
                <c:pt idx="187">
                  <c:v>73324.845000000001</c:v>
                </c:pt>
                <c:pt idx="188">
                  <c:v>73290.510000000009</c:v>
                </c:pt>
                <c:pt idx="189">
                  <c:v>73035.450000000012</c:v>
                </c:pt>
                <c:pt idx="190">
                  <c:v>72687.195000000007</c:v>
                </c:pt>
                <c:pt idx="191">
                  <c:v>71848.44</c:v>
                </c:pt>
                <c:pt idx="192">
                  <c:v>70661.430000000008</c:v>
                </c:pt>
                <c:pt idx="193">
                  <c:v>69337.08</c:v>
                </c:pt>
                <c:pt idx="194">
                  <c:v>67615.425000000003</c:v>
                </c:pt>
                <c:pt idx="195">
                  <c:v>65874.149999999994</c:v>
                </c:pt>
                <c:pt idx="196">
                  <c:v>63617.850000000006</c:v>
                </c:pt>
                <c:pt idx="197">
                  <c:v>61361.55</c:v>
                </c:pt>
                <c:pt idx="198">
                  <c:v>58825.665000000001</c:v>
                </c:pt>
                <c:pt idx="199">
                  <c:v>56005.29</c:v>
                </c:pt>
                <c:pt idx="200">
                  <c:v>52949.475000000006</c:v>
                </c:pt>
                <c:pt idx="201">
                  <c:v>49540.5</c:v>
                </c:pt>
                <c:pt idx="202">
                  <c:v>46126.619999999995</c:v>
                </c:pt>
                <c:pt idx="203">
                  <c:v>42447.87</c:v>
                </c:pt>
                <c:pt idx="204">
                  <c:v>38631.78</c:v>
                </c:pt>
                <c:pt idx="205">
                  <c:v>34810.785000000003</c:v>
                </c:pt>
                <c:pt idx="206">
                  <c:v>30813.21</c:v>
                </c:pt>
                <c:pt idx="207">
                  <c:v>26825.445</c:v>
                </c:pt>
                <c:pt idx="208">
                  <c:v>23396.85</c:v>
                </c:pt>
                <c:pt idx="209">
                  <c:v>20247.840000000004</c:v>
                </c:pt>
                <c:pt idx="210">
                  <c:v>17437.275000000001</c:v>
                </c:pt>
                <c:pt idx="211">
                  <c:v>14783.670000000002</c:v>
                </c:pt>
                <c:pt idx="212">
                  <c:v>12424.365000000002</c:v>
                </c:pt>
                <c:pt idx="213">
                  <c:v>10329.93</c:v>
                </c:pt>
                <c:pt idx="214">
                  <c:v>8490.5550000000003</c:v>
                </c:pt>
                <c:pt idx="215">
                  <c:v>6778.7100000000009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HGDAT!$F$46</c:f>
              <c:strCache>
                <c:ptCount val="1"/>
                <c:pt idx="0">
                  <c:v>LC.4</c:v>
                </c:pt>
              </c:strCache>
            </c:strRef>
          </c:tx>
          <c:marker>
            <c:symbol val="none"/>
          </c:marker>
          <c:xVal>
            <c:numRef>
              <c:f>HGDAT!$D$59:$D$79</c:f>
              <c:numCache>
                <c:formatCode>0.000_ </c:formatCode>
                <c:ptCount val="21"/>
                <c:pt idx="0">
                  <c:v>1.54</c:v>
                </c:pt>
                <c:pt idx="1">
                  <c:v>10.063000000000001</c:v>
                </c:pt>
                <c:pt idx="2">
                  <c:v>18.585999999999999</c:v>
                </c:pt>
                <c:pt idx="3">
                  <c:v>27.109000000000002</c:v>
                </c:pt>
                <c:pt idx="4">
                  <c:v>35.631999999999998</c:v>
                </c:pt>
                <c:pt idx="5">
                  <c:v>44.155000000000001</c:v>
                </c:pt>
                <c:pt idx="6">
                  <c:v>52.677999999999997</c:v>
                </c:pt>
                <c:pt idx="7">
                  <c:v>61.201000000000001</c:v>
                </c:pt>
                <c:pt idx="8">
                  <c:v>69.724000000000004</c:v>
                </c:pt>
                <c:pt idx="9">
                  <c:v>78.247</c:v>
                </c:pt>
                <c:pt idx="10">
                  <c:v>86.77</c:v>
                </c:pt>
                <c:pt idx="11">
                  <c:v>95.293000000000006</c:v>
                </c:pt>
                <c:pt idx="12">
                  <c:v>103.816</c:v>
                </c:pt>
                <c:pt idx="13">
                  <c:v>112.339</c:v>
                </c:pt>
                <c:pt idx="14">
                  <c:v>120.86199999999999</c:v>
                </c:pt>
                <c:pt idx="15">
                  <c:v>129.38499999999999</c:v>
                </c:pt>
                <c:pt idx="16">
                  <c:v>137.90799999999999</c:v>
                </c:pt>
                <c:pt idx="17">
                  <c:v>146.43100000000001</c:v>
                </c:pt>
                <c:pt idx="18">
                  <c:v>154.95400000000001</c:v>
                </c:pt>
                <c:pt idx="19">
                  <c:v>163.477</c:v>
                </c:pt>
                <c:pt idx="20">
                  <c:v>172</c:v>
                </c:pt>
              </c:numCache>
            </c:numRef>
          </c:xVal>
          <c:yVal>
            <c:numRef>
              <c:f>HGDAT!$E$59:$E$79</c:f>
              <c:numCache>
                <c:formatCode>0_ </c:formatCode>
                <c:ptCount val="21"/>
                <c:pt idx="0">
                  <c:v>4208.49</c:v>
                </c:pt>
                <c:pt idx="1">
                  <c:v>71083.560174059443</c:v>
                </c:pt>
                <c:pt idx="2">
                  <c:v>179120.66971308045</c:v>
                </c:pt>
                <c:pt idx="3">
                  <c:v>291759.20999999996</c:v>
                </c:pt>
                <c:pt idx="4">
                  <c:v>335770.63801688357</c:v>
                </c:pt>
                <c:pt idx="5">
                  <c:v>346099.0647259152</c:v>
                </c:pt>
                <c:pt idx="6">
                  <c:v>299896.60499999998</c:v>
                </c:pt>
                <c:pt idx="7">
                  <c:v>182993.0456307405</c:v>
                </c:pt>
                <c:pt idx="8">
                  <c:v>-924.86501114371958</c:v>
                </c:pt>
                <c:pt idx="9">
                  <c:v>-260362.30338110699</c:v>
                </c:pt>
                <c:pt idx="10">
                  <c:v>-568048.05000000005</c:v>
                </c:pt>
                <c:pt idx="11">
                  <c:v>-724601.80078565981</c:v>
                </c:pt>
                <c:pt idx="12">
                  <c:v>-675547.8452230941</c:v>
                </c:pt>
                <c:pt idx="13">
                  <c:v>-460373.49</c:v>
                </c:pt>
                <c:pt idx="14">
                  <c:v>-205669.47289643451</c:v>
                </c:pt>
                <c:pt idx="15">
                  <c:v>-48623.769089190013</c:v>
                </c:pt>
                <c:pt idx="16">
                  <c:v>31441.050000000003</c:v>
                </c:pt>
                <c:pt idx="17">
                  <c:v>71582.353625622913</c:v>
                </c:pt>
                <c:pt idx="18">
                  <c:v>65424.714417064046</c:v>
                </c:pt>
                <c:pt idx="19">
                  <c:v>30813.21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147968"/>
        <c:axId val="126149760"/>
      </c:scatterChart>
      <c:valAx>
        <c:axId val="126147968"/>
        <c:scaling>
          <c:orientation val="minMax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126149760"/>
        <c:crosses val="autoZero"/>
        <c:crossBetween val="midCat"/>
      </c:valAx>
      <c:valAx>
        <c:axId val="126149760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126147968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37</xdr:row>
      <xdr:rowOff>123825</xdr:rowOff>
    </xdr:from>
    <xdr:to>
      <xdr:col>15</xdr:col>
      <xdr:colOff>438150</xdr:colOff>
      <xdr:row>56</xdr:row>
      <xdr:rowOff>28575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57</xdr:row>
      <xdr:rowOff>0</xdr:rowOff>
    </xdr:from>
    <xdr:to>
      <xdr:col>15</xdr:col>
      <xdr:colOff>447675</xdr:colOff>
      <xdr:row>77</xdr:row>
      <xdr:rowOff>95251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79</xdr:row>
      <xdr:rowOff>0</xdr:rowOff>
    </xdr:from>
    <xdr:to>
      <xdr:col>15</xdr:col>
      <xdr:colOff>447675</xdr:colOff>
      <xdr:row>99</xdr:row>
      <xdr:rowOff>95251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101</xdr:row>
      <xdr:rowOff>0</xdr:rowOff>
    </xdr:from>
    <xdr:to>
      <xdr:col>15</xdr:col>
      <xdr:colOff>447675</xdr:colOff>
      <xdr:row>121</xdr:row>
      <xdr:rowOff>95251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F_PrincipalData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Particular"/>
      <sheetName val="FrameTable"/>
      <sheetName val="Compartment"/>
      <sheetName val="CargoHoldData"/>
      <sheetName val="CrossSection"/>
      <sheetName val="LocalLoading"/>
    </sheetNames>
    <sheetDataSet>
      <sheetData sheetId="0"/>
      <sheetData sheetId="1">
        <row r="20">
          <cell r="A20">
            <v>-7</v>
          </cell>
          <cell r="B20">
            <v>-4900</v>
          </cell>
        </row>
        <row r="21">
          <cell r="A21">
            <v>-6</v>
          </cell>
          <cell r="B21">
            <v>-4200</v>
          </cell>
        </row>
        <row r="22">
          <cell r="A22">
            <v>-5</v>
          </cell>
          <cell r="B22">
            <v>-3500</v>
          </cell>
        </row>
        <row r="23">
          <cell r="A23">
            <v>-4</v>
          </cell>
          <cell r="B23">
            <v>-2800</v>
          </cell>
        </row>
        <row r="24">
          <cell r="A24">
            <v>-3</v>
          </cell>
          <cell r="B24">
            <v>-2100</v>
          </cell>
        </row>
        <row r="25">
          <cell r="A25">
            <v>-2</v>
          </cell>
          <cell r="B25">
            <v>-1400</v>
          </cell>
        </row>
        <row r="26">
          <cell r="A26">
            <v>-1</v>
          </cell>
          <cell r="B26">
            <v>-700</v>
          </cell>
        </row>
        <row r="27">
          <cell r="A27">
            <v>0</v>
          </cell>
          <cell r="B27">
            <v>0</v>
          </cell>
        </row>
        <row r="28">
          <cell r="A28">
            <v>1</v>
          </cell>
          <cell r="B28">
            <v>700</v>
          </cell>
        </row>
        <row r="29">
          <cell r="A29">
            <v>2</v>
          </cell>
          <cell r="B29">
            <v>1400</v>
          </cell>
        </row>
        <row r="30">
          <cell r="A30">
            <v>3</v>
          </cell>
          <cell r="B30">
            <v>2100</v>
          </cell>
        </row>
        <row r="31">
          <cell r="A31">
            <v>4</v>
          </cell>
          <cell r="B31">
            <v>2800</v>
          </cell>
        </row>
        <row r="32">
          <cell r="A32">
            <v>5</v>
          </cell>
          <cell r="B32">
            <v>3500</v>
          </cell>
        </row>
        <row r="33">
          <cell r="A33">
            <v>6</v>
          </cell>
          <cell r="B33">
            <v>4200</v>
          </cell>
        </row>
        <row r="34">
          <cell r="A34">
            <v>7</v>
          </cell>
          <cell r="B34">
            <v>4900</v>
          </cell>
        </row>
        <row r="35">
          <cell r="A35">
            <v>8</v>
          </cell>
          <cell r="B35">
            <v>5600</v>
          </cell>
        </row>
        <row r="36">
          <cell r="A36">
            <v>9</v>
          </cell>
          <cell r="B36">
            <v>6300</v>
          </cell>
        </row>
        <row r="37">
          <cell r="A37">
            <v>10</v>
          </cell>
          <cell r="B37">
            <v>7000</v>
          </cell>
        </row>
        <row r="38">
          <cell r="A38">
            <v>11</v>
          </cell>
          <cell r="B38">
            <v>7700</v>
          </cell>
        </row>
        <row r="39">
          <cell r="A39">
            <v>12</v>
          </cell>
          <cell r="B39">
            <v>8400</v>
          </cell>
        </row>
        <row r="40">
          <cell r="A40">
            <v>13</v>
          </cell>
          <cell r="B40">
            <v>9200</v>
          </cell>
        </row>
        <row r="41">
          <cell r="A41">
            <v>14</v>
          </cell>
          <cell r="B41">
            <v>10000</v>
          </cell>
        </row>
        <row r="42">
          <cell r="A42">
            <v>15</v>
          </cell>
          <cell r="B42">
            <v>10800</v>
          </cell>
        </row>
        <row r="43">
          <cell r="A43">
            <v>16</v>
          </cell>
          <cell r="B43">
            <v>11600</v>
          </cell>
        </row>
        <row r="44">
          <cell r="A44">
            <v>17</v>
          </cell>
          <cell r="B44">
            <v>12400</v>
          </cell>
        </row>
        <row r="45">
          <cell r="A45">
            <v>18</v>
          </cell>
          <cell r="B45">
            <v>13200</v>
          </cell>
        </row>
        <row r="46">
          <cell r="A46">
            <v>19</v>
          </cell>
          <cell r="B46">
            <v>14000</v>
          </cell>
        </row>
        <row r="47">
          <cell r="A47">
            <v>20</v>
          </cell>
          <cell r="B47">
            <v>14800</v>
          </cell>
        </row>
        <row r="48">
          <cell r="A48">
            <v>21</v>
          </cell>
          <cell r="B48">
            <v>15600</v>
          </cell>
        </row>
        <row r="49">
          <cell r="A49">
            <v>22</v>
          </cell>
          <cell r="B49">
            <v>16400</v>
          </cell>
        </row>
        <row r="50">
          <cell r="A50">
            <v>23</v>
          </cell>
          <cell r="B50">
            <v>17200</v>
          </cell>
        </row>
        <row r="51">
          <cell r="A51">
            <v>24</v>
          </cell>
          <cell r="B51">
            <v>18000</v>
          </cell>
        </row>
        <row r="52">
          <cell r="A52">
            <v>25</v>
          </cell>
          <cell r="B52">
            <v>18800</v>
          </cell>
        </row>
        <row r="53">
          <cell r="A53">
            <v>26</v>
          </cell>
          <cell r="B53">
            <v>19600</v>
          </cell>
        </row>
        <row r="54">
          <cell r="A54">
            <v>27</v>
          </cell>
          <cell r="B54">
            <v>20400</v>
          </cell>
        </row>
        <row r="55">
          <cell r="A55">
            <v>28</v>
          </cell>
          <cell r="B55">
            <v>21200</v>
          </cell>
        </row>
        <row r="56">
          <cell r="A56">
            <v>29</v>
          </cell>
          <cell r="B56">
            <v>22000</v>
          </cell>
        </row>
        <row r="57">
          <cell r="A57">
            <v>30</v>
          </cell>
          <cell r="B57">
            <v>22800</v>
          </cell>
        </row>
        <row r="58">
          <cell r="A58">
            <v>31</v>
          </cell>
          <cell r="B58">
            <v>23600</v>
          </cell>
        </row>
        <row r="59">
          <cell r="A59">
            <v>32</v>
          </cell>
          <cell r="B59">
            <v>24400</v>
          </cell>
        </row>
        <row r="60">
          <cell r="A60">
            <v>33</v>
          </cell>
          <cell r="B60">
            <v>25200</v>
          </cell>
        </row>
        <row r="61">
          <cell r="A61">
            <v>34</v>
          </cell>
          <cell r="B61">
            <v>26000</v>
          </cell>
        </row>
        <row r="62">
          <cell r="A62">
            <v>35</v>
          </cell>
          <cell r="B62">
            <v>26800</v>
          </cell>
        </row>
        <row r="63">
          <cell r="A63">
            <v>36</v>
          </cell>
          <cell r="B63">
            <v>27600</v>
          </cell>
        </row>
        <row r="64">
          <cell r="A64">
            <v>37</v>
          </cell>
          <cell r="B64">
            <v>28400</v>
          </cell>
        </row>
        <row r="65">
          <cell r="A65">
            <v>38</v>
          </cell>
          <cell r="B65">
            <v>29200</v>
          </cell>
        </row>
        <row r="66">
          <cell r="A66">
            <v>39</v>
          </cell>
          <cell r="B66">
            <v>30000</v>
          </cell>
        </row>
        <row r="67">
          <cell r="A67">
            <v>40</v>
          </cell>
          <cell r="B67">
            <v>30800</v>
          </cell>
        </row>
        <row r="68">
          <cell r="A68">
            <v>41</v>
          </cell>
          <cell r="B68">
            <v>31600</v>
          </cell>
        </row>
        <row r="69">
          <cell r="A69">
            <v>42</v>
          </cell>
          <cell r="B69">
            <v>32400</v>
          </cell>
        </row>
        <row r="70">
          <cell r="A70">
            <v>43</v>
          </cell>
          <cell r="B70">
            <v>33200</v>
          </cell>
        </row>
        <row r="71">
          <cell r="A71">
            <v>44</v>
          </cell>
          <cell r="B71">
            <v>34000</v>
          </cell>
        </row>
        <row r="72">
          <cell r="A72">
            <v>45</v>
          </cell>
          <cell r="B72">
            <v>34800</v>
          </cell>
        </row>
        <row r="73">
          <cell r="A73">
            <v>46</v>
          </cell>
          <cell r="B73">
            <v>35600</v>
          </cell>
        </row>
        <row r="74">
          <cell r="A74">
            <v>47</v>
          </cell>
          <cell r="B74">
            <v>36400</v>
          </cell>
        </row>
        <row r="75">
          <cell r="A75">
            <v>48</v>
          </cell>
          <cell r="B75">
            <v>37200</v>
          </cell>
        </row>
        <row r="76">
          <cell r="A76">
            <v>49</v>
          </cell>
          <cell r="B76">
            <v>38000</v>
          </cell>
        </row>
        <row r="77">
          <cell r="A77">
            <v>50</v>
          </cell>
          <cell r="B77">
            <v>38800</v>
          </cell>
        </row>
        <row r="78">
          <cell r="A78">
            <v>51</v>
          </cell>
          <cell r="B78">
            <v>39600</v>
          </cell>
        </row>
        <row r="79">
          <cell r="A79">
            <v>52</v>
          </cell>
          <cell r="B79">
            <v>40400</v>
          </cell>
        </row>
        <row r="80">
          <cell r="A80">
            <v>53</v>
          </cell>
          <cell r="B80">
            <v>41200</v>
          </cell>
        </row>
        <row r="81">
          <cell r="A81">
            <v>54</v>
          </cell>
          <cell r="B81">
            <v>42000</v>
          </cell>
        </row>
        <row r="82">
          <cell r="A82">
            <v>55</v>
          </cell>
          <cell r="B82">
            <v>42800</v>
          </cell>
        </row>
        <row r="83">
          <cell r="A83">
            <v>56</v>
          </cell>
          <cell r="B83">
            <v>43600</v>
          </cell>
        </row>
        <row r="84">
          <cell r="A84">
            <v>57</v>
          </cell>
          <cell r="B84">
            <v>44400</v>
          </cell>
        </row>
        <row r="85">
          <cell r="A85">
            <v>58</v>
          </cell>
          <cell r="B85">
            <v>45200</v>
          </cell>
        </row>
        <row r="86">
          <cell r="A86">
            <v>59</v>
          </cell>
          <cell r="B86">
            <v>46000</v>
          </cell>
        </row>
        <row r="87">
          <cell r="A87">
            <v>60</v>
          </cell>
          <cell r="B87">
            <v>46800</v>
          </cell>
        </row>
        <row r="88">
          <cell r="A88">
            <v>61</v>
          </cell>
          <cell r="B88">
            <v>47600</v>
          </cell>
        </row>
        <row r="89">
          <cell r="A89">
            <v>62</v>
          </cell>
          <cell r="B89">
            <v>48400</v>
          </cell>
        </row>
        <row r="90">
          <cell r="A90">
            <v>63</v>
          </cell>
          <cell r="B90">
            <v>49200</v>
          </cell>
        </row>
        <row r="91">
          <cell r="A91">
            <v>64</v>
          </cell>
          <cell r="B91">
            <v>50000</v>
          </cell>
        </row>
        <row r="92">
          <cell r="A92">
            <v>65</v>
          </cell>
          <cell r="B92">
            <v>50800</v>
          </cell>
        </row>
        <row r="93">
          <cell r="A93">
            <v>66</v>
          </cell>
          <cell r="B93">
            <v>51600</v>
          </cell>
        </row>
        <row r="94">
          <cell r="A94">
            <v>67</v>
          </cell>
          <cell r="B94">
            <v>52400</v>
          </cell>
        </row>
        <row r="95">
          <cell r="A95">
            <v>68</v>
          </cell>
          <cell r="B95">
            <v>53200</v>
          </cell>
        </row>
        <row r="96">
          <cell r="A96">
            <v>69</v>
          </cell>
          <cell r="B96">
            <v>54000</v>
          </cell>
        </row>
        <row r="97">
          <cell r="A97">
            <v>70</v>
          </cell>
          <cell r="B97">
            <v>54800</v>
          </cell>
        </row>
        <row r="98">
          <cell r="A98">
            <v>71</v>
          </cell>
          <cell r="B98">
            <v>55600</v>
          </cell>
        </row>
        <row r="99">
          <cell r="A99">
            <v>72</v>
          </cell>
          <cell r="B99">
            <v>56400</v>
          </cell>
        </row>
        <row r="100">
          <cell r="A100">
            <v>73</v>
          </cell>
          <cell r="B100">
            <v>57200</v>
          </cell>
        </row>
        <row r="101">
          <cell r="A101">
            <v>74</v>
          </cell>
          <cell r="B101">
            <v>58000</v>
          </cell>
        </row>
        <row r="102">
          <cell r="A102">
            <v>75</v>
          </cell>
          <cell r="B102">
            <v>58800</v>
          </cell>
        </row>
        <row r="103">
          <cell r="A103">
            <v>76</v>
          </cell>
          <cell r="B103">
            <v>59600</v>
          </cell>
        </row>
        <row r="104">
          <cell r="A104">
            <v>77</v>
          </cell>
          <cell r="B104">
            <v>60400</v>
          </cell>
        </row>
        <row r="105">
          <cell r="A105">
            <v>78</v>
          </cell>
          <cell r="B105">
            <v>61200</v>
          </cell>
        </row>
        <row r="106">
          <cell r="A106">
            <v>79</v>
          </cell>
          <cell r="B106">
            <v>62000</v>
          </cell>
        </row>
        <row r="107">
          <cell r="A107">
            <v>80</v>
          </cell>
          <cell r="B107">
            <v>62800</v>
          </cell>
        </row>
        <row r="108">
          <cell r="A108">
            <v>81</v>
          </cell>
          <cell r="B108">
            <v>63600</v>
          </cell>
        </row>
        <row r="109">
          <cell r="A109">
            <v>82</v>
          </cell>
          <cell r="B109">
            <v>64400</v>
          </cell>
        </row>
        <row r="110">
          <cell r="A110">
            <v>83</v>
          </cell>
          <cell r="B110">
            <v>65200</v>
          </cell>
        </row>
        <row r="111">
          <cell r="A111">
            <v>84</v>
          </cell>
          <cell r="B111">
            <v>66000</v>
          </cell>
        </row>
        <row r="112">
          <cell r="A112">
            <v>85</v>
          </cell>
          <cell r="B112">
            <v>66800</v>
          </cell>
        </row>
        <row r="113">
          <cell r="A113">
            <v>86</v>
          </cell>
          <cell r="B113">
            <v>67600</v>
          </cell>
        </row>
        <row r="114">
          <cell r="A114">
            <v>87</v>
          </cell>
          <cell r="B114">
            <v>68400</v>
          </cell>
        </row>
        <row r="115">
          <cell r="A115">
            <v>88</v>
          </cell>
          <cell r="B115">
            <v>69200</v>
          </cell>
        </row>
        <row r="116">
          <cell r="A116">
            <v>89</v>
          </cell>
          <cell r="B116">
            <v>70000</v>
          </cell>
        </row>
        <row r="117">
          <cell r="A117">
            <v>90</v>
          </cell>
          <cell r="B117">
            <v>70800</v>
          </cell>
        </row>
        <row r="118">
          <cell r="A118">
            <v>91</v>
          </cell>
          <cell r="B118">
            <v>71600</v>
          </cell>
        </row>
        <row r="119">
          <cell r="A119">
            <v>92</v>
          </cell>
          <cell r="B119">
            <v>72400</v>
          </cell>
        </row>
        <row r="120">
          <cell r="A120">
            <v>93</v>
          </cell>
          <cell r="B120">
            <v>73200</v>
          </cell>
        </row>
        <row r="121">
          <cell r="A121">
            <v>94</v>
          </cell>
          <cell r="B121">
            <v>74000</v>
          </cell>
        </row>
        <row r="122">
          <cell r="A122">
            <v>95</v>
          </cell>
          <cell r="B122">
            <v>74800</v>
          </cell>
        </row>
        <row r="123">
          <cell r="A123">
            <v>96</v>
          </cell>
          <cell r="B123">
            <v>75600</v>
          </cell>
        </row>
        <row r="124">
          <cell r="A124">
            <v>97</v>
          </cell>
          <cell r="B124">
            <v>76400</v>
          </cell>
        </row>
        <row r="125">
          <cell r="A125">
            <v>98</v>
          </cell>
          <cell r="B125">
            <v>77200</v>
          </cell>
        </row>
        <row r="126">
          <cell r="A126">
            <v>99</v>
          </cell>
          <cell r="B126">
            <v>78000</v>
          </cell>
        </row>
        <row r="127">
          <cell r="A127">
            <v>100</v>
          </cell>
          <cell r="B127">
            <v>78800</v>
          </cell>
        </row>
        <row r="128">
          <cell r="A128">
            <v>101</v>
          </cell>
          <cell r="B128">
            <v>79600</v>
          </cell>
        </row>
        <row r="129">
          <cell r="A129">
            <v>102</v>
          </cell>
          <cell r="B129">
            <v>80400</v>
          </cell>
        </row>
        <row r="130">
          <cell r="A130">
            <v>103</v>
          </cell>
          <cell r="B130">
            <v>81200</v>
          </cell>
        </row>
        <row r="131">
          <cell r="A131">
            <v>104</v>
          </cell>
          <cell r="B131">
            <v>82000</v>
          </cell>
        </row>
        <row r="132">
          <cell r="A132">
            <v>105</v>
          </cell>
          <cell r="B132">
            <v>82800</v>
          </cell>
        </row>
        <row r="133">
          <cell r="A133">
            <v>106</v>
          </cell>
          <cell r="B133">
            <v>83600</v>
          </cell>
        </row>
        <row r="134">
          <cell r="A134">
            <v>107</v>
          </cell>
          <cell r="B134">
            <v>84400</v>
          </cell>
        </row>
        <row r="135">
          <cell r="A135">
            <v>108</v>
          </cell>
          <cell r="B135">
            <v>85200</v>
          </cell>
        </row>
        <row r="136">
          <cell r="A136">
            <v>109</v>
          </cell>
          <cell r="B136">
            <v>86000</v>
          </cell>
        </row>
        <row r="137">
          <cell r="A137">
            <v>110</v>
          </cell>
          <cell r="B137">
            <v>86800</v>
          </cell>
        </row>
        <row r="138">
          <cell r="A138">
            <v>111</v>
          </cell>
          <cell r="B138">
            <v>87600</v>
          </cell>
        </row>
        <row r="139">
          <cell r="A139">
            <v>112</v>
          </cell>
          <cell r="B139">
            <v>88400</v>
          </cell>
        </row>
        <row r="140">
          <cell r="A140">
            <v>113</v>
          </cell>
          <cell r="B140">
            <v>89200</v>
          </cell>
        </row>
        <row r="141">
          <cell r="A141">
            <v>114</v>
          </cell>
          <cell r="B141">
            <v>90000</v>
          </cell>
        </row>
        <row r="142">
          <cell r="A142">
            <v>115</v>
          </cell>
          <cell r="B142">
            <v>90800</v>
          </cell>
        </row>
        <row r="143">
          <cell r="A143">
            <v>116</v>
          </cell>
          <cell r="B143">
            <v>91600</v>
          </cell>
        </row>
        <row r="144">
          <cell r="A144">
            <v>117</v>
          </cell>
          <cell r="B144">
            <v>92400</v>
          </cell>
        </row>
        <row r="145">
          <cell r="A145">
            <v>118</v>
          </cell>
          <cell r="B145">
            <v>93200</v>
          </cell>
        </row>
        <row r="146">
          <cell r="A146">
            <v>119</v>
          </cell>
          <cell r="B146">
            <v>94000</v>
          </cell>
        </row>
        <row r="147">
          <cell r="A147">
            <v>120</v>
          </cell>
          <cell r="B147">
            <v>94800</v>
          </cell>
        </row>
        <row r="148">
          <cell r="A148">
            <v>121</v>
          </cell>
          <cell r="B148">
            <v>95600</v>
          </cell>
        </row>
        <row r="149">
          <cell r="A149">
            <v>122</v>
          </cell>
          <cell r="B149">
            <v>96400</v>
          </cell>
        </row>
        <row r="150">
          <cell r="A150">
            <v>123</v>
          </cell>
          <cell r="B150">
            <v>97200</v>
          </cell>
        </row>
        <row r="151">
          <cell r="A151">
            <v>124</v>
          </cell>
          <cell r="B151">
            <v>98000</v>
          </cell>
        </row>
        <row r="152">
          <cell r="A152">
            <v>125</v>
          </cell>
          <cell r="B152">
            <v>98800</v>
          </cell>
        </row>
        <row r="153">
          <cell r="A153">
            <v>126</v>
          </cell>
          <cell r="B153">
            <v>99600</v>
          </cell>
        </row>
        <row r="154">
          <cell r="A154">
            <v>127</v>
          </cell>
          <cell r="B154">
            <v>100400</v>
          </cell>
        </row>
        <row r="155">
          <cell r="A155">
            <v>128</v>
          </cell>
          <cell r="B155">
            <v>101200</v>
          </cell>
        </row>
        <row r="156">
          <cell r="A156">
            <v>129</v>
          </cell>
          <cell r="B156">
            <v>102000</v>
          </cell>
        </row>
        <row r="157">
          <cell r="A157">
            <v>130</v>
          </cell>
          <cell r="B157">
            <v>102800</v>
          </cell>
        </row>
        <row r="158">
          <cell r="A158">
            <v>131</v>
          </cell>
          <cell r="B158">
            <v>103600</v>
          </cell>
        </row>
        <row r="159">
          <cell r="A159">
            <v>132</v>
          </cell>
          <cell r="B159">
            <v>104400</v>
          </cell>
        </row>
        <row r="160">
          <cell r="A160">
            <v>133</v>
          </cell>
          <cell r="B160">
            <v>105200</v>
          </cell>
        </row>
        <row r="161">
          <cell r="A161">
            <v>134</v>
          </cell>
          <cell r="B161">
            <v>106000</v>
          </cell>
        </row>
        <row r="162">
          <cell r="A162">
            <v>135</v>
          </cell>
          <cell r="B162">
            <v>106800</v>
          </cell>
        </row>
        <row r="163">
          <cell r="A163">
            <v>136</v>
          </cell>
          <cell r="B163">
            <v>107600</v>
          </cell>
        </row>
        <row r="164">
          <cell r="A164">
            <v>137</v>
          </cell>
          <cell r="B164">
            <v>108400</v>
          </cell>
        </row>
        <row r="165">
          <cell r="A165">
            <v>138</v>
          </cell>
          <cell r="B165">
            <v>109200</v>
          </cell>
        </row>
        <row r="166">
          <cell r="A166">
            <v>139</v>
          </cell>
          <cell r="B166">
            <v>110000</v>
          </cell>
        </row>
        <row r="167">
          <cell r="A167">
            <v>140</v>
          </cell>
          <cell r="B167">
            <v>110800</v>
          </cell>
        </row>
        <row r="168">
          <cell r="A168">
            <v>141</v>
          </cell>
          <cell r="B168">
            <v>111600</v>
          </cell>
        </row>
        <row r="169">
          <cell r="A169">
            <v>142</v>
          </cell>
          <cell r="B169">
            <v>112400</v>
          </cell>
        </row>
        <row r="170">
          <cell r="A170">
            <v>143</v>
          </cell>
          <cell r="B170">
            <v>113200</v>
          </cell>
        </row>
        <row r="171">
          <cell r="A171">
            <v>144</v>
          </cell>
          <cell r="B171">
            <v>114000</v>
          </cell>
        </row>
        <row r="172">
          <cell r="A172">
            <v>145</v>
          </cell>
          <cell r="B172">
            <v>114800</v>
          </cell>
        </row>
        <row r="173">
          <cell r="A173">
            <v>146</v>
          </cell>
          <cell r="B173">
            <v>115600</v>
          </cell>
        </row>
        <row r="174">
          <cell r="A174">
            <v>147</v>
          </cell>
          <cell r="B174">
            <v>116400</v>
          </cell>
        </row>
        <row r="175">
          <cell r="A175">
            <v>148</v>
          </cell>
          <cell r="B175">
            <v>117200</v>
          </cell>
        </row>
        <row r="176">
          <cell r="A176">
            <v>149</v>
          </cell>
          <cell r="B176">
            <v>118000</v>
          </cell>
        </row>
        <row r="177">
          <cell r="A177">
            <v>150</v>
          </cell>
          <cell r="B177">
            <v>118800</v>
          </cell>
        </row>
        <row r="178">
          <cell r="A178">
            <v>151</v>
          </cell>
          <cell r="B178">
            <v>119600</v>
          </cell>
        </row>
        <row r="179">
          <cell r="A179">
            <v>152</v>
          </cell>
          <cell r="B179">
            <v>120400</v>
          </cell>
        </row>
        <row r="180">
          <cell r="A180">
            <v>153</v>
          </cell>
          <cell r="B180">
            <v>121200</v>
          </cell>
        </row>
        <row r="181">
          <cell r="A181">
            <v>154</v>
          </cell>
          <cell r="B181">
            <v>122000</v>
          </cell>
        </row>
        <row r="182">
          <cell r="A182">
            <v>155</v>
          </cell>
          <cell r="B182">
            <v>122800</v>
          </cell>
        </row>
        <row r="183">
          <cell r="A183">
            <v>156</v>
          </cell>
          <cell r="B183">
            <v>123600</v>
          </cell>
        </row>
        <row r="184">
          <cell r="A184">
            <v>157</v>
          </cell>
          <cell r="B184">
            <v>124400</v>
          </cell>
        </row>
        <row r="185">
          <cell r="A185">
            <v>158</v>
          </cell>
          <cell r="B185">
            <v>125200</v>
          </cell>
        </row>
        <row r="186">
          <cell r="A186">
            <v>159</v>
          </cell>
          <cell r="B186">
            <v>126000</v>
          </cell>
        </row>
        <row r="187">
          <cell r="A187">
            <v>160</v>
          </cell>
          <cell r="B187">
            <v>126800</v>
          </cell>
        </row>
        <row r="188">
          <cell r="A188">
            <v>161</v>
          </cell>
          <cell r="B188">
            <v>127600</v>
          </cell>
        </row>
        <row r="189">
          <cell r="A189">
            <v>162</v>
          </cell>
          <cell r="B189">
            <v>128400</v>
          </cell>
        </row>
        <row r="190">
          <cell r="A190">
            <v>163</v>
          </cell>
          <cell r="B190">
            <v>129200</v>
          </cell>
        </row>
        <row r="191">
          <cell r="A191">
            <v>164</v>
          </cell>
          <cell r="B191">
            <v>130000</v>
          </cell>
        </row>
        <row r="192">
          <cell r="A192">
            <v>165</v>
          </cell>
          <cell r="B192">
            <v>130800</v>
          </cell>
        </row>
        <row r="193">
          <cell r="A193">
            <v>166</v>
          </cell>
          <cell r="B193">
            <v>131600</v>
          </cell>
        </row>
        <row r="194">
          <cell r="A194">
            <v>167</v>
          </cell>
          <cell r="B194">
            <v>132400</v>
          </cell>
        </row>
        <row r="195">
          <cell r="A195">
            <v>168</v>
          </cell>
          <cell r="B195">
            <v>133200</v>
          </cell>
        </row>
        <row r="196">
          <cell r="A196">
            <v>169</v>
          </cell>
          <cell r="B196">
            <v>134000</v>
          </cell>
        </row>
        <row r="197">
          <cell r="A197">
            <v>170</v>
          </cell>
          <cell r="B197">
            <v>134800</v>
          </cell>
        </row>
        <row r="198">
          <cell r="A198">
            <v>171</v>
          </cell>
          <cell r="B198">
            <v>135600</v>
          </cell>
        </row>
        <row r="199">
          <cell r="A199">
            <v>172</v>
          </cell>
          <cell r="B199">
            <v>136400</v>
          </cell>
        </row>
        <row r="200">
          <cell r="A200">
            <v>173</v>
          </cell>
          <cell r="B200">
            <v>137200</v>
          </cell>
        </row>
        <row r="201">
          <cell r="A201">
            <v>174</v>
          </cell>
          <cell r="B201">
            <v>138000</v>
          </cell>
        </row>
        <row r="202">
          <cell r="A202">
            <v>175</v>
          </cell>
          <cell r="B202">
            <v>138800</v>
          </cell>
        </row>
        <row r="203">
          <cell r="A203">
            <v>176</v>
          </cell>
          <cell r="B203">
            <v>139600</v>
          </cell>
        </row>
        <row r="204">
          <cell r="A204">
            <v>177</v>
          </cell>
          <cell r="B204">
            <v>140400</v>
          </cell>
        </row>
        <row r="205">
          <cell r="A205">
            <v>178</v>
          </cell>
          <cell r="B205">
            <v>141200</v>
          </cell>
        </row>
        <row r="206">
          <cell r="A206">
            <v>179</v>
          </cell>
          <cell r="B206">
            <v>142000</v>
          </cell>
        </row>
        <row r="207">
          <cell r="A207">
            <v>180</v>
          </cell>
          <cell r="B207">
            <v>142800</v>
          </cell>
        </row>
        <row r="208">
          <cell r="A208">
            <v>181</v>
          </cell>
          <cell r="B208">
            <v>143600</v>
          </cell>
        </row>
        <row r="209">
          <cell r="A209">
            <v>182</v>
          </cell>
          <cell r="B209">
            <v>144400</v>
          </cell>
        </row>
        <row r="210">
          <cell r="A210">
            <v>183</v>
          </cell>
          <cell r="B210">
            <v>145200</v>
          </cell>
        </row>
        <row r="211">
          <cell r="A211">
            <v>184</v>
          </cell>
          <cell r="B211">
            <v>146000</v>
          </cell>
        </row>
        <row r="212">
          <cell r="A212">
            <v>185</v>
          </cell>
          <cell r="B212">
            <v>146800</v>
          </cell>
        </row>
        <row r="213">
          <cell r="A213">
            <v>186</v>
          </cell>
          <cell r="B213">
            <v>147600</v>
          </cell>
        </row>
        <row r="214">
          <cell r="A214">
            <v>187</v>
          </cell>
          <cell r="B214">
            <v>148400</v>
          </cell>
        </row>
        <row r="215">
          <cell r="A215">
            <v>188</v>
          </cell>
          <cell r="B215">
            <v>149200</v>
          </cell>
        </row>
        <row r="216">
          <cell r="A216">
            <v>189</v>
          </cell>
          <cell r="B216">
            <v>150000</v>
          </cell>
        </row>
        <row r="217">
          <cell r="A217">
            <v>190</v>
          </cell>
          <cell r="B217">
            <v>150800</v>
          </cell>
        </row>
        <row r="218">
          <cell r="A218">
            <v>191</v>
          </cell>
          <cell r="B218">
            <v>151600</v>
          </cell>
        </row>
        <row r="219">
          <cell r="A219">
            <v>192</v>
          </cell>
          <cell r="B219">
            <v>152400</v>
          </cell>
        </row>
        <row r="220">
          <cell r="A220">
            <v>193</v>
          </cell>
          <cell r="B220">
            <v>153200</v>
          </cell>
        </row>
        <row r="221">
          <cell r="A221">
            <v>194</v>
          </cell>
          <cell r="B221">
            <v>154000</v>
          </cell>
        </row>
        <row r="222">
          <cell r="A222">
            <v>195</v>
          </cell>
          <cell r="B222">
            <v>154800</v>
          </cell>
        </row>
        <row r="223">
          <cell r="A223">
            <v>196</v>
          </cell>
          <cell r="B223">
            <v>155600</v>
          </cell>
        </row>
        <row r="224">
          <cell r="A224">
            <v>197</v>
          </cell>
          <cell r="B224">
            <v>156400</v>
          </cell>
        </row>
        <row r="225">
          <cell r="A225">
            <v>198</v>
          </cell>
          <cell r="B225">
            <v>157200</v>
          </cell>
        </row>
        <row r="226">
          <cell r="A226">
            <v>199</v>
          </cell>
          <cell r="B226">
            <v>158000</v>
          </cell>
        </row>
        <row r="227">
          <cell r="A227">
            <v>200</v>
          </cell>
          <cell r="B227">
            <v>158800</v>
          </cell>
        </row>
        <row r="228">
          <cell r="A228">
            <v>201</v>
          </cell>
          <cell r="B228">
            <v>159600</v>
          </cell>
        </row>
        <row r="229">
          <cell r="A229">
            <v>202</v>
          </cell>
          <cell r="B229">
            <v>160400</v>
          </cell>
        </row>
        <row r="230">
          <cell r="A230">
            <v>203</v>
          </cell>
          <cell r="B230">
            <v>161200</v>
          </cell>
        </row>
        <row r="231">
          <cell r="A231">
            <v>204</v>
          </cell>
          <cell r="B231">
            <v>162000</v>
          </cell>
        </row>
        <row r="232">
          <cell r="A232">
            <v>205</v>
          </cell>
          <cell r="B232">
            <v>162800</v>
          </cell>
        </row>
        <row r="233">
          <cell r="A233">
            <v>206</v>
          </cell>
          <cell r="B233">
            <v>163600</v>
          </cell>
        </row>
        <row r="234">
          <cell r="A234">
            <v>207</v>
          </cell>
          <cell r="B234">
            <v>164400</v>
          </cell>
        </row>
        <row r="235">
          <cell r="A235">
            <v>208</v>
          </cell>
          <cell r="B235">
            <v>165100</v>
          </cell>
        </row>
        <row r="236">
          <cell r="A236">
            <v>209</v>
          </cell>
          <cell r="B236">
            <v>165800</v>
          </cell>
        </row>
        <row r="237">
          <cell r="A237">
            <v>210</v>
          </cell>
          <cell r="B237">
            <v>166500</v>
          </cell>
        </row>
        <row r="238">
          <cell r="A238">
            <v>211</v>
          </cell>
          <cell r="B238">
            <v>167200</v>
          </cell>
        </row>
        <row r="239">
          <cell r="A239">
            <v>212</v>
          </cell>
          <cell r="B239">
            <v>167900</v>
          </cell>
        </row>
        <row r="240">
          <cell r="A240">
            <v>213</v>
          </cell>
          <cell r="B240">
            <v>168600</v>
          </cell>
        </row>
        <row r="241">
          <cell r="A241">
            <v>214</v>
          </cell>
          <cell r="B241">
            <v>169300</v>
          </cell>
        </row>
        <row r="242">
          <cell r="A242">
            <v>215</v>
          </cell>
          <cell r="B242">
            <v>170000</v>
          </cell>
        </row>
        <row r="243">
          <cell r="A243">
            <v>216</v>
          </cell>
          <cell r="B243">
            <v>170700</v>
          </cell>
        </row>
        <row r="244">
          <cell r="A244">
            <v>217</v>
          </cell>
          <cell r="B244">
            <v>171400</v>
          </cell>
        </row>
        <row r="245">
          <cell r="A245">
            <v>218</v>
          </cell>
          <cell r="B245">
            <v>172100</v>
          </cell>
        </row>
        <row r="246">
          <cell r="A246">
            <v>219</v>
          </cell>
          <cell r="B246">
            <v>172800</v>
          </cell>
        </row>
        <row r="247">
          <cell r="A247">
            <v>220</v>
          </cell>
          <cell r="B247">
            <v>173500</v>
          </cell>
        </row>
        <row r="248">
          <cell r="A248">
            <v>221</v>
          </cell>
          <cell r="B248">
            <v>174200</v>
          </cell>
        </row>
        <row r="249">
          <cell r="A249">
            <v>222</v>
          </cell>
          <cell r="B249">
            <v>174900</v>
          </cell>
        </row>
        <row r="250">
          <cell r="A250">
            <v>223</v>
          </cell>
          <cell r="B250">
            <v>175600</v>
          </cell>
        </row>
        <row r="251">
          <cell r="A251">
            <v>224</v>
          </cell>
          <cell r="B251">
            <v>176300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GDAT"/>
  <dimension ref="A2:H79"/>
  <sheetViews>
    <sheetView tabSelected="1" zoomScale="115" zoomScaleNormal="115" workbookViewId="0">
      <selection activeCell="E8" sqref="E8"/>
    </sheetView>
  </sheetViews>
  <sheetFormatPr defaultColWidth="8.875" defaultRowHeight="11.25" x14ac:dyDescent="0.3"/>
  <cols>
    <col min="1" max="1" width="8.375" style="2" customWidth="1"/>
    <col min="2" max="16384" width="8.875" style="2"/>
  </cols>
  <sheetData>
    <row r="2" spans="1:7" x14ac:dyDescent="0.3">
      <c r="A2" s="1" t="s">
        <v>11</v>
      </c>
    </row>
    <row r="4" spans="1:7" x14ac:dyDescent="0.3">
      <c r="C4" s="3"/>
      <c r="D4" s="3"/>
    </row>
    <row r="5" spans="1:7" x14ac:dyDescent="0.3">
      <c r="A5" s="2" t="s">
        <v>12</v>
      </c>
      <c r="C5" s="3">
        <v>158.4</v>
      </c>
      <c r="D5" s="3" t="s">
        <v>10</v>
      </c>
    </row>
    <row r="6" spans="1:7" x14ac:dyDescent="0.3">
      <c r="A6" s="2" t="s">
        <v>0</v>
      </c>
      <c r="C6" s="3">
        <v>153.6</v>
      </c>
      <c r="D6" s="3" t="s">
        <v>10</v>
      </c>
    </row>
    <row r="7" spans="1:7" x14ac:dyDescent="0.3">
      <c r="A7" s="2" t="s">
        <v>1</v>
      </c>
      <c r="C7" s="3">
        <v>51.8</v>
      </c>
      <c r="D7" s="3" t="s">
        <v>10</v>
      </c>
    </row>
    <row r="8" spans="1:7" x14ac:dyDescent="0.3">
      <c r="A8" s="2" t="s">
        <v>2</v>
      </c>
      <c r="C8" s="3">
        <v>10.4</v>
      </c>
      <c r="D8" s="3" t="s">
        <v>10</v>
      </c>
      <c r="G8" s="2">
        <f>1885+500</f>
        <v>2385</v>
      </c>
    </row>
    <row r="9" spans="1:7" x14ac:dyDescent="0.3">
      <c r="A9" s="2" t="s">
        <v>85</v>
      </c>
      <c r="C9" s="3">
        <v>6</v>
      </c>
      <c r="D9" s="3" t="s">
        <v>10</v>
      </c>
    </row>
    <row r="10" spans="1:7" x14ac:dyDescent="0.3">
      <c r="A10" s="2" t="s">
        <v>3</v>
      </c>
      <c r="C10" s="3">
        <v>0.89900000000000002</v>
      </c>
      <c r="D10" s="3"/>
    </row>
    <row r="11" spans="1:7" x14ac:dyDescent="0.3">
      <c r="A11" s="2" t="s">
        <v>13</v>
      </c>
      <c r="C11" s="3">
        <v>1</v>
      </c>
      <c r="D11" s="3"/>
    </row>
    <row r="12" spans="1:7" x14ac:dyDescent="0.3">
      <c r="A12" s="2" t="s">
        <v>14</v>
      </c>
      <c r="C12" s="3">
        <f>hg_waveParameter($C$6)</f>
        <v>8.9786204969007919</v>
      </c>
      <c r="D12" s="3"/>
    </row>
    <row r="14" spans="1:7" x14ac:dyDescent="0.3">
      <c r="A14" s="2" t="s">
        <v>80</v>
      </c>
    </row>
    <row r="15" spans="1:7" x14ac:dyDescent="0.3">
      <c r="A15" s="2" t="s">
        <v>81</v>
      </c>
      <c r="C15" s="14">
        <f>-0.065*C12*C6^2*C7*(C10+0.7)</f>
        <v>-1140469.3731572919</v>
      </c>
      <c r="D15" s="4" t="s">
        <v>83</v>
      </c>
    </row>
    <row r="16" spans="1:7" x14ac:dyDescent="0.3">
      <c r="A16" s="2" t="s">
        <v>82</v>
      </c>
      <c r="C16" s="14">
        <f>C12*C6^2*C7*(0.1225-0.015*C10)</f>
        <v>1196211.7546037636</v>
      </c>
      <c r="D16" s="4" t="s">
        <v>83</v>
      </c>
    </row>
    <row r="18" spans="1:8" x14ac:dyDescent="0.3">
      <c r="A18" s="2" t="s">
        <v>55</v>
      </c>
    </row>
    <row r="19" spans="1:8" x14ac:dyDescent="0.3">
      <c r="A19" s="28"/>
      <c r="B19" s="57" t="s">
        <v>52</v>
      </c>
      <c r="C19" s="57"/>
      <c r="D19" s="57" t="s">
        <v>51</v>
      </c>
      <c r="E19" s="57"/>
      <c r="F19" s="57" t="s">
        <v>50</v>
      </c>
      <c r="G19" s="57"/>
    </row>
    <row r="20" spans="1:8" x14ac:dyDescent="0.3">
      <c r="A20" s="27" t="s">
        <v>48</v>
      </c>
      <c r="B20" s="58">
        <v>163602</v>
      </c>
      <c r="C20" s="58"/>
      <c r="D20" s="58"/>
      <c r="E20" s="58"/>
      <c r="F20" s="59"/>
      <c r="G20" s="59"/>
    </row>
    <row r="21" spans="1:8" x14ac:dyDescent="0.3">
      <c r="A21" s="27" t="s">
        <v>47</v>
      </c>
      <c r="B21" s="58">
        <v>0</v>
      </c>
      <c r="C21" s="58"/>
      <c r="D21" s="58"/>
      <c r="E21" s="58"/>
      <c r="F21" s="59"/>
      <c r="G21" s="59"/>
    </row>
    <row r="23" spans="1:8" x14ac:dyDescent="0.3">
      <c r="A23" s="2" t="s">
        <v>56</v>
      </c>
      <c r="E23" s="33"/>
      <c r="F23" s="33"/>
      <c r="G23" s="32"/>
    </row>
    <row r="24" spans="1:8" x14ac:dyDescent="0.3">
      <c r="A24" s="2" t="s">
        <v>46</v>
      </c>
      <c r="E24" s="33" t="s">
        <v>44</v>
      </c>
      <c r="F24" s="33"/>
      <c r="G24" s="32">
        <v>0.1</v>
      </c>
      <c r="H24" s="2" t="s">
        <v>43</v>
      </c>
    </row>
    <row r="25" spans="1:8" x14ac:dyDescent="0.3">
      <c r="A25" s="28"/>
      <c r="B25" s="57" t="s">
        <v>42</v>
      </c>
      <c r="C25" s="57"/>
      <c r="D25" s="57" t="s">
        <v>41</v>
      </c>
      <c r="E25" s="57"/>
      <c r="F25" s="57" t="s">
        <v>84</v>
      </c>
      <c r="G25" s="57"/>
    </row>
    <row r="26" spans="1:8" x14ac:dyDescent="0.3">
      <c r="A26" s="27" t="s">
        <v>48</v>
      </c>
      <c r="B26" s="60">
        <f>MAX(C16,ROUND(B20*9.81+G24*B20*9.81,-3))</f>
        <v>1765000</v>
      </c>
      <c r="C26" s="60"/>
      <c r="D26" s="60">
        <f>VerWaveBM(A26,-8,C6,C7,C10,C6/2)</f>
        <v>1874282.7115889452</v>
      </c>
      <c r="E26" s="60"/>
      <c r="F26" s="60">
        <f>B26+D26</f>
        <v>3639282.7115889452</v>
      </c>
      <c r="G26" s="60"/>
      <c r="H26" s="72">
        <f>B26/9.81</f>
        <v>179918.45056065239</v>
      </c>
    </row>
    <row r="27" spans="1:8" x14ac:dyDescent="0.3">
      <c r="A27" s="27" t="s">
        <v>47</v>
      </c>
      <c r="B27" s="60">
        <f>MIN(C15,B21)</f>
        <v>-1140469.3731572919</v>
      </c>
      <c r="C27" s="60"/>
      <c r="D27" s="60">
        <f>VerWaveBM(A27,-8,C6,C7,C10,C6/2)</f>
        <v>-1930025.0930354169</v>
      </c>
      <c r="E27" s="60"/>
      <c r="F27" s="60">
        <f>B27+D27</f>
        <v>-3070494.4661927088</v>
      </c>
      <c r="G27" s="60"/>
      <c r="H27" s="72">
        <f>B27/9.81</f>
        <v>-116255.79746761385</v>
      </c>
    </row>
    <row r="28" spans="1:8" x14ac:dyDescent="0.3">
      <c r="A28" s="35"/>
      <c r="B28" s="34"/>
      <c r="C28" s="34"/>
      <c r="D28" s="34"/>
      <c r="E28" s="34"/>
      <c r="F28" s="34"/>
      <c r="G28" s="34"/>
    </row>
    <row r="29" spans="1:8" x14ac:dyDescent="0.3">
      <c r="A29" s="2" t="s">
        <v>45</v>
      </c>
      <c r="E29" s="33" t="s">
        <v>44</v>
      </c>
      <c r="F29" s="33"/>
      <c r="G29" s="32">
        <v>0.1</v>
      </c>
      <c r="H29" s="2" t="s">
        <v>43</v>
      </c>
    </row>
    <row r="30" spans="1:8" x14ac:dyDescent="0.3">
      <c r="A30" s="28"/>
      <c r="B30" s="62" t="s">
        <v>42</v>
      </c>
      <c r="C30" s="62"/>
      <c r="D30" s="62" t="s">
        <v>41</v>
      </c>
      <c r="E30" s="62"/>
      <c r="F30" s="62" t="s">
        <v>40</v>
      </c>
      <c r="G30" s="62"/>
    </row>
    <row r="31" spans="1:8" x14ac:dyDescent="0.3">
      <c r="A31" s="27" t="s">
        <v>48</v>
      </c>
      <c r="B31" s="60">
        <f>ROUND(D20*9.81+G29*D20*9.81,-3)</f>
        <v>0</v>
      </c>
      <c r="C31" s="60"/>
      <c r="D31" s="61">
        <f>80%*D26</f>
        <v>1499426.1692711562</v>
      </c>
      <c r="E31" s="61"/>
      <c r="F31" s="61">
        <f>B31+D31</f>
        <v>1499426.1692711562</v>
      </c>
      <c r="G31" s="61"/>
    </row>
    <row r="32" spans="1:8" x14ac:dyDescent="0.3">
      <c r="A32" s="27" t="s">
        <v>47</v>
      </c>
      <c r="B32" s="60">
        <f>ROUND(D21*9.81+G29*D21*9.81,-3)</f>
        <v>0</v>
      </c>
      <c r="C32" s="60"/>
      <c r="D32" s="61">
        <f>80%*D27</f>
        <v>-1544020.0744283337</v>
      </c>
      <c r="E32" s="61"/>
      <c r="F32" s="61">
        <f>B32+D32</f>
        <v>-1544020.0744283337</v>
      </c>
      <c r="G32" s="61"/>
    </row>
    <row r="34" spans="1:8" x14ac:dyDescent="0.3">
      <c r="A34" s="2" t="s">
        <v>49</v>
      </c>
      <c r="E34" s="33" t="s">
        <v>44</v>
      </c>
      <c r="F34" s="33"/>
      <c r="G34" s="32">
        <v>0</v>
      </c>
      <c r="H34" s="2" t="s">
        <v>43</v>
      </c>
    </row>
    <row r="35" spans="1:8" x14ac:dyDescent="0.3">
      <c r="A35" s="28"/>
      <c r="B35" s="62" t="s">
        <v>42</v>
      </c>
      <c r="C35" s="62"/>
      <c r="D35" s="62" t="s">
        <v>41</v>
      </c>
      <c r="E35" s="62"/>
      <c r="F35" s="62" t="s">
        <v>40</v>
      </c>
      <c r="G35" s="62"/>
    </row>
    <row r="36" spans="1:8" x14ac:dyDescent="0.3">
      <c r="A36" s="27" t="s">
        <v>48</v>
      </c>
      <c r="B36" s="60">
        <f>ROUND(F20*9.81+G34*F20*9.81,-3)</f>
        <v>0</v>
      </c>
      <c r="C36" s="60"/>
      <c r="D36" s="61">
        <f>20%*D26</f>
        <v>374856.54231778905</v>
      </c>
      <c r="E36" s="61"/>
      <c r="F36" s="61">
        <f>B36+D36</f>
        <v>374856.54231778905</v>
      </c>
      <c r="G36" s="61"/>
    </row>
    <row r="37" spans="1:8" x14ac:dyDescent="0.3">
      <c r="A37" s="27" t="s">
        <v>47</v>
      </c>
      <c r="B37" s="60">
        <f>ROUND(F21*9.81+G34*F21*9.81,-3)</f>
        <v>0</v>
      </c>
      <c r="C37" s="60"/>
      <c r="D37" s="61">
        <f>20%*D27</f>
        <v>-386005.01860708342</v>
      </c>
      <c r="E37" s="61"/>
      <c r="F37" s="61">
        <f>B37+D37</f>
        <v>-386005.01860708342</v>
      </c>
      <c r="G37" s="61"/>
    </row>
    <row r="39" spans="1:8" x14ac:dyDescent="0.3">
      <c r="A39" s="30" t="s">
        <v>65</v>
      </c>
    </row>
    <row r="40" spans="1:8" ht="11.25" customHeight="1" x14ac:dyDescent="0.3">
      <c r="A40" s="30" t="s">
        <v>63</v>
      </c>
    </row>
    <row r="41" spans="1:8" x14ac:dyDescent="0.3">
      <c r="A41" s="30" t="s">
        <v>64</v>
      </c>
    </row>
    <row r="42" spans="1:8" x14ac:dyDescent="0.3">
      <c r="A42" s="30" t="s">
        <v>62</v>
      </c>
    </row>
    <row r="43" spans="1:8" x14ac:dyDescent="0.3">
      <c r="A43" s="30" t="s">
        <v>61</v>
      </c>
    </row>
    <row r="44" spans="1:8" x14ac:dyDescent="0.3">
      <c r="A44" s="29"/>
    </row>
    <row r="45" spans="1:8" x14ac:dyDescent="0.3">
      <c r="A45" s="2" t="s">
        <v>39</v>
      </c>
    </row>
    <row r="46" spans="1:8" x14ac:dyDescent="0.3">
      <c r="A46" s="46" t="s">
        <v>54</v>
      </c>
      <c r="B46" s="46" t="s">
        <v>38</v>
      </c>
      <c r="C46" s="46" t="s">
        <v>57</v>
      </c>
      <c r="D46" s="46" t="s">
        <v>58</v>
      </c>
      <c r="E46" s="46" t="s">
        <v>60</v>
      </c>
      <c r="F46" s="46" t="s">
        <v>59</v>
      </c>
    </row>
    <row r="47" spans="1:8" x14ac:dyDescent="0.3">
      <c r="A47" s="31">
        <v>0</v>
      </c>
      <c r="B47" s="47">
        <f>VLOOKUP(A47,[1]FrameTable!$A$20:$B$251,2)/1000</f>
        <v>0</v>
      </c>
      <c r="C47" s="45">
        <f>VLOOKUP(A47,Sheet1!$B$2:$N$217,10)</f>
        <v>2035.575</v>
      </c>
      <c r="D47" s="45">
        <f>VLOOKUP(A47,Sheet1!$B$2:$N$217,13)</f>
        <v>1819.7550000000001</v>
      </c>
      <c r="E47" s="45">
        <f>VLOOKUP(A47,Sheet1!$B$2:$N$217,4)</f>
        <v>3546.3150000000005</v>
      </c>
      <c r="F47" s="45">
        <f>VLOOKUP(A47,Sheet1!$B$2:$N$217,7)</f>
        <v>4208.49</v>
      </c>
    </row>
    <row r="48" spans="1:8" x14ac:dyDescent="0.3">
      <c r="A48" s="31"/>
      <c r="B48" s="47">
        <v>1.54</v>
      </c>
      <c r="C48" s="45">
        <v>3538.7484140384377</v>
      </c>
      <c r="D48" s="45">
        <v>5770.2901668701697</v>
      </c>
      <c r="E48" s="45">
        <v>5920.8366071497585</v>
      </c>
      <c r="F48" s="45">
        <v>8036.4079032206973</v>
      </c>
    </row>
    <row r="49" spans="1:6" x14ac:dyDescent="0.3">
      <c r="A49" s="27">
        <v>68</v>
      </c>
      <c r="B49" s="47">
        <v>52.677999999999997</v>
      </c>
      <c r="C49" s="45">
        <v>-245000</v>
      </c>
      <c r="D49" s="45">
        <v>666844</v>
      </c>
      <c r="E49" s="45">
        <f>VLOOKUP(A49,Sheet1!$B$2:$N$217,4)</f>
        <v>605953.89</v>
      </c>
      <c r="F49" s="45">
        <f>VLOOKUP(A49,Sheet1!$B$2:$N$217,7)</f>
        <v>292146.70500000002</v>
      </c>
    </row>
    <row r="50" spans="1:6" x14ac:dyDescent="0.3">
      <c r="A50" s="27">
        <v>85</v>
      </c>
      <c r="B50" s="47">
        <f>VLOOKUP(A50,[1]FrameTable!$A$20:$B$251,2)/1000</f>
        <v>66.8</v>
      </c>
      <c r="C50" s="45">
        <v>-245000</v>
      </c>
      <c r="D50" s="45">
        <v>666844</v>
      </c>
      <c r="E50" s="45">
        <f>VLOOKUP(A50,Sheet1!$B$2:$N$217,4)</f>
        <v>710812.98</v>
      </c>
      <c r="F50" s="45">
        <f>VLOOKUP(A50,Sheet1!$B$2:$N$217,7)</f>
        <v>70112.070000000007</v>
      </c>
    </row>
    <row r="51" spans="1:6" x14ac:dyDescent="0.3">
      <c r="A51" s="27">
        <v>101</v>
      </c>
      <c r="B51" s="47">
        <f>VLOOKUP(A51,[1]FrameTable!$A$20:$B$251,2)/1000</f>
        <v>79.599999999999994</v>
      </c>
      <c r="C51" s="45">
        <v>-245000</v>
      </c>
      <c r="D51" s="45">
        <v>666844</v>
      </c>
      <c r="E51" s="45">
        <f>VLOOKUP(A51,Sheet1!$B$2:$N$217,4)</f>
        <v>748664.86499999999</v>
      </c>
      <c r="F51" s="45">
        <f>VLOOKUP(A51,Sheet1!$B$2:$N$217,7)</f>
        <v>-307366.92000000004</v>
      </c>
    </row>
    <row r="52" spans="1:6" x14ac:dyDescent="0.3">
      <c r="A52" s="27">
        <v>117</v>
      </c>
      <c r="B52" s="47">
        <f>VLOOKUP(A52,[1]FrameTable!$A$20:$B$251,2)/1000</f>
        <v>92.4</v>
      </c>
      <c r="C52" s="45">
        <v>-245000</v>
      </c>
      <c r="D52" s="45">
        <v>666844</v>
      </c>
      <c r="E52" s="45">
        <f>VLOOKUP(A52,Sheet1!$B$2:$N$217,4)</f>
        <v>737147.92500000005</v>
      </c>
      <c r="F52" s="45">
        <f>VLOOKUP(A52,Sheet1!$B$2:$N$217,7)</f>
        <v>-695156.22</v>
      </c>
    </row>
    <row r="53" spans="1:6" x14ac:dyDescent="0.3">
      <c r="A53" s="27">
        <v>133</v>
      </c>
      <c r="B53" s="47">
        <f>VLOOKUP(A53,[1]FrameTable!$A$20:$B$251,2)/1000</f>
        <v>105.2</v>
      </c>
      <c r="C53" s="45">
        <v>-245000</v>
      </c>
      <c r="D53" s="45">
        <v>666844</v>
      </c>
      <c r="E53" s="45">
        <f>VLOOKUP(A53,Sheet1!$B$2:$N$217,4)</f>
        <v>675958.05</v>
      </c>
      <c r="F53" s="45">
        <f>VLOOKUP(A53,Sheet1!$B$2:$N$217,7)</f>
        <v>-648171.22500000009</v>
      </c>
    </row>
    <row r="54" spans="1:6" x14ac:dyDescent="0.3">
      <c r="A54" s="27">
        <v>149</v>
      </c>
      <c r="B54" s="47">
        <v>120.86199999999999</v>
      </c>
      <c r="C54" s="45">
        <v>-245000</v>
      </c>
      <c r="D54" s="45">
        <v>666844</v>
      </c>
      <c r="E54" s="45">
        <f>VLOOKUP(A54,Sheet1!$B$2:$N$217,4)</f>
        <v>572899.09499999997</v>
      </c>
      <c r="F54" s="45">
        <f>VLOOKUP(A54,Sheet1!$B$2:$N$217,7)</f>
        <v>-274954.68000000005</v>
      </c>
    </row>
    <row r="55" spans="1:6" x14ac:dyDescent="0.3">
      <c r="A55" s="27">
        <v>215</v>
      </c>
      <c r="B55" s="47">
        <f>VLOOKUP(A55,[1]FrameTable!$A$20:$B$251,2)/1000</f>
        <v>170</v>
      </c>
      <c r="C55" s="45">
        <f>VLOOKUP(A55,Sheet1!$B$2:$N$217,10)</f>
        <v>2035.5750000000003</v>
      </c>
      <c r="D55" s="45">
        <f>VLOOKUP(A55,Sheet1!$B$2:$N$217,13)</f>
        <v>2099.34</v>
      </c>
      <c r="E55" s="45">
        <f>VLOOKUP(A55,Sheet1!$B$2:$N$217,4)</f>
        <v>8554.32</v>
      </c>
      <c r="F55" s="45">
        <f>VLOOKUP(A55,Sheet1!$B$2:$N$217,7)</f>
        <v>6778.7100000000009</v>
      </c>
    </row>
    <row r="56" spans="1:6" x14ac:dyDescent="0.3">
      <c r="A56" s="27" t="s">
        <v>66</v>
      </c>
      <c r="B56" s="47">
        <v>172</v>
      </c>
      <c r="C56" s="45">
        <v>3225.4930815683301</v>
      </c>
      <c r="D56" s="45">
        <v>3941.6076232843097</v>
      </c>
      <c r="E56" s="45">
        <v>3029.2394104143968</v>
      </c>
      <c r="F56" s="45">
        <v>2073.4950596250615</v>
      </c>
    </row>
    <row r="59" spans="1:6" x14ac:dyDescent="0.3">
      <c r="A59" s="51">
        <v>0</v>
      </c>
      <c r="B59" s="47">
        <v>0</v>
      </c>
      <c r="C59" s="28">
        <f>VLOOKUP(A59,Sheet1!$B$2:$N$217,7)</f>
        <v>4208.49</v>
      </c>
      <c r="D59" s="56">
        <v>1.54</v>
      </c>
      <c r="E59" s="44">
        <f>C59</f>
        <v>4208.49</v>
      </c>
    </row>
    <row r="60" spans="1:6" x14ac:dyDescent="0.3">
      <c r="A60" s="31">
        <v>14</v>
      </c>
      <c r="B60" s="47">
        <f>VLOOKUP(A60,[1]FrameTable!$A$20:$B$251,2)/1000</f>
        <v>10</v>
      </c>
      <c r="C60" s="28">
        <f>VLOOKUP(A60,Sheet1!$B$2:$N$217,7)</f>
        <v>70386.75</v>
      </c>
      <c r="D60" s="56">
        <v>10.063000000000001</v>
      </c>
      <c r="E60" s="44">
        <f>sf_Lagrange(D60,B59,B60,B61,B62,C59,C60,C61,C62)</f>
        <v>71083.560174059443</v>
      </c>
    </row>
    <row r="61" spans="1:6" x14ac:dyDescent="0.3">
      <c r="A61" s="27">
        <v>25</v>
      </c>
      <c r="B61" s="47">
        <f>VLOOKUP(A61,[1]FrameTable!$A$20:$B$251,2)/1000</f>
        <v>18.8</v>
      </c>
      <c r="C61" s="28">
        <f>VLOOKUP(A61,Sheet1!$B$2:$N$217,7)</f>
        <v>181887.21000000002</v>
      </c>
      <c r="D61" s="56">
        <v>18.585999999999999</v>
      </c>
      <c r="E61" s="44">
        <f>sf_Lagrange(D61,B60,B61,B62,B63,C60,C61,C62,C63)</f>
        <v>179120.66971308045</v>
      </c>
    </row>
    <row r="62" spans="1:6" x14ac:dyDescent="0.3">
      <c r="A62" s="31">
        <v>37</v>
      </c>
      <c r="B62" s="47">
        <f>VLOOKUP(A62,[1]FrameTable!$A$20:$B$251,2)/1000</f>
        <v>28.4</v>
      </c>
      <c r="C62" s="28">
        <f>VLOOKUP(A62,Sheet1!$B$2:$N$217,7)</f>
        <v>291759.20999999996</v>
      </c>
      <c r="D62" s="56">
        <v>27.109000000000002</v>
      </c>
      <c r="E62" s="44">
        <f>C62</f>
        <v>291759.20999999996</v>
      </c>
    </row>
    <row r="63" spans="1:6" x14ac:dyDescent="0.3">
      <c r="A63" s="31">
        <v>46</v>
      </c>
      <c r="B63" s="47">
        <f>VLOOKUP(A63,[1]FrameTable!$A$20:$B$251,2)/1000</f>
        <v>35.6</v>
      </c>
      <c r="C63" s="28">
        <f>VLOOKUP(A63,Sheet1!$B$2:$N$217,7)</f>
        <v>335639.34</v>
      </c>
      <c r="D63" s="56">
        <v>35.631999999999998</v>
      </c>
      <c r="E63" s="44">
        <f>sf_Lagrange(D63,B62,B63,B64,B65,C62,C63,C64,C65)</f>
        <v>335770.63801688357</v>
      </c>
    </row>
    <row r="64" spans="1:6" x14ac:dyDescent="0.3">
      <c r="A64" s="27">
        <v>57</v>
      </c>
      <c r="B64" s="47">
        <f>VLOOKUP(A64,[1]FrameTable!$A$20:$B$251,2)/1000</f>
        <v>44.4</v>
      </c>
      <c r="C64" s="28">
        <f>VLOOKUP(A64,Sheet1!$B$2:$N$217,7)</f>
        <v>345552.34499999997</v>
      </c>
      <c r="D64" s="56">
        <v>44.155000000000001</v>
      </c>
      <c r="E64" s="44">
        <f>sf_Lagrange(D64,B63,B64,B65,B66,C63,C64,C65,C66)</f>
        <v>346099.0647259152</v>
      </c>
    </row>
    <row r="65" spans="1:5" x14ac:dyDescent="0.3">
      <c r="A65" s="27">
        <v>67</v>
      </c>
      <c r="B65" s="47">
        <f>VLOOKUP(A65,[1]FrameTable!$A$20:$B$251,2)/1000</f>
        <v>52.4</v>
      </c>
      <c r="C65" s="28">
        <f>VLOOKUP(A65,Sheet1!$B$2:$N$217,7)</f>
        <v>299896.60499999998</v>
      </c>
      <c r="D65" s="56">
        <v>52.677999999999997</v>
      </c>
      <c r="E65" s="44">
        <f>C65</f>
        <v>299896.60499999998</v>
      </c>
    </row>
    <row r="66" spans="1:5" x14ac:dyDescent="0.3">
      <c r="A66" s="27">
        <v>78</v>
      </c>
      <c r="B66" s="47">
        <f>VLOOKUP(A66,[1]FrameTable!$A$20:$B$251,2)/1000</f>
        <v>61.2</v>
      </c>
      <c r="C66" s="28">
        <f>VLOOKUP(A66,Sheet1!$B$2:$N$217,7)</f>
        <v>183010.45500000002</v>
      </c>
      <c r="D66" s="56">
        <v>61.201000000000001</v>
      </c>
      <c r="E66" s="44">
        <f>sf_Lagrange(D66,B65,B66,B67,B68,C65,C66,C67,C68)</f>
        <v>182993.0456307405</v>
      </c>
    </row>
    <row r="67" spans="1:5" x14ac:dyDescent="0.3">
      <c r="A67" s="27">
        <v>89</v>
      </c>
      <c r="B67" s="47">
        <f>VLOOKUP(A67,[1]FrameTable!$A$20:$B$251,2)/1000</f>
        <v>70</v>
      </c>
      <c r="C67" s="28">
        <f>VLOOKUP(A67,Sheet1!$B$2:$N$217,7)</f>
        <v>-8269.8300000000017</v>
      </c>
      <c r="D67" s="56">
        <v>69.724000000000004</v>
      </c>
      <c r="E67" s="44">
        <f>sf_Lagrange(D67,B66,B67,B68,B69,C66,C67,C68,C69)</f>
        <v>-924.86501114371958</v>
      </c>
    </row>
    <row r="68" spans="1:5" x14ac:dyDescent="0.3">
      <c r="A68" s="27">
        <v>99</v>
      </c>
      <c r="B68" s="47">
        <f>VLOOKUP(A68,[1]FrameTable!$A$20:$B$251,2)/1000</f>
        <v>78</v>
      </c>
      <c r="C68" s="28">
        <f>VLOOKUP(A68,Sheet1!$B$2:$N$217,7)</f>
        <v>-251253.72</v>
      </c>
      <c r="D68" s="56">
        <v>78.247</v>
      </c>
      <c r="E68" s="44">
        <f>sf_Lagrange(D68,B67,B68,B69,B70,C67,C68,C69,C70)</f>
        <v>-260362.30338110699</v>
      </c>
    </row>
    <row r="69" spans="1:5" x14ac:dyDescent="0.3">
      <c r="A69" s="27">
        <v>110</v>
      </c>
      <c r="B69" s="47">
        <f>VLOOKUP(A69,[1]FrameTable!$A$20:$B$251,2)/1000</f>
        <v>86.8</v>
      </c>
      <c r="C69" s="28">
        <f>VLOOKUP(A69,Sheet1!$B$2:$N$217,7)</f>
        <v>-568048.05000000005</v>
      </c>
      <c r="D69" s="56">
        <v>86.77</v>
      </c>
      <c r="E69" s="44">
        <f>C69</f>
        <v>-568048.05000000005</v>
      </c>
    </row>
    <row r="70" spans="1:5" x14ac:dyDescent="0.3">
      <c r="A70" s="27">
        <v>121</v>
      </c>
      <c r="B70" s="47">
        <f>VLOOKUP(A70,[1]FrameTable!$A$20:$B$251,2)/1000</f>
        <v>95.6</v>
      </c>
      <c r="C70" s="28">
        <f>VLOOKUP(A70,Sheet1!$B$2:$N$217,7)</f>
        <v>-726376.54500000004</v>
      </c>
      <c r="D70" s="56">
        <v>95.293000000000006</v>
      </c>
      <c r="E70" s="44">
        <f>sf_Lagrange(D70,B69,B70,B71,B72,C69,C70,C71,C72)</f>
        <v>-724601.80078565981</v>
      </c>
    </row>
    <row r="71" spans="1:5" x14ac:dyDescent="0.3">
      <c r="A71" s="27">
        <v>131</v>
      </c>
      <c r="B71" s="47">
        <f>VLOOKUP(A71,[1]FrameTable!$A$20:$B$251,2)/1000</f>
        <v>103.6</v>
      </c>
      <c r="C71" s="28">
        <f>VLOOKUP(A71,Sheet1!$B$2:$N$217,7)</f>
        <v>-679945.81500000006</v>
      </c>
      <c r="D71" s="56">
        <v>103.816</v>
      </c>
      <c r="E71" s="44">
        <f>sf_Lagrange(D71,B70,B71,B72,B73,C70,C71,C72,C73)</f>
        <v>-675547.8452230941</v>
      </c>
    </row>
    <row r="72" spans="1:5" x14ac:dyDescent="0.3">
      <c r="A72" s="27">
        <v>141</v>
      </c>
      <c r="B72" s="47">
        <f>VLOOKUP(A72,[1]FrameTable!$A$20:$B$251,2)/1000</f>
        <v>111.6</v>
      </c>
      <c r="C72" s="28">
        <f>VLOOKUP(A72,Sheet1!$B$2:$N$217,7)</f>
        <v>-460373.49</v>
      </c>
      <c r="D72" s="56">
        <v>112.339</v>
      </c>
      <c r="E72" s="44">
        <f>C72</f>
        <v>-460373.49</v>
      </c>
    </row>
    <row r="73" spans="1:5" x14ac:dyDescent="0.3">
      <c r="A73" s="27">
        <v>152</v>
      </c>
      <c r="B73" s="47">
        <f>VLOOKUP(A73,[1]FrameTable!$A$20:$B$251,2)/1000</f>
        <v>120.4</v>
      </c>
      <c r="C73" s="28">
        <f>VLOOKUP(A73,Sheet1!$B$2:$N$217,7)</f>
        <v>-216290.88</v>
      </c>
      <c r="D73" s="56">
        <v>120.86199999999999</v>
      </c>
      <c r="E73" s="44">
        <f>sf_Lagrange(D73,B72,B73,B74,B75,C72,C73,C74,C75)</f>
        <v>-205669.47289643451</v>
      </c>
    </row>
    <row r="74" spans="1:5" x14ac:dyDescent="0.3">
      <c r="A74" s="27">
        <v>163</v>
      </c>
      <c r="B74" s="47">
        <f>VLOOKUP(A74,[1]FrameTable!$A$20:$B$251,2)/1000</f>
        <v>129.19999999999999</v>
      </c>
      <c r="C74" s="28">
        <f>VLOOKUP(A74,Sheet1!$B$2:$N$217,7)</f>
        <v>-51183.675000000003</v>
      </c>
      <c r="D74" s="56">
        <v>129.38499999999999</v>
      </c>
      <c r="E74" s="44">
        <f>sf_Lagrange(D74,B73,B74,B75,B76,C73,C74,C75,C76)</f>
        <v>-48623.769089190013</v>
      </c>
    </row>
    <row r="75" spans="1:5" x14ac:dyDescent="0.3">
      <c r="A75" s="27">
        <v>173</v>
      </c>
      <c r="B75" s="47">
        <f>VLOOKUP(A75,[1]FrameTable!$A$20:$B$251,2)/1000</f>
        <v>137.19999999999999</v>
      </c>
      <c r="C75" s="28">
        <f>VLOOKUP(A75,Sheet1!$B$2:$N$217,7)</f>
        <v>31441.050000000003</v>
      </c>
      <c r="D75" s="56">
        <v>137.90799999999999</v>
      </c>
      <c r="E75" s="44">
        <f>C75</f>
        <v>31441.050000000003</v>
      </c>
    </row>
    <row r="76" spans="1:5" x14ac:dyDescent="0.3">
      <c r="A76" s="27">
        <v>185</v>
      </c>
      <c r="B76" s="47">
        <f>VLOOKUP(A76,[1]FrameTable!$A$20:$B$251,2)/1000</f>
        <v>146.80000000000001</v>
      </c>
      <c r="C76" s="28">
        <f>VLOOKUP(A76,Sheet1!$B$2:$N$217,7)</f>
        <v>72074.070000000007</v>
      </c>
      <c r="D76" s="56">
        <v>146.43100000000001</v>
      </c>
      <c r="E76" s="44">
        <f>sf_Lagrange(D76,B75,B76,B77,B78,C75,C76,C77,C78)</f>
        <v>71582.353625622913</v>
      </c>
    </row>
    <row r="77" spans="1:5" x14ac:dyDescent="0.3">
      <c r="A77" s="27">
        <v>195</v>
      </c>
      <c r="B77" s="47">
        <f>VLOOKUP(A77,[1]FrameTable!$A$20:$B$251,2)/1000</f>
        <v>154.80000000000001</v>
      </c>
      <c r="C77" s="28">
        <f>VLOOKUP(A77,Sheet1!$B$2:$N$217,7)</f>
        <v>65874.149999999994</v>
      </c>
      <c r="D77" s="56">
        <v>154.95400000000001</v>
      </c>
      <c r="E77" s="44">
        <f>sf_Lagrange(D77,B76,B77,B78,B79,C76,C77,C78,C79)</f>
        <v>65424.714417064046</v>
      </c>
    </row>
    <row r="78" spans="1:5" x14ac:dyDescent="0.3">
      <c r="A78" s="27">
        <v>206</v>
      </c>
      <c r="B78" s="47">
        <f>VLOOKUP(A78,[1]FrameTable!$A$20:$B$251,2)/1000</f>
        <v>163.6</v>
      </c>
      <c r="C78" s="28">
        <f>VLOOKUP(A78,Sheet1!$B$2:$N$217,7)</f>
        <v>30813.21</v>
      </c>
      <c r="D78" s="56">
        <v>163.477</v>
      </c>
      <c r="E78" s="44">
        <f>C78</f>
        <v>30813.21</v>
      </c>
    </row>
    <row r="79" spans="1:5" x14ac:dyDescent="0.3">
      <c r="A79" s="27" t="s">
        <v>66</v>
      </c>
      <c r="B79" s="47">
        <v>172</v>
      </c>
      <c r="C79" s="28">
        <v>0</v>
      </c>
      <c r="D79" s="56">
        <v>172</v>
      </c>
      <c r="E79" s="44">
        <f>C79</f>
        <v>0</v>
      </c>
    </row>
  </sheetData>
  <sheetProtection selectLockedCells="1" selectUnlockedCells="1"/>
  <mergeCells count="36">
    <mergeCell ref="B25:C25"/>
    <mergeCell ref="D25:E25"/>
    <mergeCell ref="F25:G25"/>
    <mergeCell ref="B26:C26"/>
    <mergeCell ref="D26:E26"/>
    <mergeCell ref="F26:G26"/>
    <mergeCell ref="B27:C27"/>
    <mergeCell ref="D27:E27"/>
    <mergeCell ref="F27:G27"/>
    <mergeCell ref="B30:C30"/>
    <mergeCell ref="D30:E30"/>
    <mergeCell ref="F30:G30"/>
    <mergeCell ref="B31:C31"/>
    <mergeCell ref="D31:E31"/>
    <mergeCell ref="F31:G31"/>
    <mergeCell ref="B32:C32"/>
    <mergeCell ref="D32:E32"/>
    <mergeCell ref="F32:G32"/>
    <mergeCell ref="B37:C37"/>
    <mergeCell ref="D37:E37"/>
    <mergeCell ref="F37:G37"/>
    <mergeCell ref="B35:C35"/>
    <mergeCell ref="D35:E35"/>
    <mergeCell ref="F35:G35"/>
    <mergeCell ref="B36:C36"/>
    <mergeCell ref="D36:E36"/>
    <mergeCell ref="F36:G36"/>
    <mergeCell ref="B19:C19"/>
    <mergeCell ref="B20:C20"/>
    <mergeCell ref="B21:C21"/>
    <mergeCell ref="D19:E19"/>
    <mergeCell ref="F19:G19"/>
    <mergeCell ref="D20:E20"/>
    <mergeCell ref="D21:E21"/>
    <mergeCell ref="F20:G20"/>
    <mergeCell ref="F21:G21"/>
  </mergeCells>
  <phoneticPr fontId="1" type="noConversion"/>
  <pageMargins left="0.23622047244094491" right="0.23622047244094491" top="0.74803149606299213" bottom="0.74803149606299213" header="0.31496062992125984" footer="0.31496062992125984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GLS"/>
  <dimension ref="B2:U35"/>
  <sheetViews>
    <sheetView topLeftCell="E1" zoomScaleSheetLayoutView="100" workbookViewId="0">
      <selection activeCell="I23" sqref="I23"/>
    </sheetView>
  </sheetViews>
  <sheetFormatPr defaultColWidth="9" defaultRowHeight="11.25" x14ac:dyDescent="0.3"/>
  <cols>
    <col min="1" max="1" width="3.25" style="2" customWidth="1"/>
    <col min="2" max="2" width="6.75" style="2" customWidth="1"/>
    <col min="3" max="3" width="9.75" style="2" customWidth="1"/>
    <col min="4" max="4" width="9.625" style="2" customWidth="1"/>
    <col min="5" max="9" width="8.375" style="2" customWidth="1"/>
    <col min="10" max="19" width="8.625" style="2" customWidth="1"/>
    <col min="20" max="21" width="6.625" style="2" customWidth="1"/>
    <col min="22" max="22" width="2.25" style="2" customWidth="1"/>
    <col min="23" max="16384" width="9" style="2"/>
  </cols>
  <sheetData>
    <row r="2" spans="2:21" x14ac:dyDescent="0.3">
      <c r="E2" s="4" t="s">
        <v>23</v>
      </c>
      <c r="F2" s="4" t="s">
        <v>24</v>
      </c>
      <c r="G2" s="4" t="s">
        <v>67</v>
      </c>
      <c r="L2" s="3"/>
      <c r="M2" s="3"/>
    </row>
    <row r="3" spans="2:21" x14ac:dyDescent="0.3">
      <c r="B3" s="2" t="s">
        <v>36</v>
      </c>
      <c r="E3" s="14">
        <f>HGDAT!B26</f>
        <v>1765000</v>
      </c>
      <c r="F3" s="14">
        <f>HGDAT!B31</f>
        <v>0</v>
      </c>
      <c r="H3" s="4" t="s">
        <v>15</v>
      </c>
      <c r="L3" s="3"/>
      <c r="M3" s="3"/>
    </row>
    <row r="4" spans="2:21" x14ac:dyDescent="0.3">
      <c r="B4" s="2" t="s">
        <v>37</v>
      </c>
      <c r="E4" s="14">
        <f>HGDAT!B27</f>
        <v>-1140469.3731572919</v>
      </c>
      <c r="F4" s="14">
        <f>HGDAT!B32</f>
        <v>0</v>
      </c>
      <c r="H4" s="4" t="s">
        <v>15</v>
      </c>
      <c r="L4" s="3"/>
      <c r="M4" s="3"/>
    </row>
    <row r="7" spans="2:21" s="4" customFormat="1" ht="15" customHeight="1" x14ac:dyDescent="0.3">
      <c r="B7" s="63" t="s">
        <v>16</v>
      </c>
      <c r="C7" s="63" t="s">
        <v>22</v>
      </c>
      <c r="D7" s="64" t="s">
        <v>7</v>
      </c>
      <c r="E7" s="64" t="s">
        <v>17</v>
      </c>
      <c r="F7" s="64" t="s">
        <v>9</v>
      </c>
      <c r="G7" s="6"/>
      <c r="H7" s="63" t="s">
        <v>27</v>
      </c>
      <c r="I7" s="63"/>
      <c r="J7" s="63" t="s">
        <v>26</v>
      </c>
      <c r="K7" s="63"/>
      <c r="L7" s="63" t="s">
        <v>4</v>
      </c>
      <c r="M7" s="63"/>
      <c r="N7" s="64" t="s">
        <v>18</v>
      </c>
      <c r="O7" s="63"/>
      <c r="P7" s="63" t="s">
        <v>5</v>
      </c>
      <c r="Q7" s="63"/>
      <c r="R7" s="63" t="s">
        <v>19</v>
      </c>
      <c r="S7" s="63"/>
      <c r="T7" s="70" t="s">
        <v>34</v>
      </c>
      <c r="U7" s="71"/>
    </row>
    <row r="8" spans="2:21" s="4" customFormat="1" ht="24.95" customHeight="1" x14ac:dyDescent="0.3">
      <c r="B8" s="63"/>
      <c r="C8" s="63"/>
      <c r="D8" s="64"/>
      <c r="E8" s="64"/>
      <c r="F8" s="64"/>
      <c r="G8" s="6"/>
      <c r="H8" s="6" t="s">
        <v>8</v>
      </c>
      <c r="I8" s="6" t="s">
        <v>20</v>
      </c>
      <c r="J8" s="6" t="s">
        <v>8</v>
      </c>
      <c r="K8" s="6" t="s">
        <v>20</v>
      </c>
      <c r="L8" s="6" t="s">
        <v>8</v>
      </c>
      <c r="M8" s="6" t="s">
        <v>20</v>
      </c>
      <c r="N8" s="6" t="s">
        <v>21</v>
      </c>
      <c r="O8" s="6" t="s">
        <v>6</v>
      </c>
      <c r="P8" s="6" t="s">
        <v>28</v>
      </c>
      <c r="Q8" s="6" t="s">
        <v>29</v>
      </c>
      <c r="R8" s="6" t="s">
        <v>30</v>
      </c>
      <c r="S8" s="6" t="s">
        <v>31</v>
      </c>
      <c r="T8" s="6" t="s">
        <v>32</v>
      </c>
      <c r="U8" s="6" t="s">
        <v>33</v>
      </c>
    </row>
    <row r="9" spans="2:21" s="4" customFormat="1" x14ac:dyDescent="0.3">
      <c r="B9" s="57">
        <v>1</v>
      </c>
      <c r="C9" s="57" t="s">
        <v>35</v>
      </c>
      <c r="D9" s="57">
        <f>142-1.57</f>
        <v>140.43</v>
      </c>
      <c r="E9" s="57">
        <v>0.78</v>
      </c>
      <c r="F9" s="57">
        <v>0.78</v>
      </c>
      <c r="G9" s="18" t="s">
        <v>23</v>
      </c>
      <c r="H9" s="8">
        <f>sf_fsw(HGDAT!$C$6,D9)*$E$3</f>
        <v>756559.89583333291</v>
      </c>
      <c r="I9" s="8">
        <f>sf_fsw(HGDAT!$C$6,D9)*$E$4</f>
        <v>-488857.44484815135</v>
      </c>
      <c r="J9" s="8">
        <f>VerWaveBM("HOGGING",-8,HGDAT!$C$6,HGDAT!$C$7,HGDAT!$C$10,D9)</f>
        <v>459616.58509929333</v>
      </c>
      <c r="K9" s="8">
        <f>VerWaveBM("SAGGING",-8,HGDAT!$C$6,HGDAT!$C$7,HGDAT!$C$10,D9)</f>
        <v>-473285.87994329788</v>
      </c>
      <c r="L9" s="8">
        <f>J9+H9</f>
        <v>1216176.4809326262</v>
      </c>
      <c r="M9" s="8">
        <f>K9+I9</f>
        <v>-962143.32479144924</v>
      </c>
      <c r="N9" s="65">
        <v>7.8129999999999997</v>
      </c>
      <c r="O9" s="65">
        <v>12.566000000000001</v>
      </c>
      <c r="P9" s="11">
        <f>sf_MAX_ABS(L9:M9)/N9*10^-3</f>
        <v>155.66062727923028</v>
      </c>
      <c r="Q9" s="11"/>
      <c r="R9" s="67">
        <f>HG_CheckStress(E9,D9,HGDAT!$C$6)</f>
        <v>166.66666666666666</v>
      </c>
      <c r="S9" s="67">
        <f>HG_CheckStress(F9,D9,HGDAT!$C$6)</f>
        <v>166.66666666666666</v>
      </c>
      <c r="T9" s="15">
        <f>R9/P9</f>
        <v>1.0707053516345741</v>
      </c>
      <c r="U9" s="15" t="e">
        <f>S9/Q9</f>
        <v>#DIV/0!</v>
      </c>
    </row>
    <row r="10" spans="2:21" s="4" customFormat="1" x14ac:dyDescent="0.3">
      <c r="B10" s="57"/>
      <c r="C10" s="57"/>
      <c r="D10" s="57"/>
      <c r="E10" s="57"/>
      <c r="F10" s="57"/>
      <c r="G10" s="19" t="s">
        <v>24</v>
      </c>
      <c r="H10" s="20">
        <f>sf_fsw(HGDAT!$C$6,D9)*$F$3</f>
        <v>0</v>
      </c>
      <c r="I10" s="20">
        <f>sf_fsw(HGDAT!$C$6,D9)*$F$4</f>
        <v>0</v>
      </c>
      <c r="J10" s="9">
        <f>J9*0.8</f>
        <v>367693.2680794347</v>
      </c>
      <c r="K10" s="9">
        <f>K9*0.8</f>
        <v>-378628.70395463833</v>
      </c>
      <c r="L10" s="9">
        <f>J10+H10</f>
        <v>367693.2680794347</v>
      </c>
      <c r="M10" s="9">
        <f>K10+I10</f>
        <v>-378628.70395463833</v>
      </c>
      <c r="N10" s="66"/>
      <c r="O10" s="66"/>
      <c r="P10" s="12"/>
      <c r="Q10" s="12"/>
      <c r="R10" s="68"/>
      <c r="S10" s="68"/>
      <c r="T10" s="16" t="e">
        <f>R9/P10</f>
        <v>#DIV/0!</v>
      </c>
      <c r="U10" s="16" t="e">
        <f>S9/Q10</f>
        <v>#DIV/0!</v>
      </c>
    </row>
    <row r="11" spans="2:21" s="4" customFormat="1" x14ac:dyDescent="0.3">
      <c r="B11" s="57"/>
      <c r="C11" s="57"/>
      <c r="D11" s="57"/>
      <c r="E11" s="57"/>
      <c r="F11" s="57"/>
      <c r="G11" s="21" t="s">
        <v>25</v>
      </c>
      <c r="H11" s="22"/>
      <c r="I11" s="22"/>
      <c r="J11" s="10"/>
      <c r="K11" s="10"/>
      <c r="L11" s="10"/>
      <c r="M11" s="10"/>
      <c r="N11" s="7"/>
      <c r="O11" s="7"/>
      <c r="P11" s="13"/>
      <c r="Q11" s="13"/>
      <c r="R11" s="69"/>
      <c r="S11" s="69"/>
      <c r="T11" s="17"/>
      <c r="U11" s="17"/>
    </row>
    <row r="12" spans="2:21" x14ac:dyDescent="0.3">
      <c r="B12" s="57">
        <v>2</v>
      </c>
      <c r="C12" s="57" t="s">
        <v>53</v>
      </c>
      <c r="D12" s="57">
        <f>86.77-1.54</f>
        <v>85.22999999999999</v>
      </c>
      <c r="E12" s="57">
        <v>0.72</v>
      </c>
      <c r="F12" s="57">
        <v>0.78</v>
      </c>
      <c r="G12" s="18" t="s">
        <v>23</v>
      </c>
      <c r="H12" s="8">
        <f>sf_fsw(HGDAT!$C$6,D12)*$E$3</f>
        <v>1765000</v>
      </c>
      <c r="I12" s="8">
        <f>sf_fsw(HGDAT!$C$6,D12)*$E$4</f>
        <v>-1140469.3731572919</v>
      </c>
      <c r="J12" s="8">
        <f>VerWaveBM("HOGGING",-8,HGDAT!$C$6,HGDAT!$C$7,HGDAT!$C$10,D12)</f>
        <v>1874282.7115889452</v>
      </c>
      <c r="K12" s="8">
        <f>VerWaveBM("SAGGING",-8,HGDAT!$C$6,HGDAT!$C$7,HGDAT!$C$10,D12)</f>
        <v>-1930025.0930354169</v>
      </c>
      <c r="L12" s="8">
        <f>J12+H12</f>
        <v>3639282.7115889452</v>
      </c>
      <c r="M12" s="8">
        <f>K12+I12</f>
        <v>-3070494.4661927088</v>
      </c>
      <c r="N12" s="65">
        <f>80.751/(14.6-5.753)</f>
        <v>9.127500847744999</v>
      </c>
      <c r="O12" s="65">
        <f>80.751/5.753</f>
        <v>14.036328871892925</v>
      </c>
      <c r="P12" s="11">
        <f>sf_MAX_ABS(L12:M12)/N12*10^-3</f>
        <v>398.71622827491171</v>
      </c>
      <c r="Q12" s="11"/>
      <c r="R12" s="67">
        <f>HG_CheckStress(E12,D12,HGDAT!$C$6)</f>
        <v>263.88888888888891</v>
      </c>
      <c r="S12" s="67">
        <f>HG_CheckStress(F12,D12,HGDAT!$C$6)</f>
        <v>243.58974358974359</v>
      </c>
      <c r="T12" s="15">
        <f>R12/P12</f>
        <v>0.66184637136700541</v>
      </c>
      <c r="U12" s="15" t="e">
        <f>S12/Q12</f>
        <v>#DIV/0!</v>
      </c>
    </row>
    <row r="13" spans="2:21" x14ac:dyDescent="0.3">
      <c r="B13" s="57"/>
      <c r="C13" s="57"/>
      <c r="D13" s="57"/>
      <c r="E13" s="57"/>
      <c r="F13" s="57"/>
      <c r="G13" s="19" t="s">
        <v>24</v>
      </c>
      <c r="H13" s="20">
        <f>sf_fsw(HGDAT!$C$6,D12)*$F$3</f>
        <v>0</v>
      </c>
      <c r="I13" s="20">
        <f>sf_fsw(HGDAT!$C$6,D12)*$F$4</f>
        <v>0</v>
      </c>
      <c r="J13" s="9">
        <f>J12*0.8</f>
        <v>1499426.1692711562</v>
      </c>
      <c r="K13" s="9">
        <f>K12*0.8</f>
        <v>-1544020.0744283337</v>
      </c>
      <c r="L13" s="9">
        <f>J13+H13</f>
        <v>1499426.1692711562</v>
      </c>
      <c r="M13" s="9">
        <f>K13+I13</f>
        <v>-1544020.0744283337</v>
      </c>
      <c r="N13" s="66"/>
      <c r="O13" s="66"/>
      <c r="P13" s="12"/>
      <c r="Q13" s="12"/>
      <c r="R13" s="68"/>
      <c r="S13" s="68"/>
      <c r="T13" s="36" t="e">
        <f>R12/P13</f>
        <v>#DIV/0!</v>
      </c>
      <c r="U13" s="36" t="e">
        <f>S12/Q13</f>
        <v>#DIV/0!</v>
      </c>
    </row>
    <row r="14" spans="2:21" s="5" customFormat="1" x14ac:dyDescent="0.3">
      <c r="B14" s="57"/>
      <c r="C14" s="57"/>
      <c r="D14" s="57"/>
      <c r="E14" s="57"/>
      <c r="F14" s="57"/>
      <c r="G14" s="21" t="s">
        <v>25</v>
      </c>
      <c r="H14" s="22"/>
      <c r="I14" s="22"/>
      <c r="J14" s="10"/>
      <c r="K14" s="10"/>
      <c r="L14" s="10"/>
      <c r="M14" s="10"/>
      <c r="N14" s="7"/>
      <c r="O14" s="7"/>
      <c r="P14" s="13"/>
      <c r="Q14" s="13"/>
      <c r="R14" s="69"/>
      <c r="S14" s="69"/>
      <c r="T14" s="17"/>
      <c r="U14" s="17"/>
    </row>
    <row r="15" spans="2:21" x14ac:dyDescent="0.3">
      <c r="B15" s="57">
        <v>3</v>
      </c>
      <c r="C15" s="57"/>
      <c r="D15" s="57"/>
      <c r="E15" s="57"/>
      <c r="F15" s="57"/>
      <c r="G15" s="18" t="s">
        <v>23</v>
      </c>
      <c r="H15" s="8"/>
      <c r="I15" s="8"/>
      <c r="J15" s="8"/>
      <c r="K15" s="8"/>
      <c r="L15" s="8"/>
      <c r="M15" s="8"/>
      <c r="N15" s="65"/>
      <c r="O15" s="65"/>
      <c r="P15" s="11"/>
      <c r="Q15" s="11"/>
      <c r="R15" s="67"/>
      <c r="S15" s="67"/>
      <c r="T15" s="15"/>
      <c r="U15" s="15"/>
    </row>
    <row r="16" spans="2:21" x14ac:dyDescent="0.3">
      <c r="B16" s="57"/>
      <c r="C16" s="57"/>
      <c r="D16" s="57"/>
      <c r="E16" s="57"/>
      <c r="F16" s="57"/>
      <c r="G16" s="19" t="s">
        <v>24</v>
      </c>
      <c r="H16" s="20"/>
      <c r="I16" s="20"/>
      <c r="J16" s="9"/>
      <c r="K16" s="9"/>
      <c r="L16" s="9"/>
      <c r="M16" s="9"/>
      <c r="N16" s="66"/>
      <c r="O16" s="66"/>
      <c r="P16" s="12"/>
      <c r="Q16" s="12"/>
      <c r="R16" s="68"/>
      <c r="S16" s="68"/>
      <c r="T16" s="16"/>
      <c r="U16" s="16"/>
    </row>
    <row r="17" spans="2:21" x14ac:dyDescent="0.3">
      <c r="B17" s="57"/>
      <c r="C17" s="57"/>
      <c r="D17" s="57"/>
      <c r="E17" s="57"/>
      <c r="F17" s="57"/>
      <c r="G17" s="21" t="s">
        <v>25</v>
      </c>
      <c r="H17" s="22"/>
      <c r="I17" s="22"/>
      <c r="J17" s="10"/>
      <c r="K17" s="10"/>
      <c r="L17" s="10"/>
      <c r="M17" s="10"/>
      <c r="N17" s="7"/>
      <c r="O17" s="7"/>
      <c r="P17" s="13"/>
      <c r="Q17" s="13"/>
      <c r="R17" s="69"/>
      <c r="S17" s="69"/>
      <c r="T17" s="17"/>
      <c r="U17" s="17"/>
    </row>
    <row r="18" spans="2:21" x14ac:dyDescent="0.3">
      <c r="B18" s="57">
        <v>4</v>
      </c>
      <c r="C18" s="57"/>
      <c r="D18" s="57"/>
      <c r="E18" s="57"/>
      <c r="F18" s="57"/>
      <c r="G18" s="18" t="s">
        <v>23</v>
      </c>
      <c r="H18" s="8"/>
      <c r="I18" s="8"/>
      <c r="J18" s="8"/>
      <c r="K18" s="8"/>
      <c r="L18" s="8"/>
      <c r="M18" s="8"/>
      <c r="N18" s="65"/>
      <c r="O18" s="65"/>
      <c r="P18" s="11"/>
      <c r="Q18" s="11"/>
      <c r="R18" s="67"/>
      <c r="S18" s="67"/>
      <c r="T18" s="15"/>
      <c r="U18" s="15"/>
    </row>
    <row r="19" spans="2:21" x14ac:dyDescent="0.3">
      <c r="B19" s="57"/>
      <c r="C19" s="57"/>
      <c r="D19" s="57"/>
      <c r="E19" s="57"/>
      <c r="F19" s="57"/>
      <c r="G19" s="19" t="s">
        <v>24</v>
      </c>
      <c r="H19" s="20"/>
      <c r="I19" s="20"/>
      <c r="J19" s="9"/>
      <c r="K19" s="9"/>
      <c r="L19" s="9"/>
      <c r="M19" s="9"/>
      <c r="N19" s="66"/>
      <c r="O19" s="66"/>
      <c r="P19" s="12"/>
      <c r="Q19" s="12"/>
      <c r="R19" s="68"/>
      <c r="S19" s="68"/>
      <c r="T19" s="16"/>
      <c r="U19" s="16"/>
    </row>
    <row r="20" spans="2:21" x14ac:dyDescent="0.3">
      <c r="B20" s="57"/>
      <c r="C20" s="57"/>
      <c r="D20" s="57"/>
      <c r="E20" s="57"/>
      <c r="F20" s="57"/>
      <c r="G20" s="21" t="s">
        <v>25</v>
      </c>
      <c r="H20" s="22"/>
      <c r="I20" s="22"/>
      <c r="J20" s="10"/>
      <c r="K20" s="10"/>
      <c r="L20" s="10"/>
      <c r="M20" s="10"/>
      <c r="N20" s="7"/>
      <c r="O20" s="7"/>
      <c r="P20" s="13"/>
      <c r="Q20" s="13"/>
      <c r="R20" s="69"/>
      <c r="S20" s="69"/>
      <c r="T20" s="17"/>
      <c r="U20" s="17"/>
    </row>
    <row r="21" spans="2:21" x14ac:dyDescent="0.3">
      <c r="B21" s="57">
        <v>5</v>
      </c>
      <c r="C21" s="57"/>
      <c r="D21" s="57"/>
      <c r="E21" s="57"/>
      <c r="F21" s="57"/>
      <c r="G21" s="18" t="s">
        <v>23</v>
      </c>
      <c r="H21" s="8"/>
      <c r="I21" s="8"/>
      <c r="J21" s="8"/>
      <c r="K21" s="8"/>
      <c r="L21" s="8"/>
      <c r="M21" s="8"/>
      <c r="N21" s="65"/>
      <c r="O21" s="65"/>
      <c r="P21" s="11"/>
      <c r="Q21" s="11"/>
      <c r="R21" s="67"/>
      <c r="S21" s="67"/>
      <c r="T21" s="15"/>
      <c r="U21" s="15"/>
    </row>
    <row r="22" spans="2:21" x14ac:dyDescent="0.3">
      <c r="B22" s="57"/>
      <c r="C22" s="57"/>
      <c r="D22" s="57"/>
      <c r="E22" s="57"/>
      <c r="F22" s="57"/>
      <c r="G22" s="19" t="s">
        <v>24</v>
      </c>
      <c r="H22" s="20"/>
      <c r="I22" s="20"/>
      <c r="J22" s="9"/>
      <c r="K22" s="9"/>
      <c r="L22" s="9"/>
      <c r="M22" s="9"/>
      <c r="N22" s="66"/>
      <c r="O22" s="66"/>
      <c r="P22" s="12"/>
      <c r="Q22" s="12"/>
      <c r="R22" s="68"/>
      <c r="S22" s="68"/>
      <c r="T22" s="16"/>
      <c r="U22" s="16"/>
    </row>
    <row r="23" spans="2:21" x14ac:dyDescent="0.3">
      <c r="B23" s="57"/>
      <c r="C23" s="57"/>
      <c r="D23" s="57"/>
      <c r="E23" s="57"/>
      <c r="F23" s="57"/>
      <c r="G23" s="21" t="s">
        <v>25</v>
      </c>
      <c r="H23" s="22"/>
      <c r="I23" s="22"/>
      <c r="J23" s="10"/>
      <c r="K23" s="10"/>
      <c r="L23" s="10"/>
      <c r="M23" s="10"/>
      <c r="N23" s="7"/>
      <c r="O23" s="7"/>
      <c r="P23" s="13"/>
      <c r="Q23" s="13"/>
      <c r="R23" s="69"/>
      <c r="S23" s="69"/>
      <c r="T23" s="17"/>
      <c r="U23" s="17"/>
    </row>
    <row r="24" spans="2:21" x14ac:dyDescent="0.3">
      <c r="B24" s="57">
        <v>6</v>
      </c>
      <c r="C24" s="57"/>
      <c r="D24" s="57"/>
      <c r="E24" s="57"/>
      <c r="F24" s="57"/>
      <c r="G24" s="18" t="s">
        <v>23</v>
      </c>
      <c r="H24" s="8"/>
      <c r="I24" s="8"/>
      <c r="J24" s="8"/>
      <c r="K24" s="8"/>
      <c r="L24" s="8"/>
      <c r="M24" s="8"/>
      <c r="N24" s="65"/>
      <c r="O24" s="65"/>
      <c r="P24" s="11"/>
      <c r="Q24" s="11"/>
      <c r="R24" s="67"/>
      <c r="S24" s="67"/>
      <c r="T24" s="15"/>
      <c r="U24" s="15"/>
    </row>
    <row r="25" spans="2:21" x14ac:dyDescent="0.3">
      <c r="B25" s="57"/>
      <c r="C25" s="57"/>
      <c r="D25" s="57"/>
      <c r="E25" s="57"/>
      <c r="F25" s="57"/>
      <c r="G25" s="19" t="s">
        <v>24</v>
      </c>
      <c r="H25" s="20"/>
      <c r="I25" s="20"/>
      <c r="J25" s="9"/>
      <c r="K25" s="9"/>
      <c r="L25" s="9"/>
      <c r="M25" s="9"/>
      <c r="N25" s="66"/>
      <c r="O25" s="66"/>
      <c r="P25" s="12"/>
      <c r="Q25" s="12"/>
      <c r="R25" s="68"/>
      <c r="S25" s="68"/>
      <c r="T25" s="16"/>
      <c r="U25" s="16"/>
    </row>
    <row r="26" spans="2:21" x14ac:dyDescent="0.3">
      <c r="B26" s="57"/>
      <c r="C26" s="57"/>
      <c r="D26" s="57"/>
      <c r="E26" s="57"/>
      <c r="F26" s="57"/>
      <c r="G26" s="21" t="s">
        <v>25</v>
      </c>
      <c r="H26" s="22"/>
      <c r="I26" s="22"/>
      <c r="J26" s="10"/>
      <c r="K26" s="10"/>
      <c r="L26" s="10"/>
      <c r="M26" s="10"/>
      <c r="N26" s="7"/>
      <c r="O26" s="7"/>
      <c r="P26" s="13"/>
      <c r="Q26" s="13"/>
      <c r="R26" s="69"/>
      <c r="S26" s="69"/>
      <c r="T26" s="17"/>
      <c r="U26" s="17"/>
    </row>
    <row r="27" spans="2:21" x14ac:dyDescent="0.3">
      <c r="B27" s="57">
        <v>7</v>
      </c>
      <c r="C27" s="57"/>
      <c r="D27" s="57"/>
      <c r="E27" s="57"/>
      <c r="F27" s="57"/>
      <c r="G27" s="18" t="s">
        <v>23</v>
      </c>
      <c r="H27" s="8"/>
      <c r="I27" s="8"/>
      <c r="J27" s="8"/>
      <c r="K27" s="8"/>
      <c r="L27" s="8"/>
      <c r="M27" s="8"/>
      <c r="N27" s="65"/>
      <c r="O27" s="65"/>
      <c r="P27" s="11"/>
      <c r="Q27" s="11"/>
      <c r="R27" s="67"/>
      <c r="S27" s="67"/>
      <c r="T27" s="15"/>
      <c r="U27" s="15"/>
    </row>
    <row r="28" spans="2:21" x14ac:dyDescent="0.3">
      <c r="B28" s="57"/>
      <c r="C28" s="57"/>
      <c r="D28" s="57"/>
      <c r="E28" s="57"/>
      <c r="F28" s="57"/>
      <c r="G28" s="19" t="s">
        <v>24</v>
      </c>
      <c r="H28" s="20"/>
      <c r="I28" s="20"/>
      <c r="J28" s="9"/>
      <c r="K28" s="9"/>
      <c r="L28" s="9"/>
      <c r="M28" s="9"/>
      <c r="N28" s="66"/>
      <c r="O28" s="66"/>
      <c r="P28" s="12"/>
      <c r="Q28" s="12"/>
      <c r="R28" s="68"/>
      <c r="S28" s="68"/>
      <c r="T28" s="16"/>
      <c r="U28" s="16"/>
    </row>
    <row r="29" spans="2:21" x14ac:dyDescent="0.3">
      <c r="B29" s="57"/>
      <c r="C29" s="57"/>
      <c r="D29" s="57"/>
      <c r="E29" s="57"/>
      <c r="F29" s="57"/>
      <c r="G29" s="21" t="s">
        <v>25</v>
      </c>
      <c r="H29" s="22"/>
      <c r="I29" s="22"/>
      <c r="J29" s="10"/>
      <c r="K29" s="10"/>
      <c r="L29" s="10"/>
      <c r="M29" s="10"/>
      <c r="N29" s="7"/>
      <c r="O29" s="7"/>
      <c r="P29" s="13"/>
      <c r="Q29" s="13"/>
      <c r="R29" s="69"/>
      <c r="S29" s="69"/>
      <c r="T29" s="17"/>
      <c r="U29" s="17"/>
    </row>
    <row r="30" spans="2:21" x14ac:dyDescent="0.3">
      <c r="B30" s="57">
        <v>8</v>
      </c>
      <c r="C30" s="57"/>
      <c r="D30" s="57"/>
      <c r="E30" s="57"/>
      <c r="F30" s="57"/>
      <c r="G30" s="18" t="s">
        <v>23</v>
      </c>
      <c r="H30" s="8"/>
      <c r="I30" s="8"/>
      <c r="J30" s="8"/>
      <c r="K30" s="8"/>
      <c r="L30" s="8"/>
      <c r="M30" s="8"/>
      <c r="N30" s="65"/>
      <c r="O30" s="65"/>
      <c r="P30" s="11"/>
      <c r="Q30" s="11"/>
      <c r="R30" s="67"/>
      <c r="S30" s="67"/>
      <c r="T30" s="15"/>
      <c r="U30" s="15"/>
    </row>
    <row r="31" spans="2:21" x14ac:dyDescent="0.3">
      <c r="B31" s="57"/>
      <c r="C31" s="57"/>
      <c r="D31" s="57"/>
      <c r="E31" s="57"/>
      <c r="F31" s="57"/>
      <c r="G31" s="19" t="s">
        <v>24</v>
      </c>
      <c r="H31" s="20"/>
      <c r="I31" s="20"/>
      <c r="J31" s="9"/>
      <c r="K31" s="9"/>
      <c r="L31" s="9"/>
      <c r="M31" s="9"/>
      <c r="N31" s="66"/>
      <c r="O31" s="66"/>
      <c r="P31" s="12"/>
      <c r="Q31" s="12"/>
      <c r="R31" s="68"/>
      <c r="S31" s="68"/>
      <c r="T31" s="16"/>
      <c r="U31" s="16"/>
    </row>
    <row r="32" spans="2:21" x14ac:dyDescent="0.3">
      <c r="B32" s="57"/>
      <c r="C32" s="57"/>
      <c r="D32" s="57"/>
      <c r="E32" s="57"/>
      <c r="F32" s="57"/>
      <c r="G32" s="21" t="s">
        <v>25</v>
      </c>
      <c r="H32" s="22"/>
      <c r="I32" s="22"/>
      <c r="J32" s="10"/>
      <c r="K32" s="10"/>
      <c r="L32" s="10"/>
      <c r="M32" s="10"/>
      <c r="N32" s="7"/>
      <c r="O32" s="7"/>
      <c r="P32" s="13"/>
      <c r="Q32" s="13"/>
      <c r="R32" s="69"/>
      <c r="S32" s="69"/>
      <c r="T32" s="17"/>
      <c r="U32" s="17"/>
    </row>
    <row r="33" spans="2:21" x14ac:dyDescent="0.3">
      <c r="B33" s="57">
        <v>9</v>
      </c>
      <c r="C33" s="57"/>
      <c r="D33" s="57"/>
      <c r="E33" s="57"/>
      <c r="F33" s="57"/>
      <c r="G33" s="18" t="s">
        <v>23</v>
      </c>
      <c r="H33" s="8"/>
      <c r="I33" s="8"/>
      <c r="J33" s="8"/>
      <c r="K33" s="8"/>
      <c r="L33" s="8"/>
      <c r="M33" s="8"/>
      <c r="N33" s="65"/>
      <c r="O33" s="65"/>
      <c r="P33" s="11"/>
      <c r="Q33" s="11"/>
      <c r="R33" s="67"/>
      <c r="S33" s="67"/>
      <c r="T33" s="15"/>
      <c r="U33" s="15"/>
    </row>
    <row r="34" spans="2:21" x14ac:dyDescent="0.3">
      <c r="B34" s="57"/>
      <c r="C34" s="57"/>
      <c r="D34" s="57"/>
      <c r="E34" s="57"/>
      <c r="F34" s="57"/>
      <c r="G34" s="19" t="s">
        <v>24</v>
      </c>
      <c r="H34" s="20"/>
      <c r="I34" s="20"/>
      <c r="J34" s="9"/>
      <c r="K34" s="9"/>
      <c r="L34" s="9"/>
      <c r="M34" s="9"/>
      <c r="N34" s="66"/>
      <c r="O34" s="66"/>
      <c r="P34" s="12"/>
      <c r="Q34" s="12"/>
      <c r="R34" s="68"/>
      <c r="S34" s="68"/>
      <c r="T34" s="16"/>
      <c r="U34" s="16"/>
    </row>
    <row r="35" spans="2:21" x14ac:dyDescent="0.3">
      <c r="B35" s="57"/>
      <c r="C35" s="57"/>
      <c r="D35" s="57"/>
      <c r="E35" s="57"/>
      <c r="F35" s="57"/>
      <c r="G35" s="21" t="s">
        <v>25</v>
      </c>
      <c r="H35" s="22"/>
      <c r="I35" s="22"/>
      <c r="J35" s="10"/>
      <c r="K35" s="10"/>
      <c r="L35" s="10"/>
      <c r="M35" s="10"/>
      <c r="N35" s="7"/>
      <c r="O35" s="7"/>
      <c r="P35" s="13"/>
      <c r="Q35" s="13"/>
      <c r="R35" s="69"/>
      <c r="S35" s="69"/>
      <c r="T35" s="17"/>
      <c r="U35" s="17"/>
    </row>
  </sheetData>
  <mergeCells count="93">
    <mergeCell ref="N33:N34"/>
    <mergeCell ref="O33:O34"/>
    <mergeCell ref="R33:R35"/>
    <mergeCell ref="S33:S35"/>
    <mergeCell ref="T7:U7"/>
    <mergeCell ref="N27:N28"/>
    <mergeCell ref="O27:O28"/>
    <mergeCell ref="R27:R29"/>
    <mergeCell ref="S27:S29"/>
    <mergeCell ref="N30:N31"/>
    <mergeCell ref="O30:O31"/>
    <mergeCell ref="R30:R32"/>
    <mergeCell ref="S30:S32"/>
    <mergeCell ref="N21:N22"/>
    <mergeCell ref="O21:O22"/>
    <mergeCell ref="R21:R23"/>
    <mergeCell ref="B33:B35"/>
    <mergeCell ref="C33:C35"/>
    <mergeCell ref="D33:D35"/>
    <mergeCell ref="E33:E35"/>
    <mergeCell ref="F33:F35"/>
    <mergeCell ref="B30:B32"/>
    <mergeCell ref="C30:C32"/>
    <mergeCell ref="D30:D32"/>
    <mergeCell ref="E30:E32"/>
    <mergeCell ref="F30:F32"/>
    <mergeCell ref="B27:B29"/>
    <mergeCell ref="C27:C29"/>
    <mergeCell ref="D27:D29"/>
    <mergeCell ref="E27:E29"/>
    <mergeCell ref="F27:F29"/>
    <mergeCell ref="S21:S23"/>
    <mergeCell ref="B24:B26"/>
    <mergeCell ref="C24:C26"/>
    <mergeCell ref="D24:D26"/>
    <mergeCell ref="E24:E26"/>
    <mergeCell ref="F24:F26"/>
    <mergeCell ref="N24:N25"/>
    <mergeCell ref="O24:O25"/>
    <mergeCell ref="R24:R26"/>
    <mergeCell ref="S24:S26"/>
    <mergeCell ref="B21:B23"/>
    <mergeCell ref="C21:C23"/>
    <mergeCell ref="D21:D23"/>
    <mergeCell ref="E21:E23"/>
    <mergeCell ref="F21:F23"/>
    <mergeCell ref="N15:N16"/>
    <mergeCell ref="O15:O16"/>
    <mergeCell ref="R15:R17"/>
    <mergeCell ref="S15:S17"/>
    <mergeCell ref="B18:B20"/>
    <mergeCell ref="C18:C20"/>
    <mergeCell ref="D18:D20"/>
    <mergeCell ref="E18:E20"/>
    <mergeCell ref="F18:F20"/>
    <mergeCell ref="N18:N19"/>
    <mergeCell ref="O18:O19"/>
    <mergeCell ref="R18:R20"/>
    <mergeCell ref="S18:S20"/>
    <mergeCell ref="B15:B17"/>
    <mergeCell ref="C15:C17"/>
    <mergeCell ref="D15:D17"/>
    <mergeCell ref="E15:E17"/>
    <mergeCell ref="F15:F17"/>
    <mergeCell ref="B9:B11"/>
    <mergeCell ref="R9:R11"/>
    <mergeCell ref="S9:S11"/>
    <mergeCell ref="B12:B14"/>
    <mergeCell ref="C12:C14"/>
    <mergeCell ref="D12:D14"/>
    <mergeCell ref="E12:E14"/>
    <mergeCell ref="F12:F14"/>
    <mergeCell ref="N12:N13"/>
    <mergeCell ref="O12:O13"/>
    <mergeCell ref="R12:R14"/>
    <mergeCell ref="S12:S14"/>
    <mergeCell ref="C9:C11"/>
    <mergeCell ref="D9:D11"/>
    <mergeCell ref="E9:E11"/>
    <mergeCell ref="F9:F11"/>
    <mergeCell ref="N9:N10"/>
    <mergeCell ref="O9:O10"/>
    <mergeCell ref="E7:E8"/>
    <mergeCell ref="F7:F8"/>
    <mergeCell ref="B7:B8"/>
    <mergeCell ref="R7:S7"/>
    <mergeCell ref="P7:Q7"/>
    <mergeCell ref="H7:I7"/>
    <mergeCell ref="J7:K7"/>
    <mergeCell ref="D7:D8"/>
    <mergeCell ref="C7:C8"/>
    <mergeCell ref="N7:O7"/>
    <mergeCell ref="L7:M7"/>
  </mergeCells>
  <phoneticPr fontId="1" type="noConversion"/>
  <dataValidations count="1">
    <dataValidation type="list" allowBlank="1" showInputMessage="1" showErrorMessage="1" sqref="E9:F9 E33:F33 E30:F30 E27:F27 E24:F24 E21:F21 E18:F18 E15:F15 E12:F12">
      <formula1>"1.00,0.78,0.72,0.68"</formula1>
    </dataValidation>
  </dataValidations>
  <pageMargins left="0.39370078740157483" right="0.39370078740157483" top="0.39370078740157483" bottom="0.39370078740157483" header="0.31496062992125984" footer="0.31496062992125984"/>
  <pageSetup paperSize="9" scale="3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_HGBM"/>
  <dimension ref="B1:BC219"/>
  <sheetViews>
    <sheetView workbookViewId="0">
      <pane ySplit="1" topLeftCell="A2" activePane="bottomLeft" state="frozen"/>
      <selection activeCell="J11" sqref="J11"/>
      <selection pane="bottomLeft" activeCell="J11" sqref="J11"/>
    </sheetView>
  </sheetViews>
  <sheetFormatPr defaultColWidth="8.75" defaultRowHeight="11.25" x14ac:dyDescent="0.3"/>
  <cols>
    <col min="1" max="2" width="8.75" style="23"/>
    <col min="3" max="55" width="12.875" style="23" customWidth="1"/>
    <col min="56" max="16384" width="8.75" style="23"/>
  </cols>
  <sheetData>
    <row r="1" spans="2:55" s="41" customFormat="1" ht="26.45" customHeight="1" x14ac:dyDescent="0.3">
      <c r="B1" s="42"/>
      <c r="C1" s="42"/>
      <c r="D1" s="42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</row>
    <row r="2" spans="2:55" x14ac:dyDescent="0.3">
      <c r="C2" s="39"/>
      <c r="D2" s="39"/>
      <c r="E2" s="40"/>
      <c r="F2" s="40"/>
    </row>
    <row r="3" spans="2:55" x14ac:dyDescent="0.3">
      <c r="C3" s="39"/>
      <c r="D3" s="39"/>
    </row>
    <row r="4" spans="2:55" x14ac:dyDescent="0.3">
      <c r="C4" s="39"/>
      <c r="D4" s="39"/>
    </row>
    <row r="5" spans="2:55" x14ac:dyDescent="0.3">
      <c r="C5" s="39"/>
      <c r="D5" s="39"/>
    </row>
    <row r="6" spans="2:55" x14ac:dyDescent="0.3">
      <c r="C6" s="39"/>
      <c r="D6" s="39"/>
    </row>
    <row r="7" spans="2:55" x14ac:dyDescent="0.3">
      <c r="C7" s="39"/>
      <c r="D7" s="39"/>
    </row>
    <row r="8" spans="2:55" x14ac:dyDescent="0.3">
      <c r="C8" s="39"/>
      <c r="D8" s="39"/>
    </row>
    <row r="9" spans="2:55" x14ac:dyDescent="0.3">
      <c r="C9" s="39"/>
      <c r="D9" s="39"/>
    </row>
    <row r="10" spans="2:55" x14ac:dyDescent="0.3">
      <c r="C10" s="39"/>
      <c r="D10" s="39"/>
    </row>
    <row r="11" spans="2:55" x14ac:dyDescent="0.3">
      <c r="C11" s="39"/>
      <c r="D11" s="39"/>
    </row>
    <row r="12" spans="2:55" x14ac:dyDescent="0.3">
      <c r="C12" s="39"/>
      <c r="D12" s="39"/>
    </row>
    <row r="13" spans="2:55" x14ac:dyDescent="0.3">
      <c r="C13" s="39"/>
      <c r="D13" s="39"/>
    </row>
    <row r="14" spans="2:55" x14ac:dyDescent="0.3">
      <c r="C14" s="39"/>
      <c r="D14" s="39"/>
    </row>
    <row r="15" spans="2:55" x14ac:dyDescent="0.3">
      <c r="C15" s="39"/>
      <c r="D15" s="39"/>
    </row>
    <row r="16" spans="2:55" x14ac:dyDescent="0.3">
      <c r="C16" s="39"/>
      <c r="D16" s="39"/>
    </row>
    <row r="17" spans="3:4" x14ac:dyDescent="0.3">
      <c r="C17" s="39"/>
      <c r="D17" s="39"/>
    </row>
    <row r="18" spans="3:4" x14ac:dyDescent="0.3">
      <c r="C18" s="39"/>
      <c r="D18" s="39"/>
    </row>
    <row r="19" spans="3:4" x14ac:dyDescent="0.3">
      <c r="C19" s="39"/>
      <c r="D19" s="39"/>
    </row>
    <row r="20" spans="3:4" x14ac:dyDescent="0.3">
      <c r="C20" s="39"/>
      <c r="D20" s="39"/>
    </row>
    <row r="21" spans="3:4" x14ac:dyDescent="0.3">
      <c r="C21" s="39"/>
      <c r="D21" s="39"/>
    </row>
    <row r="22" spans="3:4" x14ac:dyDescent="0.3">
      <c r="C22" s="39"/>
      <c r="D22" s="39"/>
    </row>
    <row r="23" spans="3:4" x14ac:dyDescent="0.3">
      <c r="C23" s="39"/>
      <c r="D23" s="39"/>
    </row>
    <row r="24" spans="3:4" x14ac:dyDescent="0.3">
      <c r="C24" s="39"/>
      <c r="D24" s="39"/>
    </row>
    <row r="25" spans="3:4" x14ac:dyDescent="0.3">
      <c r="C25" s="39"/>
      <c r="D25" s="39"/>
    </row>
    <row r="26" spans="3:4" x14ac:dyDescent="0.3">
      <c r="C26" s="39"/>
      <c r="D26" s="39"/>
    </row>
    <row r="27" spans="3:4" x14ac:dyDescent="0.3">
      <c r="C27" s="39"/>
      <c r="D27" s="39"/>
    </row>
    <row r="28" spans="3:4" x14ac:dyDescent="0.3">
      <c r="C28" s="39"/>
      <c r="D28" s="39"/>
    </row>
    <row r="29" spans="3:4" x14ac:dyDescent="0.3">
      <c r="C29" s="39"/>
      <c r="D29" s="39"/>
    </row>
    <row r="30" spans="3:4" x14ac:dyDescent="0.3">
      <c r="C30" s="39"/>
      <c r="D30" s="39"/>
    </row>
    <row r="31" spans="3:4" x14ac:dyDescent="0.3">
      <c r="C31" s="39"/>
      <c r="D31" s="39"/>
    </row>
    <row r="32" spans="3:4" x14ac:dyDescent="0.3">
      <c r="C32" s="39"/>
      <c r="D32" s="39"/>
    </row>
    <row r="33" spans="3:4" x14ac:dyDescent="0.3">
      <c r="C33" s="39"/>
      <c r="D33" s="39"/>
    </row>
    <row r="34" spans="3:4" x14ac:dyDescent="0.3">
      <c r="C34" s="39"/>
      <c r="D34" s="39"/>
    </row>
    <row r="35" spans="3:4" x14ac:dyDescent="0.3">
      <c r="C35" s="39"/>
      <c r="D35" s="39"/>
    </row>
    <row r="36" spans="3:4" x14ac:dyDescent="0.3">
      <c r="C36" s="39"/>
      <c r="D36" s="39"/>
    </row>
    <row r="37" spans="3:4" x14ac:dyDescent="0.3">
      <c r="C37" s="39"/>
      <c r="D37" s="39"/>
    </row>
    <row r="38" spans="3:4" x14ac:dyDescent="0.3">
      <c r="C38" s="39"/>
      <c r="D38" s="39"/>
    </row>
    <row r="39" spans="3:4" x14ac:dyDescent="0.3">
      <c r="C39" s="39"/>
      <c r="D39" s="39"/>
    </row>
    <row r="40" spans="3:4" x14ac:dyDescent="0.3">
      <c r="C40" s="39"/>
      <c r="D40" s="39"/>
    </row>
    <row r="41" spans="3:4" x14ac:dyDescent="0.3">
      <c r="C41" s="39"/>
      <c r="D41" s="39"/>
    </row>
    <row r="42" spans="3:4" x14ac:dyDescent="0.3">
      <c r="C42" s="39"/>
      <c r="D42" s="39"/>
    </row>
    <row r="43" spans="3:4" x14ac:dyDescent="0.3">
      <c r="C43" s="39"/>
      <c r="D43" s="39"/>
    </row>
    <row r="44" spans="3:4" x14ac:dyDescent="0.3">
      <c r="C44" s="39"/>
      <c r="D44" s="39"/>
    </row>
    <row r="45" spans="3:4" x14ac:dyDescent="0.3">
      <c r="C45" s="39"/>
      <c r="D45" s="39"/>
    </row>
    <row r="46" spans="3:4" x14ac:dyDescent="0.3">
      <c r="C46" s="39"/>
      <c r="D46" s="39"/>
    </row>
    <row r="47" spans="3:4" x14ac:dyDescent="0.3">
      <c r="C47" s="39"/>
      <c r="D47" s="39"/>
    </row>
    <row r="48" spans="3:4" x14ac:dyDescent="0.3">
      <c r="C48" s="39"/>
      <c r="D48" s="39"/>
    </row>
    <row r="49" spans="3:4" x14ac:dyDescent="0.3">
      <c r="C49" s="39"/>
      <c r="D49" s="39"/>
    </row>
    <row r="50" spans="3:4" x14ac:dyDescent="0.3">
      <c r="C50" s="39"/>
      <c r="D50" s="39"/>
    </row>
    <row r="51" spans="3:4" x14ac:dyDescent="0.3">
      <c r="C51" s="39"/>
      <c r="D51" s="39"/>
    </row>
    <row r="52" spans="3:4" x14ac:dyDescent="0.3">
      <c r="C52" s="39"/>
      <c r="D52" s="39"/>
    </row>
    <row r="53" spans="3:4" x14ac:dyDescent="0.3">
      <c r="C53" s="39"/>
      <c r="D53" s="39"/>
    </row>
    <row r="54" spans="3:4" x14ac:dyDescent="0.3">
      <c r="C54" s="39"/>
      <c r="D54" s="39"/>
    </row>
    <row r="55" spans="3:4" x14ac:dyDescent="0.3">
      <c r="C55" s="39"/>
      <c r="D55" s="39"/>
    </row>
    <row r="56" spans="3:4" x14ac:dyDescent="0.3">
      <c r="C56" s="39"/>
      <c r="D56" s="39"/>
    </row>
    <row r="57" spans="3:4" x14ac:dyDescent="0.3">
      <c r="C57" s="39"/>
      <c r="D57" s="39"/>
    </row>
    <row r="58" spans="3:4" x14ac:dyDescent="0.3">
      <c r="C58" s="39"/>
      <c r="D58" s="39"/>
    </row>
    <row r="59" spans="3:4" x14ac:dyDescent="0.3">
      <c r="C59" s="39"/>
      <c r="D59" s="39"/>
    </row>
    <row r="60" spans="3:4" x14ac:dyDescent="0.3">
      <c r="C60" s="39"/>
      <c r="D60" s="39"/>
    </row>
    <row r="61" spans="3:4" x14ac:dyDescent="0.3">
      <c r="C61" s="39"/>
      <c r="D61" s="39"/>
    </row>
    <row r="62" spans="3:4" x14ac:dyDescent="0.3">
      <c r="C62" s="39"/>
      <c r="D62" s="39"/>
    </row>
    <row r="63" spans="3:4" x14ac:dyDescent="0.3">
      <c r="C63" s="39"/>
      <c r="D63" s="39"/>
    </row>
    <row r="64" spans="3:4" x14ac:dyDescent="0.3">
      <c r="C64" s="39"/>
      <c r="D64" s="39"/>
    </row>
    <row r="65" spans="3:4" x14ac:dyDescent="0.3">
      <c r="C65" s="39"/>
      <c r="D65" s="39"/>
    </row>
    <row r="66" spans="3:4" x14ac:dyDescent="0.3">
      <c r="C66" s="39"/>
      <c r="D66" s="39"/>
    </row>
    <row r="67" spans="3:4" x14ac:dyDescent="0.3">
      <c r="C67" s="39"/>
      <c r="D67" s="39"/>
    </row>
    <row r="68" spans="3:4" x14ac:dyDescent="0.3">
      <c r="C68" s="39"/>
      <c r="D68" s="39"/>
    </row>
    <row r="69" spans="3:4" x14ac:dyDescent="0.3">
      <c r="C69" s="39"/>
      <c r="D69" s="39"/>
    </row>
    <row r="70" spans="3:4" x14ac:dyDescent="0.3">
      <c r="C70" s="39"/>
      <c r="D70" s="39"/>
    </row>
    <row r="71" spans="3:4" x14ac:dyDescent="0.3">
      <c r="C71" s="39"/>
      <c r="D71" s="39"/>
    </row>
    <row r="72" spans="3:4" x14ac:dyDescent="0.3">
      <c r="C72" s="39"/>
      <c r="D72" s="39"/>
    </row>
    <row r="73" spans="3:4" x14ac:dyDescent="0.3">
      <c r="C73" s="39"/>
      <c r="D73" s="39"/>
    </row>
    <row r="74" spans="3:4" x14ac:dyDescent="0.3">
      <c r="C74" s="39"/>
      <c r="D74" s="39"/>
    </row>
    <row r="75" spans="3:4" x14ac:dyDescent="0.3">
      <c r="C75" s="39"/>
      <c r="D75" s="39"/>
    </row>
    <row r="76" spans="3:4" x14ac:dyDescent="0.3">
      <c r="C76" s="39"/>
      <c r="D76" s="39"/>
    </row>
    <row r="77" spans="3:4" x14ac:dyDescent="0.3">
      <c r="C77" s="39"/>
      <c r="D77" s="39"/>
    </row>
    <row r="78" spans="3:4" x14ac:dyDescent="0.3">
      <c r="C78" s="39"/>
      <c r="D78" s="39"/>
    </row>
    <row r="79" spans="3:4" x14ac:dyDescent="0.3">
      <c r="C79" s="39"/>
      <c r="D79" s="39"/>
    </row>
    <row r="80" spans="3:4" x14ac:dyDescent="0.3">
      <c r="C80" s="39"/>
      <c r="D80" s="39"/>
    </row>
    <row r="81" spans="3:4" x14ac:dyDescent="0.3">
      <c r="C81" s="39"/>
      <c r="D81" s="39"/>
    </row>
    <row r="82" spans="3:4" x14ac:dyDescent="0.3">
      <c r="C82" s="39"/>
      <c r="D82" s="39"/>
    </row>
    <row r="83" spans="3:4" x14ac:dyDescent="0.3">
      <c r="C83" s="39"/>
      <c r="D83" s="39"/>
    </row>
    <row r="84" spans="3:4" x14ac:dyDescent="0.3">
      <c r="C84" s="39"/>
      <c r="D84" s="39"/>
    </row>
    <row r="85" spans="3:4" x14ac:dyDescent="0.3">
      <c r="C85" s="39"/>
      <c r="D85" s="39"/>
    </row>
    <row r="86" spans="3:4" x14ac:dyDescent="0.3">
      <c r="C86" s="39"/>
      <c r="D86" s="39"/>
    </row>
    <row r="87" spans="3:4" x14ac:dyDescent="0.3">
      <c r="C87" s="39"/>
      <c r="D87" s="39"/>
    </row>
    <row r="88" spans="3:4" x14ac:dyDescent="0.3">
      <c r="C88" s="39"/>
      <c r="D88" s="39"/>
    </row>
    <row r="89" spans="3:4" x14ac:dyDescent="0.3">
      <c r="C89" s="39"/>
      <c r="D89" s="39"/>
    </row>
    <row r="90" spans="3:4" x14ac:dyDescent="0.3">
      <c r="C90" s="39"/>
      <c r="D90" s="39"/>
    </row>
    <row r="91" spans="3:4" x14ac:dyDescent="0.3">
      <c r="C91" s="39"/>
      <c r="D91" s="39"/>
    </row>
    <row r="92" spans="3:4" x14ac:dyDescent="0.3">
      <c r="C92" s="39"/>
      <c r="D92" s="39"/>
    </row>
    <row r="93" spans="3:4" x14ac:dyDescent="0.3">
      <c r="C93" s="39"/>
      <c r="D93" s="39"/>
    </row>
    <row r="94" spans="3:4" x14ac:dyDescent="0.3">
      <c r="C94" s="39"/>
      <c r="D94" s="39"/>
    </row>
    <row r="95" spans="3:4" x14ac:dyDescent="0.3">
      <c r="C95" s="39"/>
      <c r="D95" s="39"/>
    </row>
    <row r="96" spans="3:4" x14ac:dyDescent="0.3">
      <c r="C96" s="39"/>
      <c r="D96" s="39"/>
    </row>
    <row r="97" spans="3:4" x14ac:dyDescent="0.3">
      <c r="C97" s="39"/>
      <c r="D97" s="39"/>
    </row>
    <row r="98" spans="3:4" x14ac:dyDescent="0.3">
      <c r="C98" s="39"/>
      <c r="D98" s="39"/>
    </row>
    <row r="99" spans="3:4" x14ac:dyDescent="0.3">
      <c r="C99" s="39"/>
      <c r="D99" s="39"/>
    </row>
    <row r="100" spans="3:4" x14ac:dyDescent="0.3">
      <c r="C100" s="39"/>
      <c r="D100" s="39"/>
    </row>
    <row r="101" spans="3:4" x14ac:dyDescent="0.3">
      <c r="C101" s="39"/>
      <c r="D101" s="39"/>
    </row>
    <row r="102" spans="3:4" x14ac:dyDescent="0.3">
      <c r="C102" s="39"/>
      <c r="D102" s="39"/>
    </row>
    <row r="103" spans="3:4" x14ac:dyDescent="0.3">
      <c r="C103" s="39"/>
      <c r="D103" s="39"/>
    </row>
    <row r="104" spans="3:4" x14ac:dyDescent="0.3">
      <c r="C104" s="39"/>
      <c r="D104" s="39"/>
    </row>
    <row r="105" spans="3:4" x14ac:dyDescent="0.3">
      <c r="C105" s="39"/>
      <c r="D105" s="39"/>
    </row>
    <row r="106" spans="3:4" x14ac:dyDescent="0.3">
      <c r="C106" s="39"/>
      <c r="D106" s="39"/>
    </row>
    <row r="107" spans="3:4" x14ac:dyDescent="0.3">
      <c r="C107" s="39"/>
      <c r="D107" s="39"/>
    </row>
    <row r="108" spans="3:4" x14ac:dyDescent="0.3">
      <c r="C108" s="39"/>
      <c r="D108" s="39"/>
    </row>
    <row r="109" spans="3:4" x14ac:dyDescent="0.3">
      <c r="C109" s="39"/>
      <c r="D109" s="39"/>
    </row>
    <row r="110" spans="3:4" x14ac:dyDescent="0.3">
      <c r="C110" s="39"/>
      <c r="D110" s="39"/>
    </row>
    <row r="111" spans="3:4" x14ac:dyDescent="0.3">
      <c r="C111" s="39"/>
      <c r="D111" s="39"/>
    </row>
    <row r="112" spans="3:4" x14ac:dyDescent="0.3">
      <c r="C112" s="39"/>
      <c r="D112" s="39"/>
    </row>
    <row r="113" spans="3:4" x14ac:dyDescent="0.3">
      <c r="C113" s="39"/>
      <c r="D113" s="39"/>
    </row>
    <row r="114" spans="3:4" x14ac:dyDescent="0.3">
      <c r="C114" s="39"/>
      <c r="D114" s="39"/>
    </row>
    <row r="115" spans="3:4" x14ac:dyDescent="0.3">
      <c r="C115" s="39"/>
      <c r="D115" s="39"/>
    </row>
    <row r="116" spans="3:4" x14ac:dyDescent="0.3">
      <c r="C116" s="39"/>
      <c r="D116" s="39"/>
    </row>
    <row r="117" spans="3:4" x14ac:dyDescent="0.3">
      <c r="C117" s="39"/>
      <c r="D117" s="39"/>
    </row>
    <row r="118" spans="3:4" x14ac:dyDescent="0.3">
      <c r="C118" s="39"/>
      <c r="D118" s="39"/>
    </row>
    <row r="119" spans="3:4" x14ac:dyDescent="0.3">
      <c r="C119" s="39"/>
      <c r="D119" s="39"/>
    </row>
    <row r="120" spans="3:4" x14ac:dyDescent="0.3">
      <c r="C120" s="39"/>
      <c r="D120" s="39"/>
    </row>
    <row r="121" spans="3:4" x14ac:dyDescent="0.3">
      <c r="C121" s="39"/>
      <c r="D121" s="39"/>
    </row>
    <row r="122" spans="3:4" x14ac:dyDescent="0.3">
      <c r="C122" s="39"/>
      <c r="D122" s="39"/>
    </row>
    <row r="123" spans="3:4" x14ac:dyDescent="0.3">
      <c r="C123" s="39"/>
      <c r="D123" s="39"/>
    </row>
    <row r="124" spans="3:4" x14ac:dyDescent="0.3">
      <c r="C124" s="39"/>
      <c r="D124" s="39"/>
    </row>
    <row r="125" spans="3:4" x14ac:dyDescent="0.3">
      <c r="C125" s="39"/>
      <c r="D125" s="39"/>
    </row>
    <row r="126" spans="3:4" x14ac:dyDescent="0.3">
      <c r="C126" s="39"/>
      <c r="D126" s="39"/>
    </row>
    <row r="127" spans="3:4" x14ac:dyDescent="0.3">
      <c r="C127" s="39"/>
      <c r="D127" s="39"/>
    </row>
    <row r="128" spans="3:4" x14ac:dyDescent="0.3">
      <c r="C128" s="39"/>
      <c r="D128" s="39"/>
    </row>
    <row r="129" spans="3:4" x14ac:dyDescent="0.3">
      <c r="C129" s="39"/>
      <c r="D129" s="39"/>
    </row>
    <row r="130" spans="3:4" x14ac:dyDescent="0.3">
      <c r="C130" s="39"/>
      <c r="D130" s="39"/>
    </row>
    <row r="131" spans="3:4" x14ac:dyDescent="0.3">
      <c r="C131" s="39"/>
      <c r="D131" s="39"/>
    </row>
    <row r="132" spans="3:4" x14ac:dyDescent="0.3">
      <c r="C132" s="39"/>
      <c r="D132" s="39"/>
    </row>
    <row r="133" spans="3:4" x14ac:dyDescent="0.3">
      <c r="C133" s="39"/>
      <c r="D133" s="39"/>
    </row>
    <row r="134" spans="3:4" x14ac:dyDescent="0.3">
      <c r="C134" s="39"/>
      <c r="D134" s="39"/>
    </row>
    <row r="135" spans="3:4" x14ac:dyDescent="0.3">
      <c r="C135" s="39"/>
      <c r="D135" s="39"/>
    </row>
    <row r="136" spans="3:4" x14ac:dyDescent="0.3">
      <c r="C136" s="39"/>
      <c r="D136" s="39"/>
    </row>
    <row r="137" spans="3:4" x14ac:dyDescent="0.3">
      <c r="C137" s="39"/>
      <c r="D137" s="39"/>
    </row>
    <row r="138" spans="3:4" x14ac:dyDescent="0.3">
      <c r="C138" s="39"/>
      <c r="D138" s="39"/>
    </row>
    <row r="139" spans="3:4" x14ac:dyDescent="0.3">
      <c r="C139" s="39"/>
      <c r="D139" s="39"/>
    </row>
    <row r="140" spans="3:4" x14ac:dyDescent="0.3">
      <c r="C140" s="39"/>
      <c r="D140" s="39"/>
    </row>
    <row r="141" spans="3:4" x14ac:dyDescent="0.3">
      <c r="C141" s="39"/>
      <c r="D141" s="39"/>
    </row>
    <row r="142" spans="3:4" x14ac:dyDescent="0.3">
      <c r="C142" s="39"/>
      <c r="D142" s="39"/>
    </row>
    <row r="143" spans="3:4" x14ac:dyDescent="0.3">
      <c r="C143" s="39"/>
      <c r="D143" s="39"/>
    </row>
    <row r="144" spans="3:4" x14ac:dyDescent="0.3">
      <c r="C144" s="39"/>
      <c r="D144" s="39"/>
    </row>
    <row r="145" spans="3:4" x14ac:dyDescent="0.3">
      <c r="C145" s="39"/>
      <c r="D145" s="39"/>
    </row>
    <row r="146" spans="3:4" x14ac:dyDescent="0.3">
      <c r="C146" s="39"/>
      <c r="D146" s="39"/>
    </row>
    <row r="147" spans="3:4" x14ac:dyDescent="0.3">
      <c r="C147" s="39"/>
      <c r="D147" s="39"/>
    </row>
    <row r="148" spans="3:4" x14ac:dyDescent="0.3">
      <c r="C148" s="39"/>
      <c r="D148" s="39"/>
    </row>
    <row r="149" spans="3:4" x14ac:dyDescent="0.3">
      <c r="C149" s="39"/>
      <c r="D149" s="39"/>
    </row>
    <row r="150" spans="3:4" x14ac:dyDescent="0.3">
      <c r="C150" s="39"/>
      <c r="D150" s="39"/>
    </row>
    <row r="151" spans="3:4" x14ac:dyDescent="0.3">
      <c r="C151" s="39"/>
      <c r="D151" s="39"/>
    </row>
    <row r="152" spans="3:4" x14ac:dyDescent="0.3">
      <c r="C152" s="39"/>
      <c r="D152" s="39"/>
    </row>
    <row r="153" spans="3:4" x14ac:dyDescent="0.3">
      <c r="C153" s="39"/>
      <c r="D153" s="39"/>
    </row>
    <row r="154" spans="3:4" x14ac:dyDescent="0.3">
      <c r="C154" s="39"/>
      <c r="D154" s="39"/>
    </row>
    <row r="155" spans="3:4" x14ac:dyDescent="0.3">
      <c r="C155" s="39"/>
      <c r="D155" s="39"/>
    </row>
    <row r="156" spans="3:4" x14ac:dyDescent="0.3">
      <c r="C156" s="39"/>
      <c r="D156" s="39"/>
    </row>
    <row r="157" spans="3:4" x14ac:dyDescent="0.3">
      <c r="C157" s="39"/>
      <c r="D157" s="39"/>
    </row>
    <row r="158" spans="3:4" x14ac:dyDescent="0.3">
      <c r="C158" s="39"/>
      <c r="D158" s="39"/>
    </row>
    <row r="159" spans="3:4" x14ac:dyDescent="0.3">
      <c r="C159" s="39"/>
      <c r="D159" s="39"/>
    </row>
    <row r="160" spans="3:4" x14ac:dyDescent="0.3">
      <c r="C160" s="39"/>
      <c r="D160" s="39"/>
    </row>
    <row r="161" spans="3:4" x14ac:dyDescent="0.3">
      <c r="C161" s="39"/>
      <c r="D161" s="39"/>
    </row>
    <row r="162" spans="3:4" x14ac:dyDescent="0.3">
      <c r="C162" s="39"/>
      <c r="D162" s="39"/>
    </row>
    <row r="163" spans="3:4" x14ac:dyDescent="0.3">
      <c r="C163" s="39"/>
      <c r="D163" s="39"/>
    </row>
    <row r="164" spans="3:4" x14ac:dyDescent="0.3">
      <c r="C164" s="39"/>
      <c r="D164" s="39"/>
    </row>
    <row r="165" spans="3:4" x14ac:dyDescent="0.3">
      <c r="C165" s="39"/>
      <c r="D165" s="39"/>
    </row>
    <row r="166" spans="3:4" x14ac:dyDescent="0.3">
      <c r="C166" s="39"/>
      <c r="D166" s="39"/>
    </row>
    <row r="167" spans="3:4" x14ac:dyDescent="0.3">
      <c r="C167" s="39"/>
      <c r="D167" s="39"/>
    </row>
    <row r="168" spans="3:4" x14ac:dyDescent="0.3">
      <c r="C168" s="39"/>
      <c r="D168" s="39"/>
    </row>
    <row r="169" spans="3:4" x14ac:dyDescent="0.3">
      <c r="C169" s="39"/>
      <c r="D169" s="39"/>
    </row>
    <row r="170" spans="3:4" x14ac:dyDescent="0.3">
      <c r="C170" s="39"/>
      <c r="D170" s="39"/>
    </row>
    <row r="171" spans="3:4" x14ac:dyDescent="0.3">
      <c r="C171" s="39"/>
      <c r="D171" s="39"/>
    </row>
    <row r="172" spans="3:4" x14ac:dyDescent="0.3">
      <c r="C172" s="39"/>
      <c r="D172" s="39"/>
    </row>
    <row r="173" spans="3:4" x14ac:dyDescent="0.3">
      <c r="C173" s="39"/>
      <c r="D173" s="39"/>
    </row>
    <row r="174" spans="3:4" x14ac:dyDescent="0.3">
      <c r="C174" s="39"/>
      <c r="D174" s="39"/>
    </row>
    <row r="175" spans="3:4" x14ac:dyDescent="0.3">
      <c r="C175" s="39"/>
      <c r="D175" s="39"/>
    </row>
    <row r="176" spans="3:4" x14ac:dyDescent="0.3">
      <c r="C176" s="39"/>
      <c r="D176" s="39"/>
    </row>
    <row r="177" spans="3:4" x14ac:dyDescent="0.3">
      <c r="C177" s="39"/>
      <c r="D177" s="39"/>
    </row>
    <row r="178" spans="3:4" x14ac:dyDescent="0.3">
      <c r="C178" s="39"/>
      <c r="D178" s="39"/>
    </row>
    <row r="179" spans="3:4" x14ac:dyDescent="0.3">
      <c r="C179" s="39"/>
      <c r="D179" s="39"/>
    </row>
    <row r="180" spans="3:4" x14ac:dyDescent="0.3">
      <c r="C180" s="39"/>
      <c r="D180" s="39"/>
    </row>
    <row r="181" spans="3:4" x14ac:dyDescent="0.3">
      <c r="C181" s="39"/>
      <c r="D181" s="39"/>
    </row>
    <row r="182" spans="3:4" x14ac:dyDescent="0.3">
      <c r="C182" s="39"/>
      <c r="D182" s="39"/>
    </row>
    <row r="183" spans="3:4" x14ac:dyDescent="0.3">
      <c r="C183" s="39"/>
      <c r="D183" s="39"/>
    </row>
    <row r="184" spans="3:4" x14ac:dyDescent="0.3">
      <c r="C184" s="39"/>
      <c r="D184" s="39"/>
    </row>
    <row r="185" spans="3:4" x14ac:dyDescent="0.3">
      <c r="C185" s="39"/>
      <c r="D185" s="39"/>
    </row>
    <row r="186" spans="3:4" x14ac:dyDescent="0.3">
      <c r="C186" s="39"/>
      <c r="D186" s="39"/>
    </row>
    <row r="187" spans="3:4" x14ac:dyDescent="0.3">
      <c r="C187" s="39"/>
      <c r="D187" s="39"/>
    </row>
    <row r="188" spans="3:4" x14ac:dyDescent="0.3">
      <c r="C188" s="39"/>
      <c r="D188" s="39"/>
    </row>
    <row r="189" spans="3:4" x14ac:dyDescent="0.3">
      <c r="C189" s="39"/>
      <c r="D189" s="39"/>
    </row>
    <row r="190" spans="3:4" x14ac:dyDescent="0.3">
      <c r="C190" s="39"/>
      <c r="D190" s="39"/>
    </row>
    <row r="191" spans="3:4" x14ac:dyDescent="0.3">
      <c r="C191" s="39"/>
      <c r="D191" s="39"/>
    </row>
    <row r="192" spans="3:4" x14ac:dyDescent="0.3">
      <c r="C192" s="39"/>
      <c r="D192" s="39"/>
    </row>
    <row r="193" spans="3:4" x14ac:dyDescent="0.3">
      <c r="C193" s="39"/>
      <c r="D193" s="39"/>
    </row>
    <row r="194" spans="3:4" x14ac:dyDescent="0.3">
      <c r="C194" s="39"/>
      <c r="D194" s="39"/>
    </row>
    <row r="195" spans="3:4" x14ac:dyDescent="0.3">
      <c r="C195" s="39"/>
      <c r="D195" s="39"/>
    </row>
    <row r="196" spans="3:4" x14ac:dyDescent="0.3">
      <c r="C196" s="39"/>
      <c r="D196" s="39"/>
    </row>
    <row r="197" spans="3:4" x14ac:dyDescent="0.3">
      <c r="C197" s="39"/>
      <c r="D197" s="39"/>
    </row>
    <row r="198" spans="3:4" x14ac:dyDescent="0.3">
      <c r="C198" s="39"/>
      <c r="D198" s="39"/>
    </row>
    <row r="199" spans="3:4" x14ac:dyDescent="0.3">
      <c r="C199" s="39"/>
      <c r="D199" s="39"/>
    </row>
    <row r="200" spans="3:4" x14ac:dyDescent="0.3">
      <c r="C200" s="39"/>
      <c r="D200" s="39"/>
    </row>
    <row r="201" spans="3:4" x14ac:dyDescent="0.3">
      <c r="C201" s="39"/>
      <c r="D201" s="39"/>
    </row>
    <row r="202" spans="3:4" x14ac:dyDescent="0.3">
      <c r="C202" s="39"/>
      <c r="D202" s="39"/>
    </row>
    <row r="203" spans="3:4" x14ac:dyDescent="0.3">
      <c r="C203" s="39"/>
      <c r="D203" s="39"/>
    </row>
    <row r="204" spans="3:4" x14ac:dyDescent="0.3">
      <c r="C204" s="39"/>
      <c r="D204" s="39"/>
    </row>
    <row r="205" spans="3:4" x14ac:dyDescent="0.3">
      <c r="C205" s="39"/>
      <c r="D205" s="39"/>
    </row>
    <row r="206" spans="3:4" x14ac:dyDescent="0.3">
      <c r="C206" s="39"/>
      <c r="D206" s="39"/>
    </row>
    <row r="207" spans="3:4" x14ac:dyDescent="0.3">
      <c r="C207" s="39"/>
      <c r="D207" s="39"/>
    </row>
    <row r="208" spans="3:4" x14ac:dyDescent="0.3">
      <c r="C208" s="39"/>
      <c r="D208" s="39"/>
    </row>
    <row r="209" spans="3:4" x14ac:dyDescent="0.3">
      <c r="C209" s="39"/>
      <c r="D209" s="39"/>
    </row>
    <row r="210" spans="3:4" x14ac:dyDescent="0.3">
      <c r="C210" s="39"/>
      <c r="D210" s="39"/>
    </row>
    <row r="211" spans="3:4" x14ac:dyDescent="0.3">
      <c r="C211" s="39"/>
      <c r="D211" s="39"/>
    </row>
    <row r="212" spans="3:4" x14ac:dyDescent="0.3">
      <c r="C212" s="39"/>
      <c r="D212" s="39"/>
    </row>
    <row r="213" spans="3:4" x14ac:dyDescent="0.3">
      <c r="C213" s="39"/>
      <c r="D213" s="39"/>
    </row>
    <row r="214" spans="3:4" x14ac:dyDescent="0.3">
      <c r="C214" s="39"/>
      <c r="D214" s="39"/>
    </row>
    <row r="215" spans="3:4" x14ac:dyDescent="0.3">
      <c r="C215" s="39"/>
      <c r="D215" s="39"/>
    </row>
    <row r="216" spans="3:4" x14ac:dyDescent="0.3">
      <c r="C216" s="39"/>
      <c r="D216" s="39"/>
    </row>
    <row r="217" spans="3:4" x14ac:dyDescent="0.3">
      <c r="C217" s="39"/>
      <c r="D217" s="39"/>
    </row>
    <row r="218" spans="3:4" x14ac:dyDescent="0.3">
      <c r="C218" s="40"/>
      <c r="D218" s="40"/>
    </row>
    <row r="219" spans="3:4" x14ac:dyDescent="0.3">
      <c r="C219" s="40"/>
      <c r="D219" s="4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_HGSF"/>
  <dimension ref="B1:CF218"/>
  <sheetViews>
    <sheetView workbookViewId="0">
      <selection activeCell="J11" sqref="J11"/>
    </sheetView>
  </sheetViews>
  <sheetFormatPr defaultColWidth="8.75" defaultRowHeight="11.25" x14ac:dyDescent="0.3"/>
  <cols>
    <col min="1" max="2" width="8.75" style="23"/>
    <col min="3" max="55" width="12.875" style="23" customWidth="1"/>
    <col min="56" max="16384" width="8.75" style="23"/>
  </cols>
  <sheetData>
    <row r="1" spans="2:84" ht="26.45" customHeight="1" x14ac:dyDescent="0.3">
      <c r="B1" s="26"/>
      <c r="C1" s="49"/>
      <c r="D1" s="49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26"/>
      <c r="CF1" s="26"/>
    </row>
    <row r="218" spans="45:46" x14ac:dyDescent="0.3">
      <c r="AS218" s="40"/>
      <c r="AT218" s="4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LD_HGBM"/>
  <dimension ref="B1:JM219"/>
  <sheetViews>
    <sheetView workbookViewId="0">
      <selection activeCell="E1" sqref="E1"/>
    </sheetView>
  </sheetViews>
  <sheetFormatPr defaultColWidth="8.75" defaultRowHeight="11.25" x14ac:dyDescent="0.3"/>
  <cols>
    <col min="1" max="1" width="8.75" style="23"/>
    <col min="2" max="2" width="12.875" style="23" customWidth="1"/>
    <col min="3" max="230" width="8.875" style="23" customWidth="1"/>
    <col min="231" max="233" width="12.875" style="23" customWidth="1"/>
    <col min="234" max="234" width="8.75" style="23"/>
    <col min="235" max="239" width="12.875" style="23" customWidth="1"/>
    <col min="240" max="240" width="8.75" style="23"/>
    <col min="241" max="245" width="12.875" style="23" customWidth="1"/>
    <col min="246" max="246" width="8.75" style="23"/>
    <col min="247" max="273" width="12.875" style="23" customWidth="1"/>
    <col min="274" max="16384" width="8.75" style="23"/>
  </cols>
  <sheetData>
    <row r="1" spans="2:273" ht="26.45" customHeight="1" x14ac:dyDescent="0.3"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0"/>
      <c r="CB1" s="50"/>
      <c r="CC1" s="50"/>
      <c r="CD1" s="50"/>
      <c r="CE1" s="50"/>
      <c r="CF1" s="50"/>
      <c r="CG1" s="50"/>
      <c r="CH1" s="50"/>
      <c r="CI1" s="50"/>
      <c r="CJ1" s="50"/>
      <c r="CK1" s="50"/>
      <c r="CL1" s="50"/>
      <c r="CM1" s="50"/>
      <c r="CN1" s="50"/>
      <c r="CO1" s="50"/>
      <c r="CP1" s="50"/>
      <c r="CQ1" s="50"/>
      <c r="CR1" s="50"/>
      <c r="CS1" s="50"/>
      <c r="CT1" s="50"/>
      <c r="CU1" s="50"/>
      <c r="CV1" s="50"/>
      <c r="CW1" s="50"/>
      <c r="CX1" s="50"/>
      <c r="CY1" s="50"/>
      <c r="CZ1" s="50"/>
      <c r="DA1" s="50"/>
      <c r="DB1" s="50"/>
      <c r="DC1" s="50"/>
      <c r="DD1" s="50"/>
      <c r="DE1" s="50"/>
      <c r="DF1" s="50"/>
      <c r="DG1" s="50"/>
      <c r="DH1" s="50"/>
      <c r="DI1" s="50"/>
      <c r="DJ1" s="50"/>
      <c r="DK1" s="50"/>
      <c r="DL1" s="50"/>
      <c r="DM1" s="50"/>
      <c r="DN1" s="50"/>
      <c r="DO1" s="50"/>
      <c r="DP1" s="50"/>
      <c r="DQ1" s="50"/>
      <c r="DR1" s="50"/>
      <c r="DS1" s="50"/>
      <c r="DT1" s="50"/>
      <c r="DU1" s="50"/>
      <c r="DV1" s="50"/>
      <c r="DW1" s="50"/>
      <c r="DX1" s="50"/>
      <c r="DY1" s="50"/>
      <c r="DZ1" s="50"/>
      <c r="EA1" s="50"/>
      <c r="EB1" s="50"/>
      <c r="EC1" s="50"/>
      <c r="ED1" s="50"/>
      <c r="EE1" s="50"/>
      <c r="EF1" s="50"/>
      <c r="EG1" s="50"/>
      <c r="EH1" s="50"/>
      <c r="EI1" s="50"/>
      <c r="EJ1" s="50"/>
      <c r="EK1" s="50"/>
      <c r="EL1" s="50"/>
      <c r="EM1" s="50"/>
      <c r="EN1" s="50"/>
      <c r="EO1" s="50"/>
      <c r="EP1" s="50"/>
      <c r="EQ1" s="50"/>
      <c r="ER1" s="50"/>
      <c r="ES1" s="50"/>
      <c r="ET1" s="50"/>
      <c r="EU1" s="50"/>
      <c r="EV1" s="50"/>
      <c r="EW1" s="50"/>
      <c r="EX1" s="50"/>
      <c r="EY1" s="50"/>
      <c r="EZ1" s="50"/>
      <c r="FA1" s="50"/>
      <c r="FB1" s="50"/>
      <c r="FC1" s="50"/>
      <c r="FD1" s="50"/>
      <c r="FE1" s="50"/>
      <c r="FF1" s="50"/>
      <c r="FG1" s="50"/>
      <c r="FH1" s="50"/>
      <c r="FI1" s="50"/>
      <c r="FJ1" s="50"/>
      <c r="FK1" s="50"/>
      <c r="FL1" s="50"/>
      <c r="FM1" s="50"/>
      <c r="FN1" s="50"/>
      <c r="FO1" s="50"/>
      <c r="FP1" s="50"/>
      <c r="FQ1" s="50"/>
      <c r="FR1" s="50"/>
      <c r="FS1" s="50"/>
      <c r="FT1" s="50"/>
      <c r="FU1" s="50"/>
      <c r="FV1" s="50"/>
      <c r="FW1" s="50"/>
      <c r="FX1" s="50"/>
      <c r="FY1" s="50"/>
      <c r="FZ1" s="50"/>
      <c r="GA1" s="50"/>
      <c r="GB1" s="50"/>
      <c r="GC1" s="50"/>
      <c r="GD1" s="50"/>
      <c r="GE1" s="50"/>
      <c r="GF1" s="50"/>
      <c r="GG1" s="50"/>
      <c r="GH1" s="50"/>
      <c r="GI1" s="50"/>
      <c r="GJ1" s="50"/>
      <c r="GK1" s="50"/>
      <c r="GL1" s="50"/>
      <c r="GM1" s="50"/>
      <c r="GN1" s="50"/>
      <c r="GO1" s="50"/>
      <c r="GP1" s="50"/>
      <c r="GQ1" s="50"/>
      <c r="GR1" s="50"/>
      <c r="GS1" s="50"/>
      <c r="GT1" s="50"/>
      <c r="GU1" s="50"/>
      <c r="GV1" s="50"/>
      <c r="GW1" s="50"/>
      <c r="GX1" s="50"/>
      <c r="GY1" s="50"/>
      <c r="GZ1" s="50"/>
      <c r="HA1" s="50"/>
      <c r="HB1" s="50"/>
      <c r="HC1" s="50"/>
      <c r="HD1" s="50"/>
      <c r="HE1" s="50"/>
      <c r="HF1" s="50"/>
      <c r="HG1" s="50"/>
      <c r="HH1" s="50"/>
      <c r="HI1" s="50"/>
      <c r="HJ1" s="50"/>
      <c r="HK1" s="50"/>
      <c r="HL1" s="50"/>
      <c r="HM1" s="50"/>
      <c r="HN1" s="50"/>
    </row>
    <row r="2" spans="2:273" ht="26.45" customHeight="1" x14ac:dyDescent="0.3"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I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  <c r="GU2" s="48"/>
      <c r="GV2" s="48"/>
      <c r="GW2" s="48"/>
      <c r="GX2" s="48"/>
      <c r="GY2" s="48"/>
      <c r="GZ2" s="48"/>
      <c r="HA2" s="48"/>
      <c r="HB2" s="48"/>
      <c r="HC2" s="48"/>
      <c r="HD2" s="48"/>
      <c r="HE2" s="48"/>
      <c r="HF2" s="48"/>
      <c r="HG2" s="48"/>
      <c r="HH2" s="48"/>
      <c r="HI2" s="48"/>
      <c r="HJ2" s="48"/>
      <c r="HK2" s="48"/>
      <c r="HL2" s="48"/>
      <c r="HM2" s="48"/>
      <c r="HN2" s="48"/>
      <c r="HO2" s="24"/>
      <c r="HP2" s="24"/>
      <c r="HQ2" s="24"/>
      <c r="HR2" s="24"/>
      <c r="HS2" s="24"/>
      <c r="HT2" s="24"/>
      <c r="HU2" s="24"/>
      <c r="HV2" s="24"/>
      <c r="HW2" s="24"/>
      <c r="HX2" s="24"/>
      <c r="HY2" s="24"/>
      <c r="IA2" s="24"/>
      <c r="IB2" s="24"/>
      <c r="IC2" s="24"/>
      <c r="ID2" s="24"/>
      <c r="IE2" s="24"/>
      <c r="IG2" s="24"/>
      <c r="IH2" s="24"/>
      <c r="II2" s="24"/>
      <c r="IJ2" s="24"/>
      <c r="IK2" s="24"/>
      <c r="IM2" s="24"/>
      <c r="IN2" s="24"/>
      <c r="IO2" s="24"/>
      <c r="IP2" s="24"/>
      <c r="IQ2" s="24"/>
      <c r="IR2" s="24"/>
      <c r="IS2" s="24"/>
      <c r="IT2" s="24"/>
      <c r="IU2" s="24"/>
      <c r="IV2" s="24"/>
      <c r="IW2" s="24"/>
      <c r="IX2" s="24"/>
      <c r="IY2" s="24"/>
      <c r="IZ2" s="24"/>
      <c r="JA2" s="24"/>
      <c r="JB2" s="24"/>
      <c r="JC2" s="24"/>
      <c r="JD2" s="24"/>
      <c r="JE2" s="24"/>
      <c r="JF2" s="24"/>
      <c r="JG2" s="24"/>
      <c r="JH2" s="24"/>
      <c r="JI2" s="24"/>
      <c r="JJ2" s="24"/>
      <c r="JK2" s="24"/>
      <c r="JL2" s="24"/>
      <c r="JM2" s="24"/>
    </row>
    <row r="219" spans="3:224" x14ac:dyDescent="0.3"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5"/>
      <c r="AV219" s="25"/>
      <c r="AW219" s="25"/>
      <c r="AX219" s="25"/>
      <c r="AY219" s="25"/>
      <c r="AZ219" s="25"/>
      <c r="BA219" s="25"/>
      <c r="BB219" s="25"/>
      <c r="BC219" s="25"/>
      <c r="BD219" s="25"/>
      <c r="BE219" s="25"/>
      <c r="BF219" s="25"/>
      <c r="BG219" s="25"/>
      <c r="BH219" s="25"/>
      <c r="BI219" s="25"/>
      <c r="BJ219" s="25"/>
      <c r="BK219" s="25"/>
      <c r="BL219" s="25"/>
      <c r="BM219" s="25"/>
      <c r="BN219" s="25"/>
      <c r="BO219" s="25"/>
      <c r="BP219" s="25"/>
      <c r="BQ219" s="25"/>
      <c r="BR219" s="25"/>
      <c r="BS219" s="25"/>
      <c r="BT219" s="25"/>
      <c r="BU219" s="25"/>
      <c r="BV219" s="25"/>
      <c r="BW219" s="25"/>
      <c r="BX219" s="25"/>
      <c r="BY219" s="25"/>
      <c r="BZ219" s="25"/>
      <c r="CA219" s="25"/>
      <c r="CB219" s="25"/>
      <c r="CC219" s="25"/>
      <c r="CD219" s="25"/>
      <c r="CE219" s="25"/>
      <c r="CF219" s="25"/>
      <c r="CG219" s="25"/>
      <c r="CH219" s="25"/>
      <c r="CI219" s="25"/>
      <c r="CJ219" s="25"/>
      <c r="CK219" s="25"/>
      <c r="CL219" s="25"/>
      <c r="CM219" s="25"/>
      <c r="CN219" s="25"/>
      <c r="CO219" s="25"/>
      <c r="CP219" s="25"/>
      <c r="CQ219" s="25"/>
      <c r="CR219" s="25"/>
      <c r="CS219" s="25"/>
      <c r="CT219" s="25"/>
      <c r="CU219" s="25"/>
      <c r="CV219" s="25"/>
      <c r="CW219" s="25"/>
      <c r="CX219" s="25"/>
      <c r="CY219" s="25"/>
      <c r="CZ219" s="25"/>
      <c r="DA219" s="25"/>
      <c r="DB219" s="25"/>
      <c r="DC219" s="25"/>
      <c r="DD219" s="25"/>
      <c r="DE219" s="25"/>
      <c r="DF219" s="25"/>
      <c r="DG219" s="25"/>
      <c r="DH219" s="25"/>
      <c r="DI219" s="25"/>
      <c r="DJ219" s="25"/>
      <c r="DK219" s="25"/>
      <c r="DL219" s="25"/>
      <c r="DM219" s="25"/>
      <c r="DN219" s="25"/>
      <c r="DO219" s="25"/>
      <c r="DP219" s="25"/>
      <c r="DQ219" s="25"/>
      <c r="DR219" s="25"/>
      <c r="DS219" s="25"/>
      <c r="DT219" s="25"/>
      <c r="DU219" s="25"/>
      <c r="DV219" s="25"/>
      <c r="DW219" s="25"/>
      <c r="DX219" s="25"/>
      <c r="DY219" s="25"/>
      <c r="DZ219" s="25"/>
      <c r="EA219" s="25"/>
      <c r="EB219" s="25"/>
      <c r="EC219" s="25"/>
      <c r="ED219" s="25"/>
      <c r="EE219" s="25"/>
      <c r="EF219" s="25"/>
      <c r="EG219" s="25"/>
      <c r="EH219" s="25"/>
      <c r="EI219" s="25"/>
      <c r="EJ219" s="25"/>
      <c r="EK219" s="25"/>
      <c r="EL219" s="25"/>
      <c r="EM219" s="25"/>
      <c r="EN219" s="25"/>
      <c r="EO219" s="25"/>
      <c r="EP219" s="25"/>
      <c r="EQ219" s="25"/>
      <c r="ER219" s="25"/>
      <c r="ES219" s="25"/>
      <c r="ET219" s="25"/>
      <c r="EU219" s="25"/>
      <c r="EV219" s="25"/>
      <c r="EW219" s="25"/>
      <c r="EX219" s="25"/>
      <c r="EY219" s="25"/>
      <c r="EZ219" s="25"/>
      <c r="FA219" s="25"/>
      <c r="FB219" s="25"/>
      <c r="FC219" s="25"/>
      <c r="FD219" s="25"/>
      <c r="FE219" s="25"/>
      <c r="FF219" s="25"/>
      <c r="FG219" s="25"/>
      <c r="FH219" s="25"/>
      <c r="FI219" s="25"/>
      <c r="FJ219" s="25"/>
      <c r="FK219" s="25"/>
      <c r="FL219" s="25"/>
      <c r="FM219" s="25"/>
      <c r="FN219" s="25"/>
      <c r="FO219" s="25"/>
      <c r="FP219" s="25"/>
      <c r="FQ219" s="25"/>
      <c r="FR219" s="25"/>
      <c r="FS219" s="25"/>
      <c r="FT219" s="25"/>
      <c r="FU219" s="25"/>
      <c r="FV219" s="25"/>
      <c r="FW219" s="25"/>
      <c r="FX219" s="25"/>
      <c r="FY219" s="25"/>
      <c r="FZ219" s="25"/>
      <c r="GA219" s="25"/>
      <c r="GB219" s="25"/>
      <c r="GC219" s="25"/>
      <c r="GD219" s="25"/>
      <c r="GE219" s="25"/>
      <c r="GF219" s="25"/>
      <c r="GG219" s="25"/>
      <c r="GH219" s="25"/>
      <c r="GI219" s="25"/>
      <c r="GJ219" s="25"/>
      <c r="GK219" s="25"/>
      <c r="GL219" s="25"/>
      <c r="GM219" s="25"/>
      <c r="GN219" s="25"/>
      <c r="GO219" s="25"/>
      <c r="GP219" s="25"/>
      <c r="GQ219" s="25"/>
      <c r="GR219" s="25"/>
      <c r="GS219" s="25"/>
      <c r="GT219" s="25"/>
      <c r="GU219" s="25"/>
      <c r="GV219" s="25"/>
      <c r="GW219" s="25"/>
      <c r="GX219" s="25"/>
      <c r="GY219" s="25"/>
      <c r="GZ219" s="25"/>
      <c r="HA219" s="25"/>
      <c r="HB219" s="25"/>
      <c r="HC219" s="25"/>
      <c r="HD219" s="25"/>
      <c r="HE219" s="25"/>
      <c r="HF219" s="25"/>
      <c r="HG219" s="25"/>
      <c r="HH219" s="25"/>
      <c r="HI219" s="25"/>
      <c r="HJ219" s="25"/>
      <c r="HK219" s="25"/>
      <c r="HL219" s="25"/>
      <c r="HM219" s="25"/>
      <c r="HN219" s="25"/>
      <c r="HO219" s="25"/>
      <c r="HP219" s="2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LD_HGSF"/>
  <dimension ref="B1:JM219"/>
  <sheetViews>
    <sheetView workbookViewId="0">
      <selection sqref="A1:XFD1"/>
    </sheetView>
  </sheetViews>
  <sheetFormatPr defaultColWidth="8.75" defaultRowHeight="11.25" x14ac:dyDescent="0.3"/>
  <cols>
    <col min="1" max="1" width="8.75" style="23"/>
    <col min="2" max="2" width="12.875" style="23" customWidth="1"/>
    <col min="3" max="233" width="8.875" style="23" customWidth="1"/>
    <col min="234" max="234" width="8.75" style="23"/>
    <col min="235" max="239" width="8.875" style="23" customWidth="1"/>
    <col min="240" max="240" width="8.75" style="23"/>
    <col min="241" max="245" width="8.875" style="23" customWidth="1"/>
    <col min="246" max="246" width="8.75" style="23"/>
    <col min="247" max="273" width="8.875" style="23" customWidth="1"/>
    <col min="274" max="16384" width="8.75" style="23"/>
  </cols>
  <sheetData>
    <row r="1" spans="2:273" ht="26.45" customHeight="1" x14ac:dyDescent="0.3"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0"/>
      <c r="CB1" s="50"/>
      <c r="CC1" s="50"/>
      <c r="CD1" s="50"/>
      <c r="CE1" s="50"/>
      <c r="CF1" s="50"/>
      <c r="CG1" s="50"/>
      <c r="CH1" s="50"/>
      <c r="CI1" s="50"/>
      <c r="CJ1" s="50"/>
      <c r="CK1" s="50"/>
      <c r="CL1" s="50"/>
      <c r="CM1" s="50"/>
      <c r="CN1" s="50"/>
      <c r="CO1" s="50"/>
      <c r="CP1" s="50"/>
      <c r="CQ1" s="50"/>
      <c r="CR1" s="50"/>
      <c r="CS1" s="50"/>
      <c r="CT1" s="50"/>
      <c r="CU1" s="50"/>
      <c r="CV1" s="50"/>
      <c r="CW1" s="50"/>
      <c r="CX1" s="50"/>
      <c r="CY1" s="50"/>
      <c r="CZ1" s="50"/>
      <c r="DA1" s="50"/>
      <c r="DB1" s="50"/>
      <c r="DC1" s="50"/>
      <c r="DD1" s="50"/>
      <c r="DE1" s="50"/>
      <c r="DF1" s="50"/>
      <c r="DG1" s="50"/>
      <c r="DH1" s="50"/>
      <c r="DI1" s="50"/>
      <c r="DJ1" s="50"/>
      <c r="DK1" s="50"/>
      <c r="DL1" s="50"/>
      <c r="DM1" s="50"/>
      <c r="DN1" s="50"/>
      <c r="DO1" s="50"/>
      <c r="DP1" s="50"/>
      <c r="DQ1" s="50"/>
      <c r="DR1" s="50"/>
      <c r="DS1" s="50"/>
      <c r="DT1" s="50"/>
      <c r="DU1" s="50"/>
      <c r="DV1" s="50"/>
      <c r="DW1" s="50"/>
      <c r="DX1" s="50"/>
      <c r="DY1" s="50"/>
      <c r="DZ1" s="50"/>
      <c r="EA1" s="50"/>
      <c r="EB1" s="50"/>
      <c r="EC1" s="50"/>
      <c r="ED1" s="50"/>
      <c r="EE1" s="50"/>
      <c r="EF1" s="50"/>
      <c r="EG1" s="50"/>
      <c r="EH1" s="50"/>
      <c r="EI1" s="50"/>
      <c r="EJ1" s="50"/>
      <c r="EK1" s="50"/>
      <c r="EL1" s="50"/>
      <c r="EM1" s="50"/>
      <c r="EN1" s="50"/>
      <c r="EO1" s="50"/>
      <c r="EP1" s="50"/>
      <c r="EQ1" s="50"/>
      <c r="ER1" s="50"/>
      <c r="ES1" s="50"/>
      <c r="ET1" s="50"/>
      <c r="EU1" s="50"/>
      <c r="EV1" s="50"/>
      <c r="EW1" s="50"/>
      <c r="EX1" s="50"/>
      <c r="EY1" s="50"/>
      <c r="EZ1" s="50"/>
      <c r="FA1" s="50"/>
      <c r="FB1" s="50"/>
      <c r="FC1" s="50"/>
      <c r="FD1" s="50"/>
      <c r="FE1" s="50"/>
      <c r="FF1" s="50"/>
      <c r="FG1" s="50"/>
      <c r="FH1" s="50"/>
      <c r="FI1" s="50"/>
      <c r="FJ1" s="50"/>
      <c r="FK1" s="50"/>
      <c r="FL1" s="50"/>
      <c r="FM1" s="50"/>
      <c r="FN1" s="50"/>
      <c r="FO1" s="50"/>
      <c r="FP1" s="50"/>
      <c r="FQ1" s="50"/>
      <c r="FR1" s="50"/>
      <c r="FS1" s="50"/>
      <c r="FT1" s="50"/>
      <c r="FU1" s="50"/>
      <c r="FV1" s="50"/>
      <c r="FW1" s="50"/>
      <c r="FX1" s="50"/>
      <c r="FY1" s="50"/>
      <c r="FZ1" s="50"/>
      <c r="GA1" s="50"/>
      <c r="GB1" s="50"/>
      <c r="GC1" s="50"/>
      <c r="GD1" s="50"/>
      <c r="GE1" s="50"/>
      <c r="GF1" s="50"/>
      <c r="GG1" s="50"/>
      <c r="GH1" s="50"/>
      <c r="GI1" s="50"/>
      <c r="GJ1" s="50"/>
      <c r="GK1" s="50"/>
      <c r="GL1" s="50"/>
      <c r="GM1" s="50"/>
      <c r="GN1" s="50"/>
      <c r="GO1" s="50"/>
      <c r="GP1" s="50"/>
      <c r="GQ1" s="50"/>
      <c r="GR1" s="50"/>
      <c r="GS1" s="50"/>
      <c r="GT1" s="50"/>
      <c r="GU1" s="50"/>
      <c r="GV1" s="50"/>
      <c r="GW1" s="50"/>
      <c r="GX1" s="50"/>
      <c r="GY1" s="50"/>
      <c r="GZ1" s="50"/>
      <c r="HA1" s="50"/>
      <c r="HB1" s="50"/>
      <c r="HC1" s="50"/>
      <c r="HD1" s="50"/>
      <c r="HE1" s="50"/>
      <c r="HF1" s="50"/>
      <c r="HG1" s="50"/>
      <c r="HH1" s="50"/>
      <c r="HI1" s="50"/>
      <c r="HJ1" s="50"/>
      <c r="HK1" s="50"/>
      <c r="HL1" s="50"/>
      <c r="HM1" s="50"/>
      <c r="HN1" s="50"/>
      <c r="HO1" s="49"/>
      <c r="HP1" s="49"/>
      <c r="HQ1" s="49"/>
      <c r="HR1" s="49"/>
      <c r="HS1" s="49"/>
      <c r="HT1" s="49"/>
      <c r="HU1" s="49"/>
      <c r="HV1" s="49"/>
      <c r="HW1" s="49"/>
      <c r="HX1" s="49"/>
      <c r="HY1" s="49"/>
      <c r="IA1" s="49"/>
      <c r="IB1" s="49"/>
      <c r="IC1" s="49"/>
      <c r="ID1" s="49"/>
      <c r="IE1" s="49"/>
      <c r="IG1" s="49"/>
      <c r="IH1" s="49"/>
      <c r="II1" s="49"/>
      <c r="IJ1" s="49"/>
      <c r="IK1" s="49"/>
      <c r="IM1" s="49"/>
      <c r="IN1" s="49"/>
      <c r="IO1" s="49"/>
      <c r="IP1" s="49"/>
      <c r="IQ1" s="49"/>
      <c r="IR1" s="49"/>
      <c r="IS1" s="49"/>
      <c r="IT1" s="49"/>
      <c r="IU1" s="49"/>
      <c r="IV1" s="49"/>
      <c r="IW1" s="49"/>
      <c r="IX1" s="49"/>
      <c r="IY1" s="49"/>
      <c r="IZ1" s="49"/>
      <c r="JA1" s="49"/>
      <c r="JB1" s="49"/>
      <c r="JC1" s="49"/>
      <c r="JD1" s="49"/>
      <c r="JE1" s="49"/>
      <c r="JF1" s="49"/>
      <c r="JG1" s="49"/>
      <c r="JH1" s="49"/>
      <c r="JI1" s="49"/>
      <c r="JJ1" s="49"/>
      <c r="JK1" s="49"/>
      <c r="JL1" s="49"/>
      <c r="JM1" s="49"/>
    </row>
    <row r="2" spans="2:273" ht="26.45" customHeight="1" x14ac:dyDescent="0.3"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I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  <c r="GU2" s="48"/>
      <c r="GV2" s="48"/>
      <c r="GW2" s="48"/>
      <c r="GX2" s="48"/>
      <c r="GY2" s="48"/>
      <c r="GZ2" s="48"/>
      <c r="HA2" s="48"/>
      <c r="HB2" s="48"/>
      <c r="HC2" s="48"/>
      <c r="HD2" s="48"/>
      <c r="HE2" s="48"/>
      <c r="HF2" s="48"/>
      <c r="HG2" s="48"/>
      <c r="HH2" s="48"/>
      <c r="HI2" s="48"/>
      <c r="HJ2" s="48"/>
      <c r="HK2" s="48"/>
      <c r="HL2" s="48"/>
      <c r="HM2" s="48"/>
      <c r="HN2" s="48"/>
      <c r="HO2" s="24"/>
      <c r="HP2" s="24"/>
      <c r="HQ2" s="24"/>
      <c r="HR2" s="24"/>
      <c r="HS2" s="24"/>
      <c r="HT2" s="24"/>
      <c r="HU2" s="24"/>
      <c r="HV2" s="24"/>
    </row>
    <row r="219" spans="3:224" x14ac:dyDescent="0.3"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5"/>
      <c r="AV219" s="25"/>
      <c r="AW219" s="25"/>
      <c r="AX219" s="25"/>
      <c r="AY219" s="25"/>
      <c r="AZ219" s="25"/>
      <c r="BA219" s="25"/>
      <c r="BB219" s="25"/>
      <c r="BC219" s="25"/>
      <c r="BD219" s="25"/>
      <c r="BE219" s="25"/>
      <c r="BF219" s="25"/>
      <c r="BG219" s="25"/>
      <c r="BH219" s="25"/>
      <c r="BI219" s="25"/>
      <c r="BJ219" s="25"/>
      <c r="BK219" s="25"/>
      <c r="BL219" s="25"/>
      <c r="BM219" s="25"/>
      <c r="BN219" s="25"/>
      <c r="BO219" s="25"/>
      <c r="BP219" s="25"/>
      <c r="BQ219" s="25"/>
      <c r="BR219" s="25"/>
      <c r="BS219" s="25"/>
      <c r="BT219" s="25"/>
      <c r="BU219" s="25"/>
      <c r="BV219" s="25"/>
      <c r="BW219" s="25"/>
      <c r="BX219" s="25"/>
      <c r="BY219" s="25"/>
      <c r="BZ219" s="25"/>
      <c r="CA219" s="25"/>
      <c r="CB219" s="25"/>
      <c r="CC219" s="25"/>
      <c r="CD219" s="25"/>
      <c r="CE219" s="25"/>
      <c r="CF219" s="25"/>
      <c r="CG219" s="25"/>
      <c r="CH219" s="25"/>
      <c r="CI219" s="25"/>
      <c r="CJ219" s="25"/>
      <c r="CK219" s="25"/>
      <c r="CL219" s="25"/>
      <c r="CM219" s="25"/>
      <c r="CN219" s="25"/>
      <c r="CO219" s="25"/>
      <c r="CP219" s="25"/>
      <c r="CQ219" s="25"/>
      <c r="CR219" s="25"/>
      <c r="CS219" s="25"/>
      <c r="CT219" s="25"/>
      <c r="CU219" s="25"/>
      <c r="CV219" s="25"/>
      <c r="CW219" s="25"/>
      <c r="CX219" s="25"/>
      <c r="CY219" s="25"/>
      <c r="CZ219" s="25"/>
      <c r="DA219" s="25"/>
      <c r="DB219" s="25"/>
      <c r="DC219" s="25"/>
      <c r="DD219" s="25"/>
      <c r="DE219" s="25"/>
      <c r="DF219" s="25"/>
      <c r="DG219" s="25"/>
      <c r="DH219" s="25"/>
      <c r="DI219" s="25"/>
      <c r="DJ219" s="25"/>
      <c r="DK219" s="25"/>
      <c r="DL219" s="25"/>
      <c r="DM219" s="25"/>
      <c r="DN219" s="25"/>
      <c r="DO219" s="25"/>
      <c r="DP219" s="25"/>
      <c r="DQ219" s="25"/>
      <c r="DR219" s="25"/>
      <c r="DS219" s="25"/>
      <c r="DT219" s="25"/>
      <c r="DU219" s="25"/>
      <c r="DV219" s="25"/>
      <c r="DW219" s="25"/>
      <c r="DX219" s="25"/>
      <c r="DY219" s="25"/>
      <c r="DZ219" s="25"/>
      <c r="EA219" s="25"/>
      <c r="EB219" s="25"/>
      <c r="EC219" s="25"/>
      <c r="ED219" s="25"/>
      <c r="EE219" s="25"/>
      <c r="EF219" s="25"/>
      <c r="EG219" s="25"/>
      <c r="EH219" s="25"/>
      <c r="EI219" s="25"/>
      <c r="EJ219" s="25"/>
      <c r="EK219" s="25"/>
      <c r="EL219" s="25"/>
      <c r="EM219" s="25"/>
      <c r="EN219" s="25"/>
      <c r="EO219" s="25"/>
      <c r="EP219" s="25"/>
      <c r="EQ219" s="25"/>
      <c r="ER219" s="25"/>
      <c r="ES219" s="25"/>
      <c r="ET219" s="25"/>
      <c r="EU219" s="25"/>
      <c r="EV219" s="25"/>
      <c r="EW219" s="25"/>
      <c r="EX219" s="25"/>
      <c r="EY219" s="25"/>
      <c r="EZ219" s="25"/>
      <c r="FA219" s="25"/>
      <c r="FB219" s="25"/>
      <c r="FC219" s="25"/>
      <c r="FD219" s="25"/>
      <c r="FE219" s="25"/>
      <c r="FF219" s="25"/>
      <c r="FG219" s="25"/>
      <c r="FH219" s="25"/>
      <c r="FI219" s="25"/>
      <c r="FJ219" s="25"/>
      <c r="FK219" s="25"/>
      <c r="FL219" s="25"/>
      <c r="FM219" s="25"/>
      <c r="FN219" s="25"/>
      <c r="FO219" s="25"/>
      <c r="FP219" s="25"/>
      <c r="FQ219" s="25"/>
      <c r="FR219" s="25"/>
      <c r="FS219" s="25"/>
      <c r="FT219" s="25"/>
      <c r="FU219" s="25"/>
      <c r="FV219" s="25"/>
      <c r="FW219" s="25"/>
      <c r="FX219" s="25"/>
      <c r="FY219" s="25"/>
      <c r="FZ219" s="25"/>
      <c r="GA219" s="25"/>
      <c r="GB219" s="25"/>
      <c r="GC219" s="25"/>
      <c r="GD219" s="25"/>
      <c r="GE219" s="25"/>
      <c r="GF219" s="25"/>
      <c r="GG219" s="25"/>
      <c r="GH219" s="25"/>
      <c r="GI219" s="25"/>
      <c r="GJ219" s="25"/>
      <c r="GK219" s="25"/>
      <c r="GL219" s="25"/>
      <c r="GM219" s="25"/>
      <c r="GN219" s="25"/>
      <c r="GO219" s="25"/>
      <c r="GP219" s="25"/>
      <c r="GQ219" s="25"/>
      <c r="GR219" s="25"/>
      <c r="GS219" s="25"/>
      <c r="GT219" s="25"/>
      <c r="GU219" s="25"/>
      <c r="GV219" s="25"/>
      <c r="GW219" s="25"/>
      <c r="GX219" s="25"/>
      <c r="GY219" s="25"/>
      <c r="GZ219" s="25"/>
      <c r="HA219" s="25"/>
      <c r="HB219" s="25"/>
      <c r="HC219" s="25"/>
      <c r="HD219" s="25"/>
      <c r="HE219" s="25"/>
      <c r="HF219" s="25"/>
      <c r="HG219" s="25"/>
      <c r="HH219" s="25"/>
      <c r="HI219" s="25"/>
      <c r="HJ219" s="25"/>
      <c r="HK219" s="25"/>
      <c r="HL219" s="25"/>
      <c r="HM219" s="25"/>
      <c r="HN219" s="25"/>
      <c r="HO219" s="25"/>
      <c r="HP219" s="2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17"/>
  <sheetViews>
    <sheetView workbookViewId="0">
      <selection activeCell="N2" sqref="N2"/>
    </sheetView>
  </sheetViews>
  <sheetFormatPr defaultRowHeight="11.25" x14ac:dyDescent="0.3"/>
  <cols>
    <col min="1" max="4" width="9" style="2"/>
    <col min="5" max="5" width="9" style="55"/>
    <col min="6" max="7" width="9" style="2"/>
    <col min="8" max="8" width="9" style="55"/>
    <col min="9" max="10" width="9" style="2"/>
    <col min="11" max="11" width="9" style="55"/>
    <col min="12" max="13" width="9" style="2"/>
    <col min="14" max="14" width="9" style="55"/>
    <col min="15" max="16384" width="9" style="2"/>
  </cols>
  <sheetData>
    <row r="1" spans="1:14" ht="78.75" x14ac:dyDescent="0.3">
      <c r="A1" s="23"/>
      <c r="B1" s="49"/>
      <c r="C1" s="49" t="s">
        <v>68</v>
      </c>
      <c r="D1" s="49" t="s">
        <v>69</v>
      </c>
      <c r="E1" s="53" t="s">
        <v>76</v>
      </c>
      <c r="F1" s="37" t="s">
        <v>70</v>
      </c>
      <c r="G1" s="37" t="s">
        <v>71</v>
      </c>
      <c r="H1" s="53" t="s">
        <v>77</v>
      </c>
      <c r="I1" s="37" t="s">
        <v>72</v>
      </c>
      <c r="J1" s="37" t="s">
        <v>73</v>
      </c>
      <c r="K1" s="53" t="s">
        <v>78</v>
      </c>
      <c r="L1" s="37" t="s">
        <v>74</v>
      </c>
      <c r="M1" s="37" t="s">
        <v>75</v>
      </c>
      <c r="N1" s="53" t="s">
        <v>79</v>
      </c>
    </row>
    <row r="2" spans="1:14" x14ac:dyDescent="0.3">
      <c r="A2" s="2">
        <v>0</v>
      </c>
      <c r="B2" s="2">
        <v>0</v>
      </c>
      <c r="C2" s="14">
        <v>2795.8500000000004</v>
      </c>
      <c r="D2" s="14">
        <v>4296.7800000000007</v>
      </c>
      <c r="E2" s="54">
        <f t="shared" ref="E2:E65" si="0">(C2+D2)/2</f>
        <v>3546.3150000000005</v>
      </c>
      <c r="F2" s="52">
        <v>4218.3</v>
      </c>
      <c r="G2" s="52">
        <v>4198.68</v>
      </c>
      <c r="H2" s="54">
        <f t="shared" ref="H2:H65" si="1">(F2+G2)/2</f>
        <v>4208.49</v>
      </c>
      <c r="I2" s="52">
        <v>1873.71</v>
      </c>
      <c r="J2" s="52">
        <v>2197.44</v>
      </c>
      <c r="K2" s="54">
        <f t="shared" ref="K2:K65" si="2">(I2+J2)/2</f>
        <v>2035.575</v>
      </c>
      <c r="L2" s="52">
        <v>1608.8400000000001</v>
      </c>
      <c r="M2" s="52">
        <v>2030.67</v>
      </c>
      <c r="N2" s="54">
        <f t="shared" ref="N2:N65" si="3">(L2+M2)/2</f>
        <v>1819.7550000000001</v>
      </c>
    </row>
    <row r="3" spans="1:14" x14ac:dyDescent="0.3">
      <c r="A3" s="2">
        <v>0.7</v>
      </c>
      <c r="B3" s="2">
        <v>1</v>
      </c>
      <c r="C3" s="14">
        <v>3933.8100000000004</v>
      </c>
      <c r="D3" s="14">
        <v>6082.2000000000007</v>
      </c>
      <c r="E3" s="54">
        <f t="shared" si="0"/>
        <v>5008.005000000001</v>
      </c>
      <c r="F3" s="52">
        <v>5993.91</v>
      </c>
      <c r="G3" s="52">
        <v>5964.4800000000005</v>
      </c>
      <c r="H3" s="54">
        <f t="shared" si="1"/>
        <v>5979.1949999999997</v>
      </c>
      <c r="I3" s="52">
        <v>2668.32</v>
      </c>
      <c r="J3" s="52">
        <v>3168.63</v>
      </c>
      <c r="K3" s="54">
        <f t="shared" si="2"/>
        <v>2918.4750000000004</v>
      </c>
      <c r="L3" s="52">
        <v>2285.73</v>
      </c>
      <c r="M3" s="52">
        <v>2913.57</v>
      </c>
      <c r="N3" s="54">
        <f t="shared" si="3"/>
        <v>2599.65</v>
      </c>
    </row>
    <row r="4" spans="1:14" x14ac:dyDescent="0.3">
      <c r="A4" s="2">
        <v>1.4</v>
      </c>
      <c r="B4" s="2">
        <v>2</v>
      </c>
      <c r="C4" s="14">
        <v>5297.4000000000005</v>
      </c>
      <c r="D4" s="14">
        <v>8201.16</v>
      </c>
      <c r="E4" s="54">
        <f t="shared" si="0"/>
        <v>6749.2800000000007</v>
      </c>
      <c r="F4" s="52">
        <v>8083.4400000000005</v>
      </c>
      <c r="G4" s="52">
        <v>8063.8200000000006</v>
      </c>
      <c r="H4" s="54">
        <f t="shared" si="1"/>
        <v>8073.630000000001</v>
      </c>
      <c r="I4" s="52">
        <v>3453.1200000000003</v>
      </c>
      <c r="J4" s="52">
        <v>4139.8200000000006</v>
      </c>
      <c r="K4" s="54">
        <f t="shared" si="2"/>
        <v>3796.4700000000003</v>
      </c>
      <c r="L4" s="52">
        <v>2962.6200000000003</v>
      </c>
      <c r="M4" s="52">
        <v>3806.28</v>
      </c>
      <c r="N4" s="54">
        <f t="shared" si="3"/>
        <v>3384.4500000000003</v>
      </c>
    </row>
    <row r="5" spans="1:14" x14ac:dyDescent="0.3">
      <c r="A5" s="2">
        <v>2.1</v>
      </c>
      <c r="B5" s="2">
        <v>3</v>
      </c>
      <c r="C5" s="14">
        <v>6710.04</v>
      </c>
      <c r="D5" s="14">
        <v>10663.470000000001</v>
      </c>
      <c r="E5" s="54">
        <f t="shared" si="0"/>
        <v>8686.755000000001</v>
      </c>
      <c r="F5" s="52">
        <v>10526.130000000001</v>
      </c>
      <c r="G5" s="52">
        <v>10506.51</v>
      </c>
      <c r="H5" s="54">
        <f t="shared" si="1"/>
        <v>10516.32</v>
      </c>
      <c r="I5" s="52">
        <v>4306.59</v>
      </c>
      <c r="J5" s="52">
        <v>5199.3</v>
      </c>
      <c r="K5" s="54">
        <f t="shared" si="2"/>
        <v>4752.9449999999997</v>
      </c>
      <c r="L5" s="52">
        <v>3688.5600000000004</v>
      </c>
      <c r="M5" s="52">
        <v>4757.8500000000004</v>
      </c>
      <c r="N5" s="54">
        <f t="shared" si="3"/>
        <v>4223.2049999999999</v>
      </c>
    </row>
    <row r="6" spans="1:14" x14ac:dyDescent="0.3">
      <c r="A6" s="2">
        <v>2.8</v>
      </c>
      <c r="B6" s="2">
        <v>4</v>
      </c>
      <c r="C6" s="14">
        <v>8367.93</v>
      </c>
      <c r="D6" s="14">
        <v>13498.560000000001</v>
      </c>
      <c r="E6" s="54">
        <f t="shared" si="0"/>
        <v>10933.245000000001</v>
      </c>
      <c r="F6" s="52">
        <v>13331.79</v>
      </c>
      <c r="G6" s="52">
        <v>13331.79</v>
      </c>
      <c r="H6" s="54">
        <f t="shared" si="1"/>
        <v>13331.79</v>
      </c>
      <c r="I6" s="52">
        <v>5267.97</v>
      </c>
      <c r="J6" s="52">
        <v>6425.55</v>
      </c>
      <c r="K6" s="54">
        <f t="shared" si="2"/>
        <v>5846.76</v>
      </c>
      <c r="L6" s="52">
        <v>4502.79</v>
      </c>
      <c r="M6" s="52">
        <v>5866.38</v>
      </c>
      <c r="N6" s="54">
        <f t="shared" si="3"/>
        <v>5184.585</v>
      </c>
    </row>
    <row r="7" spans="1:14" x14ac:dyDescent="0.3">
      <c r="A7" s="2">
        <v>3.5</v>
      </c>
      <c r="B7" s="2">
        <v>5</v>
      </c>
      <c r="C7" s="14">
        <v>10418.220000000001</v>
      </c>
      <c r="D7" s="14">
        <v>16716.240000000002</v>
      </c>
      <c r="E7" s="54">
        <f t="shared" si="0"/>
        <v>13567.230000000001</v>
      </c>
      <c r="F7" s="52">
        <v>16618.14</v>
      </c>
      <c r="G7" s="52">
        <v>16520.04</v>
      </c>
      <c r="H7" s="54">
        <f t="shared" si="1"/>
        <v>16569.09</v>
      </c>
      <c r="I7" s="52">
        <v>6405.93</v>
      </c>
      <c r="J7" s="52">
        <v>7749.9000000000005</v>
      </c>
      <c r="K7" s="54">
        <f t="shared" si="2"/>
        <v>7077.9150000000009</v>
      </c>
      <c r="L7" s="52">
        <v>5473.9800000000005</v>
      </c>
      <c r="M7" s="52">
        <v>7053.39</v>
      </c>
      <c r="N7" s="54">
        <f t="shared" si="3"/>
        <v>6263.6850000000004</v>
      </c>
    </row>
    <row r="8" spans="1:14" x14ac:dyDescent="0.3">
      <c r="A8" s="2">
        <v>4.2</v>
      </c>
      <c r="B8" s="2">
        <v>6</v>
      </c>
      <c r="C8" s="14">
        <v>12772.62</v>
      </c>
      <c r="D8" s="14">
        <v>20306.7</v>
      </c>
      <c r="E8" s="54">
        <f t="shared" si="0"/>
        <v>16539.66</v>
      </c>
      <c r="F8" s="52">
        <v>20493.09</v>
      </c>
      <c r="G8" s="52">
        <v>20090.88</v>
      </c>
      <c r="H8" s="54">
        <f t="shared" si="1"/>
        <v>20291.985000000001</v>
      </c>
      <c r="I8" s="52">
        <v>7818.5700000000006</v>
      </c>
      <c r="J8" s="52">
        <v>9162.5400000000009</v>
      </c>
      <c r="K8" s="54">
        <f t="shared" si="2"/>
        <v>8490.5550000000003</v>
      </c>
      <c r="L8" s="52">
        <v>6690.42</v>
      </c>
      <c r="M8" s="52">
        <v>8309.07</v>
      </c>
      <c r="N8" s="54">
        <f t="shared" si="3"/>
        <v>7499.7449999999999</v>
      </c>
    </row>
    <row r="9" spans="1:14" x14ac:dyDescent="0.3">
      <c r="A9" s="2">
        <v>4.9000000000000004</v>
      </c>
      <c r="B9" s="2">
        <v>7</v>
      </c>
      <c r="C9" s="14">
        <v>15411.51</v>
      </c>
      <c r="D9" s="14">
        <v>24269.940000000002</v>
      </c>
      <c r="E9" s="54">
        <f t="shared" si="0"/>
        <v>19840.725000000002</v>
      </c>
      <c r="F9" s="52">
        <v>24966.45</v>
      </c>
      <c r="G9" s="52">
        <v>24044.31</v>
      </c>
      <c r="H9" s="54">
        <f t="shared" si="1"/>
        <v>24505.38</v>
      </c>
      <c r="I9" s="52">
        <v>9456.84</v>
      </c>
      <c r="J9" s="52">
        <v>10624.230000000001</v>
      </c>
      <c r="K9" s="54">
        <f t="shared" si="2"/>
        <v>10040.535</v>
      </c>
      <c r="L9" s="52">
        <v>8122.68</v>
      </c>
      <c r="M9" s="52">
        <v>9594.18</v>
      </c>
      <c r="N9" s="54">
        <f t="shared" si="3"/>
        <v>8858.43</v>
      </c>
    </row>
    <row r="10" spans="1:14" x14ac:dyDescent="0.3">
      <c r="A10" s="2">
        <v>5.6</v>
      </c>
      <c r="B10" s="2">
        <v>8</v>
      </c>
      <c r="C10" s="14">
        <v>18540.900000000001</v>
      </c>
      <c r="D10" s="14">
        <v>28605.960000000003</v>
      </c>
      <c r="E10" s="54">
        <f t="shared" si="0"/>
        <v>23573.43</v>
      </c>
      <c r="F10" s="52">
        <v>30018.600000000002</v>
      </c>
      <c r="G10" s="52">
        <v>28341.09</v>
      </c>
      <c r="H10" s="54">
        <f t="shared" si="1"/>
        <v>29179.845000000001</v>
      </c>
      <c r="I10" s="52">
        <v>11340.36</v>
      </c>
      <c r="J10" s="52">
        <v>12115.35</v>
      </c>
      <c r="K10" s="54">
        <f t="shared" si="2"/>
        <v>11727.855</v>
      </c>
      <c r="L10" s="52">
        <v>9770.76</v>
      </c>
      <c r="M10" s="52">
        <v>10898.91</v>
      </c>
      <c r="N10" s="54">
        <f t="shared" si="3"/>
        <v>10334.834999999999</v>
      </c>
    </row>
    <row r="11" spans="1:14" x14ac:dyDescent="0.3">
      <c r="A11" s="2">
        <v>6.3</v>
      </c>
      <c r="B11" s="2">
        <v>9</v>
      </c>
      <c r="C11" s="14">
        <v>22190.22</v>
      </c>
      <c r="D11" s="14">
        <v>33304.950000000004</v>
      </c>
      <c r="E11" s="54">
        <f t="shared" si="0"/>
        <v>27747.585000000003</v>
      </c>
      <c r="F11" s="52">
        <v>35649.54</v>
      </c>
      <c r="G11" s="52">
        <v>33010.65</v>
      </c>
      <c r="H11" s="54">
        <f t="shared" si="1"/>
        <v>34330.095000000001</v>
      </c>
      <c r="I11" s="52">
        <v>13439.7</v>
      </c>
      <c r="J11" s="52">
        <v>13626.09</v>
      </c>
      <c r="K11" s="54">
        <f t="shared" si="2"/>
        <v>13532.895</v>
      </c>
      <c r="L11" s="52">
        <v>11624.85</v>
      </c>
      <c r="M11" s="52">
        <v>12184.02</v>
      </c>
      <c r="N11" s="54">
        <f t="shared" si="3"/>
        <v>11904.435000000001</v>
      </c>
    </row>
    <row r="12" spans="1:14" x14ac:dyDescent="0.3">
      <c r="A12" s="2">
        <v>7</v>
      </c>
      <c r="B12" s="2">
        <v>10</v>
      </c>
      <c r="C12" s="14">
        <v>25927.83</v>
      </c>
      <c r="D12" s="14">
        <v>38386.53</v>
      </c>
      <c r="E12" s="54">
        <f t="shared" si="0"/>
        <v>32157.18</v>
      </c>
      <c r="F12" s="52">
        <v>41878.89</v>
      </c>
      <c r="G12" s="52">
        <v>38043.18</v>
      </c>
      <c r="H12" s="54">
        <f t="shared" si="1"/>
        <v>39961.035000000003</v>
      </c>
      <c r="I12" s="52">
        <v>15715.62</v>
      </c>
      <c r="J12" s="52">
        <v>15117.210000000001</v>
      </c>
      <c r="K12" s="54">
        <f t="shared" si="2"/>
        <v>15416.415000000001</v>
      </c>
      <c r="L12" s="52">
        <v>13635.900000000001</v>
      </c>
      <c r="M12" s="52">
        <v>13439.7</v>
      </c>
      <c r="N12" s="54">
        <f t="shared" si="3"/>
        <v>13537.800000000001</v>
      </c>
    </row>
    <row r="13" spans="1:14" x14ac:dyDescent="0.3">
      <c r="A13" s="2">
        <v>7.7</v>
      </c>
      <c r="B13" s="2">
        <v>11</v>
      </c>
      <c r="C13" s="14">
        <v>30567.960000000003</v>
      </c>
      <c r="D13" s="14">
        <v>44007.66</v>
      </c>
      <c r="E13" s="54">
        <f t="shared" si="0"/>
        <v>37287.810000000005</v>
      </c>
      <c r="F13" s="52">
        <v>48873.420000000006</v>
      </c>
      <c r="G13" s="52">
        <v>43585.83</v>
      </c>
      <c r="H13" s="54">
        <f t="shared" si="1"/>
        <v>46229.625</v>
      </c>
      <c r="I13" s="52">
        <v>18315.27</v>
      </c>
      <c r="J13" s="52">
        <v>16686.810000000001</v>
      </c>
      <c r="K13" s="54">
        <f t="shared" si="2"/>
        <v>17501.04</v>
      </c>
      <c r="L13" s="52">
        <v>15931.44</v>
      </c>
      <c r="M13" s="52">
        <v>14754.240000000002</v>
      </c>
      <c r="N13" s="54">
        <f t="shared" si="3"/>
        <v>15342.84</v>
      </c>
    </row>
    <row r="14" spans="1:14" x14ac:dyDescent="0.3">
      <c r="A14" s="2">
        <v>8.4</v>
      </c>
      <c r="B14" s="2">
        <v>12</v>
      </c>
      <c r="C14" s="14">
        <v>35237.520000000004</v>
      </c>
      <c r="D14" s="14">
        <v>50109.48</v>
      </c>
      <c r="E14" s="54">
        <f t="shared" si="0"/>
        <v>42673.5</v>
      </c>
      <c r="F14" s="52">
        <v>56525.22</v>
      </c>
      <c r="G14" s="52">
        <v>49589.55</v>
      </c>
      <c r="H14" s="54">
        <f t="shared" si="1"/>
        <v>53057.385000000002</v>
      </c>
      <c r="I14" s="52">
        <v>21189.600000000002</v>
      </c>
      <c r="J14" s="52">
        <v>18364.32</v>
      </c>
      <c r="K14" s="54">
        <f t="shared" si="2"/>
        <v>19776.96</v>
      </c>
      <c r="L14" s="52">
        <v>18501.66</v>
      </c>
      <c r="M14" s="52">
        <v>16147.26</v>
      </c>
      <c r="N14" s="54">
        <f t="shared" si="3"/>
        <v>17324.46</v>
      </c>
    </row>
    <row r="15" spans="1:14" x14ac:dyDescent="0.3">
      <c r="A15" s="2">
        <v>9.1999999999999993</v>
      </c>
      <c r="B15" s="2">
        <v>13</v>
      </c>
      <c r="C15" s="14">
        <v>41741.550000000003</v>
      </c>
      <c r="D15" s="14">
        <v>57741.66</v>
      </c>
      <c r="E15" s="54">
        <f t="shared" si="0"/>
        <v>49741.605000000003</v>
      </c>
      <c r="F15" s="52">
        <v>65991.87000000001</v>
      </c>
      <c r="G15" s="52">
        <v>57054.960000000006</v>
      </c>
      <c r="H15" s="54">
        <f t="shared" si="1"/>
        <v>61523.415000000008</v>
      </c>
      <c r="I15" s="52">
        <v>24789.870000000003</v>
      </c>
      <c r="J15" s="52">
        <v>20473.47</v>
      </c>
      <c r="K15" s="54">
        <f t="shared" si="2"/>
        <v>22631.670000000002</v>
      </c>
      <c r="L15" s="52">
        <v>21719.34</v>
      </c>
      <c r="M15" s="52">
        <v>17913.060000000001</v>
      </c>
      <c r="N15" s="54">
        <f t="shared" si="3"/>
        <v>19816.2</v>
      </c>
    </row>
    <row r="16" spans="1:14" x14ac:dyDescent="0.3">
      <c r="A16" s="2">
        <v>10</v>
      </c>
      <c r="B16" s="2">
        <v>14</v>
      </c>
      <c r="C16" s="14">
        <v>48255.39</v>
      </c>
      <c r="D16" s="14">
        <v>65854.53</v>
      </c>
      <c r="E16" s="54">
        <f t="shared" si="0"/>
        <v>57054.96</v>
      </c>
      <c r="F16" s="52">
        <v>75841.11</v>
      </c>
      <c r="G16" s="52">
        <v>64932.390000000007</v>
      </c>
      <c r="H16" s="54">
        <f t="shared" si="1"/>
        <v>70386.75</v>
      </c>
      <c r="I16" s="52">
        <v>28537.29</v>
      </c>
      <c r="J16" s="52">
        <v>22788.63</v>
      </c>
      <c r="K16" s="54">
        <f t="shared" si="2"/>
        <v>25662.959999999999</v>
      </c>
      <c r="L16" s="52">
        <v>25044.93</v>
      </c>
      <c r="M16" s="52">
        <v>19865.25</v>
      </c>
      <c r="N16" s="54">
        <f t="shared" si="3"/>
        <v>22455.09</v>
      </c>
    </row>
    <row r="17" spans="1:14" x14ac:dyDescent="0.3">
      <c r="A17" s="2">
        <v>10.8</v>
      </c>
      <c r="B17" s="2">
        <v>15</v>
      </c>
      <c r="C17" s="14">
        <v>55426.5</v>
      </c>
      <c r="D17" s="14">
        <v>74428.47</v>
      </c>
      <c r="E17" s="54">
        <f t="shared" si="0"/>
        <v>64927.485000000001</v>
      </c>
      <c r="F17" s="52">
        <v>86004.27</v>
      </c>
      <c r="G17" s="52">
        <v>73192.41</v>
      </c>
      <c r="H17" s="54">
        <f t="shared" si="1"/>
        <v>79598.34</v>
      </c>
      <c r="I17" s="52">
        <v>32373</v>
      </c>
      <c r="J17" s="52">
        <v>25270.560000000001</v>
      </c>
      <c r="K17" s="54">
        <f t="shared" si="2"/>
        <v>28821.78</v>
      </c>
      <c r="L17" s="52">
        <v>28429.38</v>
      </c>
      <c r="M17" s="52">
        <v>21935.16</v>
      </c>
      <c r="N17" s="54">
        <f t="shared" si="3"/>
        <v>25182.27</v>
      </c>
    </row>
    <row r="18" spans="1:14" x14ac:dyDescent="0.3">
      <c r="A18" s="2">
        <v>11.6</v>
      </c>
      <c r="B18" s="2">
        <v>16</v>
      </c>
      <c r="C18" s="14">
        <v>62842.86</v>
      </c>
      <c r="D18" s="14">
        <v>83404.62000000001</v>
      </c>
      <c r="E18" s="54">
        <f t="shared" si="0"/>
        <v>73123.740000000005</v>
      </c>
      <c r="F18" s="52">
        <v>96432.3</v>
      </c>
      <c r="G18" s="52">
        <v>81776.160000000003</v>
      </c>
      <c r="H18" s="54">
        <f t="shared" si="1"/>
        <v>89104.23000000001</v>
      </c>
      <c r="I18" s="52">
        <v>36238.14</v>
      </c>
      <c r="J18" s="52">
        <v>27850.59</v>
      </c>
      <c r="K18" s="54">
        <f t="shared" si="2"/>
        <v>32044.364999999998</v>
      </c>
      <c r="L18" s="52">
        <v>31823.640000000003</v>
      </c>
      <c r="M18" s="52">
        <v>24083.550000000003</v>
      </c>
      <c r="N18" s="54">
        <f t="shared" si="3"/>
        <v>27953.595000000001</v>
      </c>
    </row>
    <row r="19" spans="1:14" x14ac:dyDescent="0.3">
      <c r="A19" s="2">
        <v>12.4</v>
      </c>
      <c r="B19" s="2">
        <v>17</v>
      </c>
      <c r="C19" s="14">
        <v>70808.58</v>
      </c>
      <c r="D19" s="14">
        <v>92802.6</v>
      </c>
      <c r="E19" s="54">
        <f t="shared" si="0"/>
        <v>81805.59</v>
      </c>
      <c r="F19" s="52">
        <v>107115.39</v>
      </c>
      <c r="G19" s="52">
        <v>90673.83</v>
      </c>
      <c r="H19" s="54">
        <f t="shared" si="1"/>
        <v>98894.61</v>
      </c>
      <c r="I19" s="52">
        <v>40093.47</v>
      </c>
      <c r="J19" s="52">
        <v>30499.29</v>
      </c>
      <c r="K19" s="54">
        <f t="shared" si="2"/>
        <v>35296.380000000005</v>
      </c>
      <c r="L19" s="52">
        <v>35178.660000000003</v>
      </c>
      <c r="M19" s="52">
        <v>26261.370000000003</v>
      </c>
      <c r="N19" s="54">
        <f t="shared" si="3"/>
        <v>30720.015000000003</v>
      </c>
    </row>
    <row r="20" spans="1:14" x14ac:dyDescent="0.3">
      <c r="A20" s="2">
        <v>13.2</v>
      </c>
      <c r="B20" s="2">
        <v>18</v>
      </c>
      <c r="C20" s="14">
        <v>79274.61</v>
      </c>
      <c r="D20" s="14">
        <v>102602.79000000001</v>
      </c>
      <c r="E20" s="54">
        <f t="shared" si="0"/>
        <v>90938.700000000012</v>
      </c>
      <c r="F20" s="52">
        <v>117984.87000000001</v>
      </c>
      <c r="G20" s="52">
        <v>99836.37000000001</v>
      </c>
      <c r="H20" s="54">
        <f t="shared" si="1"/>
        <v>108910.62000000001</v>
      </c>
      <c r="I20" s="52">
        <v>43850.700000000004</v>
      </c>
      <c r="J20" s="52">
        <v>33118.560000000005</v>
      </c>
      <c r="K20" s="54">
        <f t="shared" si="2"/>
        <v>38484.630000000005</v>
      </c>
      <c r="L20" s="52">
        <v>38386.53</v>
      </c>
      <c r="M20" s="52">
        <v>28380.33</v>
      </c>
      <c r="N20" s="54">
        <f t="shared" si="3"/>
        <v>33383.43</v>
      </c>
    </row>
    <row r="21" spans="1:14" x14ac:dyDescent="0.3">
      <c r="A21" s="2">
        <v>14</v>
      </c>
      <c r="B21" s="2">
        <v>19</v>
      </c>
      <c r="C21" s="14">
        <v>87730.83</v>
      </c>
      <c r="D21" s="14">
        <v>112648.23000000001</v>
      </c>
      <c r="E21" s="54">
        <f t="shared" si="0"/>
        <v>100189.53</v>
      </c>
      <c r="F21" s="52">
        <v>128942.64</v>
      </c>
      <c r="G21" s="52">
        <v>109146.06000000001</v>
      </c>
      <c r="H21" s="54">
        <f t="shared" si="1"/>
        <v>119044.35</v>
      </c>
      <c r="I21" s="52">
        <v>47480.4</v>
      </c>
      <c r="J21" s="52">
        <v>35678.97</v>
      </c>
      <c r="K21" s="54">
        <f t="shared" si="2"/>
        <v>41579.684999999998</v>
      </c>
      <c r="L21" s="52">
        <v>41457.060000000005</v>
      </c>
      <c r="M21" s="52">
        <v>30420.81</v>
      </c>
      <c r="N21" s="54">
        <f t="shared" si="3"/>
        <v>35938.935000000005</v>
      </c>
    </row>
    <row r="22" spans="1:14" x14ac:dyDescent="0.3">
      <c r="A22" s="2">
        <v>14.8</v>
      </c>
      <c r="B22" s="2">
        <v>20</v>
      </c>
      <c r="C22" s="14">
        <v>96628.5</v>
      </c>
      <c r="D22" s="14">
        <v>123017.40000000001</v>
      </c>
      <c r="E22" s="54">
        <f t="shared" si="0"/>
        <v>109822.95000000001</v>
      </c>
      <c r="F22" s="52">
        <v>139988.70000000001</v>
      </c>
      <c r="G22" s="52">
        <v>118622.52</v>
      </c>
      <c r="H22" s="54">
        <f t="shared" si="1"/>
        <v>129305.61000000002</v>
      </c>
      <c r="I22" s="52">
        <v>50894.280000000006</v>
      </c>
      <c r="J22" s="52">
        <v>38102.04</v>
      </c>
      <c r="K22" s="54">
        <f t="shared" si="2"/>
        <v>44498.16</v>
      </c>
      <c r="L22" s="52">
        <v>44262.720000000001</v>
      </c>
      <c r="M22" s="52">
        <v>32284.710000000003</v>
      </c>
      <c r="N22" s="54">
        <f t="shared" si="3"/>
        <v>38273.715000000004</v>
      </c>
    </row>
    <row r="23" spans="1:14" x14ac:dyDescent="0.3">
      <c r="A23" s="2">
        <v>15.6</v>
      </c>
      <c r="B23" s="2">
        <v>21</v>
      </c>
      <c r="C23" s="14">
        <v>105820.47</v>
      </c>
      <c r="D23" s="14">
        <v>133690.68</v>
      </c>
      <c r="E23" s="54">
        <f t="shared" si="0"/>
        <v>119755.575</v>
      </c>
      <c r="F23" s="52">
        <v>151113.24000000002</v>
      </c>
      <c r="G23" s="52">
        <v>128246.13</v>
      </c>
      <c r="H23" s="54">
        <f t="shared" si="1"/>
        <v>139679.685</v>
      </c>
      <c r="I23" s="52">
        <v>54092.340000000004</v>
      </c>
      <c r="J23" s="52">
        <v>40397.58</v>
      </c>
      <c r="K23" s="54">
        <f t="shared" si="2"/>
        <v>47244.960000000006</v>
      </c>
      <c r="L23" s="52">
        <v>46832.94</v>
      </c>
      <c r="M23" s="52">
        <v>33991.65</v>
      </c>
      <c r="N23" s="54">
        <f t="shared" si="3"/>
        <v>40412.294999999998</v>
      </c>
    </row>
    <row r="24" spans="1:14" x14ac:dyDescent="0.3">
      <c r="A24" s="2">
        <v>16.399999999999999</v>
      </c>
      <c r="B24" s="2">
        <v>22</v>
      </c>
      <c r="C24" s="14">
        <v>115316.55</v>
      </c>
      <c r="D24" s="14">
        <v>144687.69</v>
      </c>
      <c r="E24" s="54">
        <f t="shared" si="0"/>
        <v>130002.12</v>
      </c>
      <c r="F24" s="52">
        <v>162306.45000000001</v>
      </c>
      <c r="G24" s="52">
        <v>138016.89000000001</v>
      </c>
      <c r="H24" s="54">
        <f t="shared" si="1"/>
        <v>150161.67000000001</v>
      </c>
      <c r="I24" s="52">
        <v>57084.39</v>
      </c>
      <c r="J24" s="52">
        <v>42545.97</v>
      </c>
      <c r="K24" s="54">
        <f t="shared" si="2"/>
        <v>49815.18</v>
      </c>
      <c r="L24" s="52">
        <v>49157.91</v>
      </c>
      <c r="M24" s="52">
        <v>35522.01</v>
      </c>
      <c r="N24" s="54">
        <f t="shared" si="3"/>
        <v>42339.960000000006</v>
      </c>
    </row>
    <row r="25" spans="1:14" x14ac:dyDescent="0.3">
      <c r="A25" s="2">
        <v>17.2</v>
      </c>
      <c r="B25" s="2">
        <v>23</v>
      </c>
      <c r="C25" s="14">
        <v>125097.12000000001</v>
      </c>
      <c r="D25" s="14">
        <v>155979</v>
      </c>
      <c r="E25" s="54">
        <f t="shared" si="0"/>
        <v>140538.06</v>
      </c>
      <c r="F25" s="52">
        <v>173538.90000000002</v>
      </c>
      <c r="G25" s="52">
        <v>147905.37</v>
      </c>
      <c r="H25" s="54">
        <f t="shared" si="1"/>
        <v>160722.13500000001</v>
      </c>
      <c r="I25" s="52">
        <v>59811.57</v>
      </c>
      <c r="J25" s="52">
        <v>44517.78</v>
      </c>
      <c r="K25" s="54">
        <f t="shared" si="2"/>
        <v>52164.675000000003</v>
      </c>
      <c r="L25" s="52">
        <v>51198.39</v>
      </c>
      <c r="M25" s="52">
        <v>36836.550000000003</v>
      </c>
      <c r="N25" s="54">
        <f t="shared" si="3"/>
        <v>44017.47</v>
      </c>
    </row>
    <row r="26" spans="1:14" x14ac:dyDescent="0.3">
      <c r="A26" s="2">
        <v>18</v>
      </c>
      <c r="B26" s="2">
        <v>24</v>
      </c>
      <c r="C26" s="14">
        <v>135221.04</v>
      </c>
      <c r="D26" s="14">
        <v>167544.99000000002</v>
      </c>
      <c r="E26" s="54">
        <f t="shared" si="0"/>
        <v>151383.01500000001</v>
      </c>
      <c r="F26" s="52">
        <v>184761.54</v>
      </c>
      <c r="G26" s="52">
        <v>157862.52000000002</v>
      </c>
      <c r="H26" s="54">
        <f t="shared" si="1"/>
        <v>171312.03000000003</v>
      </c>
      <c r="I26" s="52">
        <v>62234.640000000007</v>
      </c>
      <c r="J26" s="52">
        <v>46254.15</v>
      </c>
      <c r="K26" s="54">
        <f t="shared" si="2"/>
        <v>54244.395000000004</v>
      </c>
      <c r="L26" s="52">
        <v>52885.71</v>
      </c>
      <c r="M26" s="52">
        <v>37886.22</v>
      </c>
      <c r="N26" s="54">
        <f t="shared" si="3"/>
        <v>45385.964999999997</v>
      </c>
    </row>
    <row r="27" spans="1:14" x14ac:dyDescent="0.3">
      <c r="A27" s="2">
        <v>18.8</v>
      </c>
      <c r="B27" s="2">
        <v>25</v>
      </c>
      <c r="C27" s="14">
        <v>145354.77000000002</v>
      </c>
      <c r="D27" s="14">
        <v>179326.80000000002</v>
      </c>
      <c r="E27" s="54">
        <f t="shared" si="0"/>
        <v>162340.78500000003</v>
      </c>
      <c r="F27" s="52">
        <v>195925.32</v>
      </c>
      <c r="G27" s="52">
        <v>167849.1</v>
      </c>
      <c r="H27" s="54">
        <f t="shared" si="1"/>
        <v>181887.21000000002</v>
      </c>
      <c r="I27" s="52">
        <v>64284.93</v>
      </c>
      <c r="J27" s="52">
        <v>47706.03</v>
      </c>
      <c r="K27" s="54">
        <f t="shared" si="2"/>
        <v>55995.479999999996</v>
      </c>
      <c r="L27" s="52">
        <v>54180.630000000005</v>
      </c>
      <c r="M27" s="52">
        <v>38612.160000000003</v>
      </c>
      <c r="N27" s="54">
        <f t="shared" si="3"/>
        <v>46396.395000000004</v>
      </c>
    </row>
    <row r="28" spans="1:14" x14ac:dyDescent="0.3">
      <c r="A28" s="2">
        <v>19.600000000000001</v>
      </c>
      <c r="B28" s="2">
        <v>26</v>
      </c>
      <c r="C28" s="14">
        <v>155841.66</v>
      </c>
      <c r="D28" s="14">
        <v>191412.72</v>
      </c>
      <c r="E28" s="54">
        <f t="shared" si="0"/>
        <v>173627.19</v>
      </c>
      <c r="F28" s="52">
        <v>206883.09</v>
      </c>
      <c r="G28" s="52">
        <v>177757.2</v>
      </c>
      <c r="H28" s="54">
        <f t="shared" si="1"/>
        <v>192320.14500000002</v>
      </c>
      <c r="I28" s="52">
        <v>65619.09</v>
      </c>
      <c r="J28" s="52">
        <v>48569.310000000005</v>
      </c>
      <c r="K28" s="54">
        <f t="shared" si="2"/>
        <v>57094.2</v>
      </c>
      <c r="L28" s="52">
        <v>54710.37</v>
      </c>
      <c r="M28" s="52">
        <v>38700.450000000004</v>
      </c>
      <c r="N28" s="54">
        <f t="shared" si="3"/>
        <v>46705.41</v>
      </c>
    </row>
    <row r="29" spans="1:14" x14ac:dyDescent="0.3">
      <c r="A29" s="2">
        <v>20.399999999999999</v>
      </c>
      <c r="B29" s="2">
        <v>27</v>
      </c>
      <c r="C29" s="14">
        <v>166338.36000000002</v>
      </c>
      <c r="D29" s="14">
        <v>203498.64</v>
      </c>
      <c r="E29" s="54">
        <f t="shared" si="0"/>
        <v>184918.5</v>
      </c>
      <c r="F29" s="52">
        <v>217850.67</v>
      </c>
      <c r="G29" s="52">
        <v>187675.11000000002</v>
      </c>
      <c r="H29" s="54">
        <f t="shared" si="1"/>
        <v>202762.89</v>
      </c>
      <c r="I29" s="52">
        <v>66963.06</v>
      </c>
      <c r="J29" s="52">
        <v>49422.780000000006</v>
      </c>
      <c r="K29" s="54">
        <f t="shared" si="2"/>
        <v>58192.92</v>
      </c>
      <c r="L29" s="52">
        <v>55240.11</v>
      </c>
      <c r="M29" s="52">
        <v>38788.740000000005</v>
      </c>
      <c r="N29" s="54">
        <f t="shared" si="3"/>
        <v>47014.425000000003</v>
      </c>
    </row>
    <row r="30" spans="1:14" x14ac:dyDescent="0.3">
      <c r="A30" s="2">
        <v>21.2</v>
      </c>
      <c r="B30" s="2">
        <v>28</v>
      </c>
      <c r="C30" s="14">
        <v>177021.45</v>
      </c>
      <c r="D30" s="14">
        <v>215751.33000000002</v>
      </c>
      <c r="E30" s="54">
        <f t="shared" si="0"/>
        <v>196386.39</v>
      </c>
      <c r="F30" s="52">
        <v>228631.86000000002</v>
      </c>
      <c r="G30" s="52">
        <v>197494.92</v>
      </c>
      <c r="H30" s="54">
        <f t="shared" si="1"/>
        <v>213063.39</v>
      </c>
      <c r="I30" s="52">
        <v>67757.67</v>
      </c>
      <c r="J30" s="52">
        <v>49834.8</v>
      </c>
      <c r="K30" s="54">
        <f t="shared" si="2"/>
        <v>58796.235000000001</v>
      </c>
      <c r="L30" s="52">
        <v>55191.060000000005</v>
      </c>
      <c r="M30" s="52">
        <v>38386.53</v>
      </c>
      <c r="N30" s="54">
        <f t="shared" si="3"/>
        <v>46788.794999999998</v>
      </c>
    </row>
    <row r="31" spans="1:14" x14ac:dyDescent="0.3">
      <c r="A31" s="2">
        <v>22</v>
      </c>
      <c r="B31" s="2">
        <v>29</v>
      </c>
      <c r="C31" s="14">
        <v>187822.26</v>
      </c>
      <c r="D31" s="14">
        <v>228151.17</v>
      </c>
      <c r="E31" s="54">
        <f t="shared" si="0"/>
        <v>207986.71500000003</v>
      </c>
      <c r="F31" s="52">
        <v>239148.18000000002</v>
      </c>
      <c r="G31" s="52">
        <v>207167.58000000002</v>
      </c>
      <c r="H31" s="54">
        <f t="shared" si="1"/>
        <v>223157.88</v>
      </c>
      <c r="I31" s="52">
        <v>67885.2</v>
      </c>
      <c r="J31" s="52">
        <v>49668.030000000006</v>
      </c>
      <c r="K31" s="54">
        <f t="shared" si="2"/>
        <v>58776.615000000005</v>
      </c>
      <c r="L31" s="52">
        <v>54435.69</v>
      </c>
      <c r="M31" s="52">
        <v>37385.910000000003</v>
      </c>
      <c r="N31" s="54">
        <f t="shared" si="3"/>
        <v>45910.8</v>
      </c>
    </row>
    <row r="32" spans="1:14" x14ac:dyDescent="0.3">
      <c r="A32" s="2">
        <v>22.8</v>
      </c>
      <c r="B32" s="2">
        <v>30</v>
      </c>
      <c r="C32" s="14">
        <v>198613.26</v>
      </c>
      <c r="D32" s="14">
        <v>240629.49000000002</v>
      </c>
      <c r="E32" s="54">
        <f t="shared" si="0"/>
        <v>219621.375</v>
      </c>
      <c r="F32" s="52">
        <v>249399.63</v>
      </c>
      <c r="G32" s="52">
        <v>216663.66</v>
      </c>
      <c r="H32" s="54">
        <f t="shared" si="1"/>
        <v>233031.64500000002</v>
      </c>
      <c r="I32" s="52">
        <v>67414.320000000007</v>
      </c>
      <c r="J32" s="52">
        <v>48991.14</v>
      </c>
      <c r="K32" s="54">
        <f t="shared" si="2"/>
        <v>58202.73</v>
      </c>
      <c r="L32" s="52">
        <v>53052.480000000003</v>
      </c>
      <c r="M32" s="52">
        <v>35826.120000000003</v>
      </c>
      <c r="N32" s="54">
        <f t="shared" si="3"/>
        <v>44439.3</v>
      </c>
    </row>
    <row r="33" spans="1:14" x14ac:dyDescent="0.3">
      <c r="A33" s="2">
        <v>23.6</v>
      </c>
      <c r="B33" s="2">
        <v>31</v>
      </c>
      <c r="C33" s="14">
        <v>209463.12000000002</v>
      </c>
      <c r="D33" s="14">
        <v>253156.86000000002</v>
      </c>
      <c r="E33" s="54">
        <f t="shared" si="0"/>
        <v>231309.99000000002</v>
      </c>
      <c r="F33" s="52">
        <v>259346.97</v>
      </c>
      <c r="G33" s="52">
        <v>225943.92</v>
      </c>
      <c r="H33" s="54">
        <f t="shared" si="1"/>
        <v>242645.44500000001</v>
      </c>
      <c r="I33" s="52">
        <v>66305.790000000008</v>
      </c>
      <c r="J33" s="52">
        <v>47755.08</v>
      </c>
      <c r="K33" s="54">
        <f t="shared" si="2"/>
        <v>57030.435000000005</v>
      </c>
      <c r="L33" s="52">
        <v>50992.380000000005</v>
      </c>
      <c r="M33" s="52">
        <v>33677.730000000003</v>
      </c>
      <c r="N33" s="54">
        <f t="shared" si="3"/>
        <v>42335.055000000008</v>
      </c>
    </row>
    <row r="34" spans="1:14" x14ac:dyDescent="0.3">
      <c r="A34" s="2">
        <v>24.4</v>
      </c>
      <c r="B34" s="2">
        <v>32</v>
      </c>
      <c r="C34" s="14">
        <v>220303.17</v>
      </c>
      <c r="D34" s="14">
        <v>265694.04000000004</v>
      </c>
      <c r="E34" s="54">
        <f t="shared" si="0"/>
        <v>242998.60500000004</v>
      </c>
      <c r="F34" s="52">
        <v>268941.15000000002</v>
      </c>
      <c r="G34" s="52">
        <v>234969.12000000002</v>
      </c>
      <c r="H34" s="54">
        <f t="shared" si="1"/>
        <v>251955.13500000001</v>
      </c>
      <c r="I34" s="52">
        <v>64510.560000000005</v>
      </c>
      <c r="J34" s="52">
        <v>45910.8</v>
      </c>
      <c r="K34" s="54">
        <f t="shared" si="2"/>
        <v>55210.680000000008</v>
      </c>
      <c r="L34" s="52">
        <v>48216.15</v>
      </c>
      <c r="M34" s="52">
        <v>30891.690000000002</v>
      </c>
      <c r="N34" s="54">
        <f t="shared" si="3"/>
        <v>39553.919999999998</v>
      </c>
    </row>
    <row r="35" spans="1:14" x14ac:dyDescent="0.3">
      <c r="A35" s="2">
        <v>25.2</v>
      </c>
      <c r="B35" s="2">
        <v>33</v>
      </c>
      <c r="C35" s="14">
        <v>231054.93000000002</v>
      </c>
      <c r="D35" s="14">
        <v>278172.36</v>
      </c>
      <c r="E35" s="54">
        <f t="shared" si="0"/>
        <v>254613.64500000002</v>
      </c>
      <c r="F35" s="52">
        <v>278113.5</v>
      </c>
      <c r="G35" s="52">
        <v>243650.97</v>
      </c>
      <c r="H35" s="54">
        <f t="shared" si="1"/>
        <v>260882.23499999999</v>
      </c>
      <c r="I35" s="52">
        <v>61930.530000000006</v>
      </c>
      <c r="J35" s="52">
        <v>43379.82</v>
      </c>
      <c r="K35" s="54">
        <f t="shared" si="2"/>
        <v>52655.175000000003</v>
      </c>
      <c r="L35" s="52">
        <v>44635.5</v>
      </c>
      <c r="M35" s="52">
        <v>27389.52</v>
      </c>
      <c r="N35" s="54">
        <f t="shared" si="3"/>
        <v>36012.51</v>
      </c>
    </row>
    <row r="36" spans="1:14" x14ac:dyDescent="0.3">
      <c r="A36" s="2">
        <v>26</v>
      </c>
      <c r="B36" s="2">
        <v>34</v>
      </c>
      <c r="C36" s="14">
        <v>241669.35</v>
      </c>
      <c r="D36" s="14">
        <v>290503.53000000003</v>
      </c>
      <c r="E36" s="54">
        <f t="shared" si="0"/>
        <v>266086.44</v>
      </c>
      <c r="F36" s="52">
        <v>286805.16000000003</v>
      </c>
      <c r="G36" s="52">
        <v>251920.80000000002</v>
      </c>
      <c r="H36" s="54">
        <f t="shared" si="1"/>
        <v>269362.98000000004</v>
      </c>
      <c r="I36" s="52">
        <v>58536.270000000004</v>
      </c>
      <c r="J36" s="52">
        <v>40073.85</v>
      </c>
      <c r="K36" s="54">
        <f t="shared" si="2"/>
        <v>49305.06</v>
      </c>
      <c r="L36" s="52">
        <v>40211.19</v>
      </c>
      <c r="M36" s="52">
        <v>23073.120000000003</v>
      </c>
      <c r="N36" s="54">
        <f t="shared" si="3"/>
        <v>31642.155000000002</v>
      </c>
    </row>
    <row r="37" spans="1:14" x14ac:dyDescent="0.3">
      <c r="A37" s="2">
        <v>26.8</v>
      </c>
      <c r="B37" s="2">
        <v>35</v>
      </c>
      <c r="C37" s="14">
        <v>252136.62000000002</v>
      </c>
      <c r="D37" s="14">
        <v>302638.5</v>
      </c>
      <c r="E37" s="54">
        <f t="shared" si="0"/>
        <v>277387.56</v>
      </c>
      <c r="F37" s="52">
        <v>294888.60000000003</v>
      </c>
      <c r="G37" s="52">
        <v>259611.84000000003</v>
      </c>
      <c r="H37" s="54">
        <f t="shared" si="1"/>
        <v>277250.22000000003</v>
      </c>
      <c r="I37" s="52">
        <v>54102.15</v>
      </c>
      <c r="J37" s="52">
        <v>35737.83</v>
      </c>
      <c r="K37" s="54">
        <f t="shared" si="2"/>
        <v>44919.990000000005</v>
      </c>
      <c r="L37" s="52">
        <v>34688.160000000003</v>
      </c>
      <c r="M37" s="52">
        <v>17697.240000000002</v>
      </c>
      <c r="N37" s="54">
        <f t="shared" si="3"/>
        <v>26192.700000000004</v>
      </c>
    </row>
    <row r="38" spans="1:14" x14ac:dyDescent="0.3">
      <c r="A38" s="2">
        <v>27.6</v>
      </c>
      <c r="B38" s="2">
        <v>36</v>
      </c>
      <c r="C38" s="14">
        <v>262505.79000000004</v>
      </c>
      <c r="D38" s="14">
        <v>314675.37</v>
      </c>
      <c r="E38" s="54">
        <f t="shared" si="0"/>
        <v>288590.58</v>
      </c>
      <c r="F38" s="52">
        <v>302707.17000000004</v>
      </c>
      <c r="G38" s="52">
        <v>267067.44</v>
      </c>
      <c r="H38" s="54">
        <f t="shared" si="1"/>
        <v>284887.30500000005</v>
      </c>
      <c r="I38" s="52">
        <v>49226.58</v>
      </c>
      <c r="J38" s="52">
        <v>30989.79</v>
      </c>
      <c r="K38" s="54">
        <f t="shared" si="2"/>
        <v>40108.184999999998</v>
      </c>
      <c r="L38" s="52">
        <v>28723.68</v>
      </c>
      <c r="M38" s="52">
        <v>11889.720000000001</v>
      </c>
      <c r="N38" s="54">
        <f t="shared" si="3"/>
        <v>20306.7</v>
      </c>
    </row>
    <row r="39" spans="1:14" x14ac:dyDescent="0.3">
      <c r="A39" s="2">
        <v>28.4</v>
      </c>
      <c r="B39" s="2">
        <v>37</v>
      </c>
      <c r="C39" s="14">
        <v>272678.76</v>
      </c>
      <c r="D39" s="14">
        <v>326388.51</v>
      </c>
      <c r="E39" s="54">
        <f t="shared" si="0"/>
        <v>299533.63500000001</v>
      </c>
      <c r="F39" s="52">
        <v>309780.18</v>
      </c>
      <c r="G39" s="52">
        <v>273738.23999999999</v>
      </c>
      <c r="H39" s="54">
        <f t="shared" si="1"/>
        <v>291759.20999999996</v>
      </c>
      <c r="I39" s="52">
        <v>43065.9</v>
      </c>
      <c r="J39" s="52">
        <v>24907.59</v>
      </c>
      <c r="K39" s="54">
        <f t="shared" si="2"/>
        <v>33986.745000000003</v>
      </c>
      <c r="L39" s="52">
        <v>21434.850000000002</v>
      </c>
      <c r="M39" s="52">
        <v>4708.8</v>
      </c>
      <c r="N39" s="54">
        <f t="shared" si="3"/>
        <v>13071.825000000001</v>
      </c>
    </row>
    <row r="40" spans="1:14" x14ac:dyDescent="0.3">
      <c r="A40" s="2">
        <v>29.2</v>
      </c>
      <c r="B40" s="2">
        <v>38</v>
      </c>
      <c r="C40" s="14">
        <v>282763.44</v>
      </c>
      <c r="D40" s="14">
        <v>337905.45</v>
      </c>
      <c r="E40" s="54">
        <f t="shared" si="0"/>
        <v>310334.44500000001</v>
      </c>
      <c r="F40" s="52">
        <v>316470.60000000003</v>
      </c>
      <c r="G40" s="52">
        <v>279997.02</v>
      </c>
      <c r="H40" s="54">
        <f t="shared" si="1"/>
        <v>298233.81000000006</v>
      </c>
      <c r="I40" s="52">
        <v>36257.760000000002</v>
      </c>
      <c r="J40" s="52">
        <v>18128.88</v>
      </c>
      <c r="K40" s="54">
        <f t="shared" si="2"/>
        <v>27193.32</v>
      </c>
      <c r="L40" s="52">
        <v>13469.130000000001</v>
      </c>
      <c r="M40" s="52">
        <v>-3207.8700000000003</v>
      </c>
      <c r="N40" s="54">
        <f t="shared" si="3"/>
        <v>5130.63</v>
      </c>
    </row>
    <row r="41" spans="1:14" x14ac:dyDescent="0.3">
      <c r="A41" s="2">
        <v>30</v>
      </c>
      <c r="B41" s="2">
        <v>39</v>
      </c>
      <c r="C41" s="14">
        <v>292740.21000000002</v>
      </c>
      <c r="D41" s="14">
        <v>349236</v>
      </c>
      <c r="E41" s="54">
        <f t="shared" si="0"/>
        <v>320988.10499999998</v>
      </c>
      <c r="F41" s="52">
        <v>322778.43</v>
      </c>
      <c r="G41" s="52">
        <v>285824.16000000003</v>
      </c>
      <c r="H41" s="54">
        <f t="shared" si="1"/>
        <v>304301.29500000004</v>
      </c>
      <c r="I41" s="52">
        <v>28792.350000000002</v>
      </c>
      <c r="J41" s="52">
        <v>10643.85</v>
      </c>
      <c r="K41" s="54">
        <f t="shared" si="2"/>
        <v>19718.100000000002</v>
      </c>
      <c r="L41" s="52">
        <v>4826.5200000000004</v>
      </c>
      <c r="M41" s="52">
        <v>-11830.86</v>
      </c>
      <c r="N41" s="54">
        <f t="shared" si="3"/>
        <v>-3502.17</v>
      </c>
    </row>
    <row r="42" spans="1:14" x14ac:dyDescent="0.3">
      <c r="A42" s="2">
        <v>30.8</v>
      </c>
      <c r="B42" s="2">
        <v>40</v>
      </c>
      <c r="C42" s="14">
        <v>302667.93</v>
      </c>
      <c r="D42" s="14">
        <v>360389.97000000003</v>
      </c>
      <c r="E42" s="54">
        <f t="shared" si="0"/>
        <v>331528.95</v>
      </c>
      <c r="F42" s="52">
        <v>328536.90000000002</v>
      </c>
      <c r="G42" s="52">
        <v>291082.32</v>
      </c>
      <c r="H42" s="54">
        <f t="shared" si="1"/>
        <v>309809.61</v>
      </c>
      <c r="I42" s="52">
        <v>20718.72</v>
      </c>
      <c r="J42" s="52">
        <v>2511.36</v>
      </c>
      <c r="K42" s="54">
        <f t="shared" si="2"/>
        <v>11615.04</v>
      </c>
      <c r="L42" s="52">
        <v>-4139.8200000000006</v>
      </c>
      <c r="M42" s="52">
        <v>-20836.440000000002</v>
      </c>
      <c r="N42" s="54">
        <f t="shared" si="3"/>
        <v>-12488.130000000001</v>
      </c>
    </row>
    <row r="43" spans="1:14" x14ac:dyDescent="0.3">
      <c r="A43" s="2">
        <v>31.6</v>
      </c>
      <c r="B43" s="2">
        <v>41</v>
      </c>
      <c r="C43" s="14">
        <v>312595.65000000002</v>
      </c>
      <c r="D43" s="14">
        <v>371592.99</v>
      </c>
      <c r="E43" s="54">
        <f t="shared" si="0"/>
        <v>342094.32</v>
      </c>
      <c r="F43" s="52">
        <v>333883.35000000003</v>
      </c>
      <c r="G43" s="52">
        <v>295997.13</v>
      </c>
      <c r="H43" s="54">
        <f t="shared" si="1"/>
        <v>314940.24</v>
      </c>
      <c r="I43" s="52">
        <v>12772.62</v>
      </c>
      <c r="J43" s="52">
        <v>-5454.3600000000006</v>
      </c>
      <c r="K43" s="54">
        <f t="shared" si="2"/>
        <v>3659.13</v>
      </c>
      <c r="L43" s="52">
        <v>-12233.070000000002</v>
      </c>
      <c r="M43" s="52">
        <v>-28919.88</v>
      </c>
      <c r="N43" s="54">
        <f t="shared" si="3"/>
        <v>-20576.475000000002</v>
      </c>
    </row>
    <row r="44" spans="1:14" x14ac:dyDescent="0.3">
      <c r="A44" s="2">
        <v>32.4</v>
      </c>
      <c r="B44" s="2">
        <v>42</v>
      </c>
      <c r="C44" s="14">
        <v>322582.23000000004</v>
      </c>
      <c r="D44" s="14">
        <v>382825.44</v>
      </c>
      <c r="E44" s="54">
        <f t="shared" si="0"/>
        <v>352703.83500000002</v>
      </c>
      <c r="F44" s="52">
        <v>339043.41000000003</v>
      </c>
      <c r="G44" s="52">
        <v>300745.17000000004</v>
      </c>
      <c r="H44" s="54">
        <f t="shared" si="1"/>
        <v>319894.29000000004</v>
      </c>
      <c r="I44" s="52">
        <v>4865.76</v>
      </c>
      <c r="J44" s="52">
        <v>-13351.41</v>
      </c>
      <c r="K44" s="54">
        <f t="shared" si="2"/>
        <v>-4242.8249999999998</v>
      </c>
      <c r="L44" s="52">
        <v>-19894.68</v>
      </c>
      <c r="M44" s="52">
        <v>-36542.25</v>
      </c>
      <c r="N44" s="54">
        <f t="shared" si="3"/>
        <v>-28218.465</v>
      </c>
    </row>
    <row r="45" spans="1:14" x14ac:dyDescent="0.3">
      <c r="A45" s="2">
        <v>33.200000000000003</v>
      </c>
      <c r="B45" s="2">
        <v>43</v>
      </c>
      <c r="C45" s="14">
        <v>332608.05</v>
      </c>
      <c r="D45" s="14">
        <v>394077.51</v>
      </c>
      <c r="E45" s="54">
        <f t="shared" si="0"/>
        <v>363342.78</v>
      </c>
      <c r="F45" s="52">
        <v>343752.21</v>
      </c>
      <c r="G45" s="52">
        <v>305120.43</v>
      </c>
      <c r="H45" s="54">
        <f t="shared" si="1"/>
        <v>324436.32</v>
      </c>
      <c r="I45" s="52">
        <v>-2933.19</v>
      </c>
      <c r="J45" s="52">
        <v>-21101.31</v>
      </c>
      <c r="K45" s="54">
        <f t="shared" si="2"/>
        <v>-12017.25</v>
      </c>
      <c r="L45" s="52">
        <v>-26634.15</v>
      </c>
      <c r="M45" s="52">
        <v>-43193.43</v>
      </c>
      <c r="N45" s="54">
        <f t="shared" si="3"/>
        <v>-34913.79</v>
      </c>
    </row>
    <row r="46" spans="1:14" x14ac:dyDescent="0.3">
      <c r="A46" s="2">
        <v>34</v>
      </c>
      <c r="B46" s="2">
        <v>44</v>
      </c>
      <c r="C46" s="14">
        <v>342643.68</v>
      </c>
      <c r="D46" s="14">
        <v>405329.58</v>
      </c>
      <c r="E46" s="54">
        <f t="shared" si="0"/>
        <v>373986.63</v>
      </c>
      <c r="F46" s="52">
        <v>347990.13</v>
      </c>
      <c r="G46" s="52">
        <v>309073.86000000004</v>
      </c>
      <c r="H46" s="54">
        <f t="shared" si="1"/>
        <v>328531.995</v>
      </c>
      <c r="I46" s="52">
        <v>-10663.470000000001</v>
      </c>
      <c r="J46" s="52">
        <v>-28723.68</v>
      </c>
      <c r="K46" s="54">
        <f t="shared" si="2"/>
        <v>-19693.575000000001</v>
      </c>
      <c r="L46" s="52">
        <v>-32382.81</v>
      </c>
      <c r="M46" s="52">
        <v>-48824.37</v>
      </c>
      <c r="N46" s="54">
        <f t="shared" si="3"/>
        <v>-40603.590000000004</v>
      </c>
    </row>
    <row r="47" spans="1:14" x14ac:dyDescent="0.3">
      <c r="A47" s="2">
        <v>34.799999999999997</v>
      </c>
      <c r="B47" s="2">
        <v>45</v>
      </c>
      <c r="C47" s="14">
        <v>352679.31</v>
      </c>
      <c r="D47" s="14">
        <v>416571.84</v>
      </c>
      <c r="E47" s="54">
        <f t="shared" si="0"/>
        <v>384625.57500000001</v>
      </c>
      <c r="F47" s="52">
        <v>352022.04000000004</v>
      </c>
      <c r="G47" s="52">
        <v>312850.71000000002</v>
      </c>
      <c r="H47" s="54">
        <f t="shared" si="1"/>
        <v>332436.375</v>
      </c>
      <c r="I47" s="52">
        <v>-18364.32</v>
      </c>
      <c r="J47" s="52">
        <v>-36306.810000000005</v>
      </c>
      <c r="K47" s="54">
        <f t="shared" si="2"/>
        <v>-27335.565000000002</v>
      </c>
      <c r="L47" s="52">
        <v>-37719.450000000004</v>
      </c>
      <c r="M47" s="52">
        <v>-54013.86</v>
      </c>
      <c r="N47" s="54">
        <f t="shared" si="3"/>
        <v>-45866.654999999999</v>
      </c>
    </row>
    <row r="48" spans="1:14" x14ac:dyDescent="0.3">
      <c r="A48" s="2">
        <v>35.6</v>
      </c>
      <c r="B48" s="2">
        <v>46</v>
      </c>
      <c r="C48" s="14">
        <v>362714.94</v>
      </c>
      <c r="D48" s="14">
        <v>427794.48000000004</v>
      </c>
      <c r="E48" s="54">
        <f t="shared" si="0"/>
        <v>395254.71</v>
      </c>
      <c r="F48" s="52">
        <v>355308.39</v>
      </c>
      <c r="G48" s="52">
        <v>315970.29000000004</v>
      </c>
      <c r="H48" s="54">
        <f t="shared" si="1"/>
        <v>335639.34</v>
      </c>
      <c r="I48" s="52">
        <v>-25790.49</v>
      </c>
      <c r="J48" s="52">
        <v>-43546.590000000004</v>
      </c>
      <c r="K48" s="54">
        <f t="shared" si="2"/>
        <v>-34668.54</v>
      </c>
      <c r="L48" s="52">
        <v>-41398.200000000004</v>
      </c>
      <c r="M48" s="52">
        <v>-57486.600000000006</v>
      </c>
      <c r="N48" s="54">
        <f t="shared" si="3"/>
        <v>-49442.400000000009</v>
      </c>
    </row>
    <row r="49" spans="1:14" x14ac:dyDescent="0.3">
      <c r="A49" s="2">
        <v>36.4</v>
      </c>
      <c r="B49" s="2">
        <v>47</v>
      </c>
      <c r="C49" s="14">
        <v>372750.57</v>
      </c>
      <c r="D49" s="14">
        <v>439026.93000000005</v>
      </c>
      <c r="E49" s="54">
        <f t="shared" si="0"/>
        <v>405888.75</v>
      </c>
      <c r="F49" s="52">
        <v>358584.93</v>
      </c>
      <c r="G49" s="52">
        <v>319089.87</v>
      </c>
      <c r="H49" s="54">
        <f t="shared" si="1"/>
        <v>338837.4</v>
      </c>
      <c r="I49" s="52">
        <v>-33216.660000000003</v>
      </c>
      <c r="J49" s="52">
        <v>-50796.18</v>
      </c>
      <c r="K49" s="54">
        <f t="shared" si="2"/>
        <v>-42006.42</v>
      </c>
      <c r="L49" s="52">
        <v>-45067.14</v>
      </c>
      <c r="M49" s="52">
        <v>-60949.530000000006</v>
      </c>
      <c r="N49" s="54">
        <f t="shared" si="3"/>
        <v>-53008.335000000006</v>
      </c>
    </row>
    <row r="50" spans="1:14" x14ac:dyDescent="0.3">
      <c r="A50" s="2">
        <v>37.200000000000003</v>
      </c>
      <c r="B50" s="2">
        <v>48</v>
      </c>
      <c r="C50" s="14">
        <v>382786.2</v>
      </c>
      <c r="D50" s="14">
        <v>450239.76</v>
      </c>
      <c r="E50" s="54">
        <f t="shared" si="0"/>
        <v>416512.98</v>
      </c>
      <c r="F50" s="52">
        <v>361410.21</v>
      </c>
      <c r="G50" s="52">
        <v>321807.24</v>
      </c>
      <c r="H50" s="54">
        <f t="shared" si="1"/>
        <v>341608.72499999998</v>
      </c>
      <c r="I50" s="52">
        <v>-40417.200000000004</v>
      </c>
      <c r="J50" s="52">
        <v>-57771.090000000004</v>
      </c>
      <c r="K50" s="54">
        <f t="shared" si="2"/>
        <v>-49094.145000000004</v>
      </c>
      <c r="L50" s="52">
        <v>-47696.22</v>
      </c>
      <c r="M50" s="52">
        <v>-63323.55</v>
      </c>
      <c r="N50" s="54">
        <f t="shared" si="3"/>
        <v>-55509.885000000002</v>
      </c>
    </row>
    <row r="51" spans="1:14" x14ac:dyDescent="0.3">
      <c r="A51" s="2">
        <v>38</v>
      </c>
      <c r="B51" s="2">
        <v>49</v>
      </c>
      <c r="C51" s="14">
        <v>392782.59</v>
      </c>
      <c r="D51" s="14">
        <v>461383.92000000004</v>
      </c>
      <c r="E51" s="54">
        <f t="shared" si="0"/>
        <v>427083.255</v>
      </c>
      <c r="F51" s="52">
        <v>363431.07</v>
      </c>
      <c r="G51" s="52">
        <v>323808.48000000004</v>
      </c>
      <c r="H51" s="54">
        <f t="shared" si="1"/>
        <v>343619.77500000002</v>
      </c>
      <c r="I51" s="52">
        <v>-47372.490000000005</v>
      </c>
      <c r="J51" s="52">
        <v>-64461.51</v>
      </c>
      <c r="K51" s="54">
        <f t="shared" si="2"/>
        <v>-55917</v>
      </c>
      <c r="L51" s="52">
        <v>-49099.05</v>
      </c>
      <c r="M51" s="52">
        <v>-64441.890000000007</v>
      </c>
      <c r="N51" s="54">
        <f t="shared" si="3"/>
        <v>-56770.47</v>
      </c>
    </row>
    <row r="52" spans="1:14" x14ac:dyDescent="0.3">
      <c r="A52" s="2">
        <v>38.799999999999997</v>
      </c>
      <c r="B52" s="2">
        <v>50</v>
      </c>
      <c r="C52" s="14">
        <v>402749.55000000005</v>
      </c>
      <c r="D52" s="14">
        <v>472518.27</v>
      </c>
      <c r="E52" s="54">
        <f t="shared" si="0"/>
        <v>437633.91000000003</v>
      </c>
      <c r="F52" s="52">
        <v>365442.12</v>
      </c>
      <c r="G52" s="52">
        <v>325809.72000000003</v>
      </c>
      <c r="H52" s="54">
        <f t="shared" si="1"/>
        <v>345625.92000000004</v>
      </c>
      <c r="I52" s="52">
        <v>-54053.100000000006</v>
      </c>
      <c r="J52" s="52">
        <v>-70818.39</v>
      </c>
      <c r="K52" s="54">
        <f t="shared" si="2"/>
        <v>-62435.745000000003</v>
      </c>
      <c r="L52" s="52">
        <v>-48961.71</v>
      </c>
      <c r="M52" s="52">
        <v>-63961.200000000004</v>
      </c>
      <c r="N52" s="54">
        <f t="shared" si="3"/>
        <v>-56461.455000000002</v>
      </c>
    </row>
    <row r="53" spans="1:14" x14ac:dyDescent="0.3">
      <c r="A53" s="2">
        <v>39.6</v>
      </c>
      <c r="B53" s="2">
        <v>51</v>
      </c>
      <c r="C53" s="14">
        <v>412667.46</v>
      </c>
      <c r="D53" s="14">
        <v>483603.57</v>
      </c>
      <c r="E53" s="54">
        <f t="shared" si="0"/>
        <v>448135.51500000001</v>
      </c>
      <c r="F53" s="52">
        <v>366952.86000000004</v>
      </c>
      <c r="G53" s="52">
        <v>327359.7</v>
      </c>
      <c r="H53" s="54">
        <f t="shared" si="1"/>
        <v>347156.28</v>
      </c>
      <c r="I53" s="52">
        <v>-60733.710000000006</v>
      </c>
      <c r="J53" s="52">
        <v>-77175.27</v>
      </c>
      <c r="K53" s="54">
        <f t="shared" si="2"/>
        <v>-68954.490000000005</v>
      </c>
      <c r="L53" s="52">
        <v>-48824.37</v>
      </c>
      <c r="M53" s="52">
        <v>-63480.51</v>
      </c>
      <c r="N53" s="54">
        <f t="shared" si="3"/>
        <v>-56152.44</v>
      </c>
    </row>
    <row r="54" spans="1:14" x14ac:dyDescent="0.3">
      <c r="A54" s="2">
        <v>40.4</v>
      </c>
      <c r="B54" s="2">
        <v>52</v>
      </c>
      <c r="C54" s="14">
        <v>422487.27</v>
      </c>
      <c r="D54" s="14">
        <v>494571.15</v>
      </c>
      <c r="E54" s="54">
        <f t="shared" si="0"/>
        <v>458529.21</v>
      </c>
      <c r="F54" s="52">
        <v>367786.71</v>
      </c>
      <c r="G54" s="52">
        <v>328301.46000000002</v>
      </c>
      <c r="H54" s="54">
        <f t="shared" si="1"/>
        <v>348044.08500000002</v>
      </c>
      <c r="I54" s="52">
        <v>-67100.400000000009</v>
      </c>
      <c r="J54" s="52">
        <v>-83169.180000000008</v>
      </c>
      <c r="K54" s="54">
        <f t="shared" si="2"/>
        <v>-75134.790000000008</v>
      </c>
      <c r="L54" s="52">
        <v>-46911.420000000006</v>
      </c>
      <c r="M54" s="52">
        <v>-61175.16</v>
      </c>
      <c r="N54" s="54">
        <f t="shared" si="3"/>
        <v>-54043.290000000008</v>
      </c>
    </row>
    <row r="55" spans="1:14" x14ac:dyDescent="0.3">
      <c r="A55" s="2">
        <v>41.2</v>
      </c>
      <c r="B55" s="2">
        <v>53</v>
      </c>
      <c r="C55" s="14">
        <v>432218.79000000004</v>
      </c>
      <c r="D55" s="14">
        <v>505440.63</v>
      </c>
      <c r="E55" s="54">
        <f t="shared" si="0"/>
        <v>468829.71</v>
      </c>
      <c r="F55" s="52">
        <v>368149.68</v>
      </c>
      <c r="G55" s="52">
        <v>328811.58</v>
      </c>
      <c r="H55" s="54">
        <f t="shared" si="1"/>
        <v>348480.63</v>
      </c>
      <c r="I55" s="52">
        <v>-73349.37000000001</v>
      </c>
      <c r="J55" s="52">
        <v>-89015.94</v>
      </c>
      <c r="K55" s="54">
        <f t="shared" si="2"/>
        <v>-81182.654999999999</v>
      </c>
      <c r="L55" s="52">
        <v>-44233.29</v>
      </c>
      <c r="M55" s="52">
        <v>-58075.200000000004</v>
      </c>
      <c r="N55" s="54">
        <f t="shared" si="3"/>
        <v>-51154.245000000003</v>
      </c>
    </row>
    <row r="56" spans="1:14" x14ac:dyDescent="0.3">
      <c r="A56" s="2">
        <v>42</v>
      </c>
      <c r="B56" s="2">
        <v>54</v>
      </c>
      <c r="C56" s="14">
        <v>441881.64</v>
      </c>
      <c r="D56" s="14">
        <v>516251.25</v>
      </c>
      <c r="E56" s="54">
        <f t="shared" si="0"/>
        <v>479066.44500000001</v>
      </c>
      <c r="F56" s="52">
        <v>368179.11000000004</v>
      </c>
      <c r="G56" s="52">
        <v>329027.40000000002</v>
      </c>
      <c r="H56" s="54">
        <f t="shared" si="1"/>
        <v>348603.255</v>
      </c>
      <c r="I56" s="52">
        <v>-79284.42</v>
      </c>
      <c r="J56" s="52">
        <v>-94489.919999999998</v>
      </c>
      <c r="K56" s="54">
        <f t="shared" si="2"/>
        <v>-86887.17</v>
      </c>
      <c r="L56" s="52">
        <v>-39485.25</v>
      </c>
      <c r="M56" s="52">
        <v>-52846.47</v>
      </c>
      <c r="N56" s="54">
        <f t="shared" si="3"/>
        <v>-46165.86</v>
      </c>
    </row>
    <row r="57" spans="1:14" x14ac:dyDescent="0.3">
      <c r="A57" s="2">
        <v>42.8</v>
      </c>
      <c r="B57" s="2">
        <v>55</v>
      </c>
      <c r="C57" s="14">
        <v>451377.72000000003</v>
      </c>
      <c r="D57" s="14">
        <v>526865.67000000004</v>
      </c>
      <c r="E57" s="54">
        <f t="shared" si="0"/>
        <v>489121.69500000007</v>
      </c>
      <c r="F57" s="52">
        <v>367433.55000000005</v>
      </c>
      <c r="G57" s="52">
        <v>328536.90000000002</v>
      </c>
      <c r="H57" s="54">
        <f t="shared" si="1"/>
        <v>347985.22500000003</v>
      </c>
      <c r="I57" s="52">
        <v>-85209.66</v>
      </c>
      <c r="J57" s="52">
        <v>-99954.090000000011</v>
      </c>
      <c r="K57" s="54">
        <f t="shared" si="2"/>
        <v>-92581.875</v>
      </c>
      <c r="L57" s="52">
        <v>-34727.4</v>
      </c>
      <c r="M57" s="52">
        <v>-47607.93</v>
      </c>
      <c r="N57" s="54">
        <f t="shared" si="3"/>
        <v>-41167.665000000001</v>
      </c>
    </row>
    <row r="58" spans="1:14" x14ac:dyDescent="0.3">
      <c r="A58" s="2">
        <v>43.6</v>
      </c>
      <c r="B58" s="2">
        <v>56</v>
      </c>
      <c r="C58" s="14">
        <v>460775.7</v>
      </c>
      <c r="D58" s="14">
        <v>537381.99</v>
      </c>
      <c r="E58" s="54">
        <f t="shared" si="0"/>
        <v>499078.84499999997</v>
      </c>
      <c r="F58" s="52">
        <v>366266.16000000003</v>
      </c>
      <c r="G58" s="52">
        <v>327654</v>
      </c>
      <c r="H58" s="54">
        <f t="shared" si="1"/>
        <v>346960.08</v>
      </c>
      <c r="I58" s="52">
        <v>-90899.46</v>
      </c>
      <c r="J58" s="52">
        <v>-105133.77</v>
      </c>
      <c r="K58" s="54">
        <f t="shared" si="2"/>
        <v>-98016.615000000005</v>
      </c>
      <c r="L58" s="52">
        <v>-28321.47</v>
      </c>
      <c r="M58" s="52">
        <v>-40682.07</v>
      </c>
      <c r="N58" s="54">
        <f t="shared" si="3"/>
        <v>-34501.770000000004</v>
      </c>
    </row>
    <row r="59" spans="1:14" x14ac:dyDescent="0.3">
      <c r="A59" s="2">
        <v>44.4</v>
      </c>
      <c r="B59" s="2">
        <v>57</v>
      </c>
      <c r="C59" s="14">
        <v>470065.77</v>
      </c>
      <c r="D59" s="14">
        <v>547790.4</v>
      </c>
      <c r="E59" s="54">
        <f t="shared" si="0"/>
        <v>508928.08500000002</v>
      </c>
      <c r="F59" s="52">
        <v>364696.56</v>
      </c>
      <c r="G59" s="52">
        <v>326408.13</v>
      </c>
      <c r="H59" s="54">
        <f t="shared" si="1"/>
        <v>345552.34499999997</v>
      </c>
      <c r="I59" s="52">
        <v>-96442.11</v>
      </c>
      <c r="J59" s="52">
        <v>-110146.68000000001</v>
      </c>
      <c r="K59" s="54">
        <f t="shared" si="2"/>
        <v>-103294.395</v>
      </c>
      <c r="L59" s="52">
        <v>-20983.59</v>
      </c>
      <c r="M59" s="52">
        <v>-32794.83</v>
      </c>
      <c r="N59" s="54">
        <f t="shared" si="3"/>
        <v>-26889.21</v>
      </c>
    </row>
    <row r="60" spans="1:14" x14ac:dyDescent="0.3">
      <c r="A60" s="2">
        <v>45.2</v>
      </c>
      <c r="B60" s="2">
        <v>58</v>
      </c>
      <c r="C60" s="14">
        <v>479090.97000000003</v>
      </c>
      <c r="D60" s="14">
        <v>557914.32000000007</v>
      </c>
      <c r="E60" s="54">
        <f t="shared" si="0"/>
        <v>518502.64500000002</v>
      </c>
      <c r="F60" s="52">
        <v>362096.91000000003</v>
      </c>
      <c r="G60" s="52">
        <v>324210.69</v>
      </c>
      <c r="H60" s="54">
        <f t="shared" si="1"/>
        <v>343153.80000000005</v>
      </c>
      <c r="I60" s="52">
        <v>-101700.27</v>
      </c>
      <c r="J60" s="52">
        <v>-114806.43000000001</v>
      </c>
      <c r="K60" s="54">
        <f t="shared" si="2"/>
        <v>-108253.35</v>
      </c>
      <c r="L60" s="52">
        <v>-11271.69</v>
      </c>
      <c r="M60" s="52">
        <v>-22484.52</v>
      </c>
      <c r="N60" s="54">
        <f t="shared" si="3"/>
        <v>-16878.105</v>
      </c>
    </row>
    <row r="61" spans="1:14" x14ac:dyDescent="0.3">
      <c r="A61" s="2">
        <v>46</v>
      </c>
      <c r="B61" s="2">
        <v>59</v>
      </c>
      <c r="C61" s="14">
        <v>488096.55000000005</v>
      </c>
      <c r="D61" s="14">
        <v>568048.05000000005</v>
      </c>
      <c r="E61" s="54">
        <f t="shared" si="0"/>
        <v>528072.30000000005</v>
      </c>
      <c r="F61" s="52">
        <v>359487.45</v>
      </c>
      <c r="G61" s="52">
        <v>322013.25</v>
      </c>
      <c r="H61" s="54">
        <f t="shared" si="1"/>
        <v>340750.35</v>
      </c>
      <c r="I61" s="52">
        <v>-106958.43000000001</v>
      </c>
      <c r="J61" s="52">
        <v>-119466.18000000001</v>
      </c>
      <c r="K61" s="54">
        <f t="shared" si="2"/>
        <v>-113212.30500000001</v>
      </c>
      <c r="L61" s="52">
        <v>-1559.7900000000002</v>
      </c>
      <c r="M61" s="52">
        <v>-12164.400000000001</v>
      </c>
      <c r="N61" s="54">
        <f t="shared" si="3"/>
        <v>-6862.0950000000012</v>
      </c>
    </row>
    <row r="62" spans="1:14" x14ac:dyDescent="0.3">
      <c r="A62" s="2">
        <v>46.8</v>
      </c>
      <c r="B62" s="2">
        <v>60</v>
      </c>
      <c r="C62" s="14">
        <v>496974.60000000003</v>
      </c>
      <c r="D62" s="14">
        <v>577995.39</v>
      </c>
      <c r="E62" s="54">
        <f t="shared" si="0"/>
        <v>537484.995</v>
      </c>
      <c r="F62" s="52">
        <v>356191.29000000004</v>
      </c>
      <c r="G62" s="52">
        <v>319178.16000000003</v>
      </c>
      <c r="H62" s="54">
        <f t="shared" si="1"/>
        <v>337684.72500000003</v>
      </c>
      <c r="I62" s="52">
        <v>-112020.39</v>
      </c>
      <c r="J62" s="52">
        <v>-123900.3</v>
      </c>
      <c r="K62" s="54">
        <f t="shared" si="2"/>
        <v>-117960.345</v>
      </c>
      <c r="L62" s="52">
        <v>9849.24</v>
      </c>
      <c r="M62" s="52">
        <v>-107.91000000000001</v>
      </c>
      <c r="N62" s="54">
        <f t="shared" si="3"/>
        <v>4870.665</v>
      </c>
    </row>
    <row r="63" spans="1:14" x14ac:dyDescent="0.3">
      <c r="A63" s="2">
        <v>47.6</v>
      </c>
      <c r="B63" s="2">
        <v>61</v>
      </c>
      <c r="C63" s="14">
        <v>505636.83</v>
      </c>
      <c r="D63" s="14">
        <v>587746.53</v>
      </c>
      <c r="E63" s="54">
        <f t="shared" si="0"/>
        <v>546691.68000000005</v>
      </c>
      <c r="F63" s="52">
        <v>352208.43</v>
      </c>
      <c r="G63" s="52">
        <v>315705.42000000004</v>
      </c>
      <c r="H63" s="54">
        <f t="shared" si="1"/>
        <v>333956.92500000005</v>
      </c>
      <c r="I63" s="52">
        <v>-116954.82</v>
      </c>
      <c r="J63" s="52">
        <v>-128177.46</v>
      </c>
      <c r="K63" s="54">
        <f t="shared" si="2"/>
        <v>-122566.14000000001</v>
      </c>
      <c r="L63" s="52">
        <v>22406.04</v>
      </c>
      <c r="M63" s="52">
        <v>13135.59</v>
      </c>
      <c r="N63" s="54">
        <f t="shared" si="3"/>
        <v>17770.815000000002</v>
      </c>
    </row>
    <row r="64" spans="1:14" x14ac:dyDescent="0.3">
      <c r="A64" s="2">
        <v>48.4</v>
      </c>
      <c r="B64" s="2">
        <v>62</v>
      </c>
      <c r="C64" s="14">
        <v>514083.24000000005</v>
      </c>
      <c r="D64" s="14">
        <v>597272.04</v>
      </c>
      <c r="E64" s="54">
        <f t="shared" si="0"/>
        <v>555677.64</v>
      </c>
      <c r="F64" s="52">
        <v>347480.01</v>
      </c>
      <c r="G64" s="52">
        <v>311545.98000000004</v>
      </c>
      <c r="H64" s="54">
        <f t="shared" si="1"/>
        <v>329512.995</v>
      </c>
      <c r="I64" s="52">
        <v>-121644</v>
      </c>
      <c r="J64" s="52">
        <v>-132140.70000000001</v>
      </c>
      <c r="K64" s="54">
        <f t="shared" si="2"/>
        <v>-126892.35</v>
      </c>
      <c r="L64" s="52">
        <v>37287.810000000005</v>
      </c>
      <c r="M64" s="52">
        <v>28733.49</v>
      </c>
      <c r="N64" s="54">
        <f t="shared" si="3"/>
        <v>33010.65</v>
      </c>
    </row>
    <row r="65" spans="1:14" x14ac:dyDescent="0.3">
      <c r="A65" s="2">
        <v>49.2</v>
      </c>
      <c r="B65" s="2">
        <v>63</v>
      </c>
      <c r="C65" s="14">
        <v>522529.65</v>
      </c>
      <c r="D65" s="14">
        <v>606797.55000000005</v>
      </c>
      <c r="E65" s="54">
        <f t="shared" si="0"/>
        <v>564663.60000000009</v>
      </c>
      <c r="F65" s="52">
        <v>342751.59</v>
      </c>
      <c r="G65" s="52">
        <v>307386.54000000004</v>
      </c>
      <c r="H65" s="54">
        <f t="shared" si="1"/>
        <v>325069.06500000006</v>
      </c>
      <c r="I65" s="52">
        <v>-126333.18000000001</v>
      </c>
      <c r="J65" s="52">
        <v>-136113.75</v>
      </c>
      <c r="K65" s="54">
        <f t="shared" si="2"/>
        <v>-131223.465</v>
      </c>
      <c r="L65" s="52">
        <v>52169.58</v>
      </c>
      <c r="M65" s="52">
        <v>44341.200000000004</v>
      </c>
      <c r="N65" s="54">
        <f t="shared" si="3"/>
        <v>48255.39</v>
      </c>
    </row>
    <row r="66" spans="1:14" x14ac:dyDescent="0.3">
      <c r="A66" s="2">
        <v>50</v>
      </c>
      <c r="B66" s="2">
        <v>64</v>
      </c>
      <c r="C66" s="14">
        <v>530681.76</v>
      </c>
      <c r="D66" s="14">
        <v>615999.33000000007</v>
      </c>
      <c r="E66" s="54">
        <f t="shared" ref="E66:E129" si="4">(C66+D66)/2</f>
        <v>573340.54500000004</v>
      </c>
      <c r="F66" s="52">
        <v>337022.55</v>
      </c>
      <c r="G66" s="52">
        <v>302295.15000000002</v>
      </c>
      <c r="H66" s="54">
        <f t="shared" ref="H66:H129" si="5">(F66+G66)/2</f>
        <v>319658.84999999998</v>
      </c>
      <c r="I66" s="52">
        <v>-130777.11</v>
      </c>
      <c r="J66" s="52">
        <v>-139792.5</v>
      </c>
      <c r="K66" s="54">
        <f t="shared" ref="K66:K129" si="6">(I66+J66)/2</f>
        <v>-135284.80499999999</v>
      </c>
      <c r="L66" s="52">
        <v>69337.08</v>
      </c>
      <c r="M66" s="52">
        <v>62283.69</v>
      </c>
      <c r="N66" s="54">
        <f t="shared" ref="N66:N129" si="7">(L66+M66)/2</f>
        <v>65810.385000000009</v>
      </c>
    </row>
    <row r="67" spans="1:14" x14ac:dyDescent="0.3">
      <c r="A67" s="2">
        <v>50.8</v>
      </c>
      <c r="B67" s="2">
        <v>65</v>
      </c>
      <c r="C67" s="14">
        <v>538588.62</v>
      </c>
      <c r="D67" s="14">
        <v>624926.43000000005</v>
      </c>
      <c r="E67" s="54">
        <f t="shared" si="4"/>
        <v>581757.52500000002</v>
      </c>
      <c r="F67" s="52">
        <v>330479.28000000003</v>
      </c>
      <c r="G67" s="52">
        <v>296448.39</v>
      </c>
      <c r="H67" s="54">
        <f t="shared" si="5"/>
        <v>313463.83500000002</v>
      </c>
      <c r="I67" s="52">
        <v>-135103.32</v>
      </c>
      <c r="J67" s="52">
        <v>-143333.91</v>
      </c>
      <c r="K67" s="54">
        <f t="shared" si="6"/>
        <v>-139218.61499999999</v>
      </c>
      <c r="L67" s="52">
        <v>87603.3</v>
      </c>
      <c r="M67" s="52">
        <v>81344.52</v>
      </c>
      <c r="N67" s="54">
        <f t="shared" si="7"/>
        <v>84473.91</v>
      </c>
    </row>
    <row r="68" spans="1:14" x14ac:dyDescent="0.3">
      <c r="A68" s="2">
        <v>51.6</v>
      </c>
      <c r="B68" s="2">
        <v>66</v>
      </c>
      <c r="C68" s="14">
        <v>546250.23</v>
      </c>
      <c r="D68" s="14">
        <v>633686.76</v>
      </c>
      <c r="E68" s="54">
        <f t="shared" si="4"/>
        <v>589968.495</v>
      </c>
      <c r="F68" s="52">
        <v>323465.13</v>
      </c>
      <c r="G68" s="52">
        <v>290160.18</v>
      </c>
      <c r="H68" s="54">
        <f t="shared" si="5"/>
        <v>306812.65500000003</v>
      </c>
      <c r="I68" s="52">
        <v>-139154.85</v>
      </c>
      <c r="J68" s="52">
        <v>-146541.78</v>
      </c>
      <c r="K68" s="54">
        <f t="shared" si="6"/>
        <v>-142848.315</v>
      </c>
      <c r="L68" s="52">
        <v>108469.17</v>
      </c>
      <c r="M68" s="52">
        <v>103054.05</v>
      </c>
      <c r="N68" s="54">
        <f t="shared" si="7"/>
        <v>105761.61</v>
      </c>
    </row>
    <row r="69" spans="1:14" x14ac:dyDescent="0.3">
      <c r="A69" s="2">
        <v>52.4</v>
      </c>
      <c r="B69" s="2">
        <v>67</v>
      </c>
      <c r="C69" s="14">
        <v>553902.03</v>
      </c>
      <c r="D69" s="14">
        <v>642358.80000000005</v>
      </c>
      <c r="E69" s="54">
        <f t="shared" si="4"/>
        <v>598130.41500000004</v>
      </c>
      <c r="F69" s="52">
        <v>316176.3</v>
      </c>
      <c r="G69" s="52">
        <v>283616.91000000003</v>
      </c>
      <c r="H69" s="54">
        <f t="shared" si="5"/>
        <v>299896.60499999998</v>
      </c>
      <c r="I69" s="52">
        <v>-143206.38</v>
      </c>
      <c r="J69" s="52">
        <v>-149749.65</v>
      </c>
      <c r="K69" s="54">
        <f t="shared" si="6"/>
        <v>-146478.01500000001</v>
      </c>
      <c r="L69" s="52">
        <v>129335.04000000001</v>
      </c>
      <c r="M69" s="52">
        <v>124763.58</v>
      </c>
      <c r="N69" s="54">
        <f t="shared" si="7"/>
        <v>127049.31</v>
      </c>
    </row>
    <row r="70" spans="1:14" x14ac:dyDescent="0.3">
      <c r="A70" s="2">
        <v>53.2</v>
      </c>
      <c r="B70" s="2">
        <v>68</v>
      </c>
      <c r="C70" s="14">
        <v>561190.86</v>
      </c>
      <c r="D70" s="14">
        <v>650716.92000000004</v>
      </c>
      <c r="E70" s="54">
        <f t="shared" si="4"/>
        <v>605953.89</v>
      </c>
      <c r="F70" s="52">
        <v>308024.19</v>
      </c>
      <c r="G70" s="52">
        <v>276269.22000000003</v>
      </c>
      <c r="H70" s="54">
        <f t="shared" si="5"/>
        <v>292146.70500000002</v>
      </c>
      <c r="I70" s="52">
        <v>-147071.52000000002</v>
      </c>
      <c r="J70" s="52">
        <v>-152731.89000000001</v>
      </c>
      <c r="K70" s="54">
        <f t="shared" si="6"/>
        <v>-149901.70500000002</v>
      </c>
      <c r="L70" s="52">
        <v>151986.33000000002</v>
      </c>
      <c r="M70" s="52">
        <v>148307.58000000002</v>
      </c>
      <c r="N70" s="54">
        <f t="shared" si="7"/>
        <v>150146.95500000002</v>
      </c>
    </row>
    <row r="71" spans="1:14" x14ac:dyDescent="0.3">
      <c r="A71" s="2">
        <v>54</v>
      </c>
      <c r="B71" s="2">
        <v>69</v>
      </c>
      <c r="C71" s="14">
        <v>568254.06000000006</v>
      </c>
      <c r="D71" s="14">
        <v>658810.17000000004</v>
      </c>
      <c r="E71" s="54">
        <f t="shared" si="4"/>
        <v>613532.11499999999</v>
      </c>
      <c r="F71" s="52">
        <v>299175.57</v>
      </c>
      <c r="G71" s="52">
        <v>268254.45</v>
      </c>
      <c r="H71" s="54">
        <f t="shared" si="5"/>
        <v>283715.01</v>
      </c>
      <c r="I71" s="52">
        <v>-150750.27000000002</v>
      </c>
      <c r="J71" s="52">
        <v>-155508.12</v>
      </c>
      <c r="K71" s="54">
        <f t="shared" si="6"/>
        <v>-153129.19500000001</v>
      </c>
      <c r="L71" s="52">
        <v>176383.80000000002</v>
      </c>
      <c r="M71" s="52">
        <v>173617.38</v>
      </c>
      <c r="N71" s="54">
        <f t="shared" si="7"/>
        <v>175000.59000000003</v>
      </c>
    </row>
    <row r="72" spans="1:14" x14ac:dyDescent="0.3">
      <c r="A72" s="2">
        <v>54.8</v>
      </c>
      <c r="B72" s="2">
        <v>70</v>
      </c>
      <c r="C72" s="14">
        <v>574905.24</v>
      </c>
      <c r="D72" s="14">
        <v>666560.07000000007</v>
      </c>
      <c r="E72" s="54">
        <f t="shared" si="4"/>
        <v>620732.65500000003</v>
      </c>
      <c r="F72" s="52">
        <v>289463.67000000004</v>
      </c>
      <c r="G72" s="52">
        <v>259435.26</v>
      </c>
      <c r="H72" s="54">
        <f t="shared" si="5"/>
        <v>274449.46500000003</v>
      </c>
      <c r="I72" s="52">
        <v>-154330.92000000001</v>
      </c>
      <c r="J72" s="52">
        <v>-158137.20000000001</v>
      </c>
      <c r="K72" s="54">
        <f t="shared" si="6"/>
        <v>-156234.06</v>
      </c>
      <c r="L72" s="52">
        <v>202802.13</v>
      </c>
      <c r="M72" s="52">
        <v>200977.47</v>
      </c>
      <c r="N72" s="54">
        <f t="shared" si="7"/>
        <v>201889.8</v>
      </c>
    </row>
    <row r="73" spans="1:14" x14ac:dyDescent="0.3">
      <c r="A73" s="2">
        <v>55.6</v>
      </c>
      <c r="B73" s="2">
        <v>71</v>
      </c>
      <c r="C73" s="14">
        <v>581566.23</v>
      </c>
      <c r="D73" s="14">
        <v>674172.63</v>
      </c>
      <c r="E73" s="54">
        <f t="shared" si="4"/>
        <v>627869.42999999993</v>
      </c>
      <c r="F73" s="52">
        <v>279388.79999999999</v>
      </c>
      <c r="G73" s="52">
        <v>250282.53</v>
      </c>
      <c r="H73" s="54">
        <f t="shared" si="5"/>
        <v>264835.66499999998</v>
      </c>
      <c r="I73" s="52">
        <v>-157911.57</v>
      </c>
      <c r="J73" s="52">
        <v>-160756.47</v>
      </c>
      <c r="K73" s="54">
        <f t="shared" si="6"/>
        <v>-159334.02000000002</v>
      </c>
      <c r="L73" s="52">
        <v>229995.45</v>
      </c>
      <c r="M73" s="52">
        <v>229141.98</v>
      </c>
      <c r="N73" s="54">
        <f t="shared" si="7"/>
        <v>229568.71500000003</v>
      </c>
    </row>
    <row r="74" spans="1:14" x14ac:dyDescent="0.3">
      <c r="A74" s="2">
        <v>56.4</v>
      </c>
      <c r="B74" s="2">
        <v>72</v>
      </c>
      <c r="C74" s="14">
        <v>587854.44000000006</v>
      </c>
      <c r="D74" s="14">
        <v>681481.08000000007</v>
      </c>
      <c r="E74" s="54">
        <f t="shared" si="4"/>
        <v>634667.76</v>
      </c>
      <c r="F74" s="52">
        <v>268509.51</v>
      </c>
      <c r="G74" s="52">
        <v>240364.62000000002</v>
      </c>
      <c r="H74" s="54">
        <f t="shared" si="5"/>
        <v>254437.065</v>
      </c>
      <c r="I74" s="52">
        <v>-161433.36000000002</v>
      </c>
      <c r="J74" s="52">
        <v>-163277.64000000001</v>
      </c>
      <c r="K74" s="54">
        <f t="shared" si="6"/>
        <v>-162355.5</v>
      </c>
      <c r="L74" s="52">
        <v>259160.58000000002</v>
      </c>
      <c r="M74" s="52">
        <v>259307.73</v>
      </c>
      <c r="N74" s="54">
        <f t="shared" si="7"/>
        <v>259234.15500000003</v>
      </c>
    </row>
    <row r="75" spans="1:14" x14ac:dyDescent="0.3">
      <c r="A75" s="2">
        <v>57.2</v>
      </c>
      <c r="B75" s="2">
        <v>73</v>
      </c>
      <c r="C75" s="14">
        <v>594181.89</v>
      </c>
      <c r="D75" s="14">
        <v>688799.34000000008</v>
      </c>
      <c r="E75" s="54">
        <f t="shared" si="4"/>
        <v>641490.61499999999</v>
      </c>
      <c r="F75" s="52">
        <v>257237.82</v>
      </c>
      <c r="G75" s="52">
        <v>230073.93000000002</v>
      </c>
      <c r="H75" s="54">
        <f t="shared" si="5"/>
        <v>243655.875</v>
      </c>
      <c r="I75" s="52">
        <v>-165033.63</v>
      </c>
      <c r="J75" s="52">
        <v>-165877.29</v>
      </c>
      <c r="K75" s="54">
        <f t="shared" si="6"/>
        <v>-165455.46000000002</v>
      </c>
      <c r="L75" s="52">
        <v>288953.55</v>
      </c>
      <c r="M75" s="52">
        <v>290101.32</v>
      </c>
      <c r="N75" s="54">
        <f t="shared" si="7"/>
        <v>289527.435</v>
      </c>
    </row>
    <row r="76" spans="1:14" x14ac:dyDescent="0.3">
      <c r="A76" s="2">
        <v>58</v>
      </c>
      <c r="B76" s="2">
        <v>74</v>
      </c>
      <c r="C76" s="14">
        <v>600666.30000000005</v>
      </c>
      <c r="D76" s="14">
        <v>696235.32000000007</v>
      </c>
      <c r="E76" s="54">
        <f t="shared" si="4"/>
        <v>648450.81000000006</v>
      </c>
      <c r="F76" s="52">
        <v>245642.40000000002</v>
      </c>
      <c r="G76" s="52">
        <v>219459.51</v>
      </c>
      <c r="H76" s="54">
        <f t="shared" si="5"/>
        <v>232550.95500000002</v>
      </c>
      <c r="I76" s="52">
        <v>-168810.48</v>
      </c>
      <c r="J76" s="52">
        <v>-168653.52000000002</v>
      </c>
      <c r="K76" s="54">
        <f t="shared" si="6"/>
        <v>-168732</v>
      </c>
      <c r="L76" s="52">
        <v>317137.68</v>
      </c>
      <c r="M76" s="52">
        <v>319286.07</v>
      </c>
      <c r="N76" s="54">
        <f t="shared" si="7"/>
        <v>318211.875</v>
      </c>
    </row>
    <row r="77" spans="1:14" x14ac:dyDescent="0.3">
      <c r="A77" s="2">
        <v>58.8</v>
      </c>
      <c r="B77" s="2">
        <v>75</v>
      </c>
      <c r="C77" s="14">
        <v>607170.33000000007</v>
      </c>
      <c r="D77" s="14">
        <v>703671.3</v>
      </c>
      <c r="E77" s="54">
        <f t="shared" si="4"/>
        <v>655420.81500000006</v>
      </c>
      <c r="F77" s="52">
        <v>233791.92</v>
      </c>
      <c r="G77" s="52">
        <v>208599.84</v>
      </c>
      <c r="H77" s="54">
        <f t="shared" si="5"/>
        <v>221195.88</v>
      </c>
      <c r="I77" s="52">
        <v>-172587.33000000002</v>
      </c>
      <c r="J77" s="52">
        <v>-171419.94</v>
      </c>
      <c r="K77" s="54">
        <f t="shared" si="6"/>
        <v>-172003.63500000001</v>
      </c>
      <c r="L77" s="52">
        <v>345302.19</v>
      </c>
      <c r="M77" s="52">
        <v>348451.2</v>
      </c>
      <c r="N77" s="54">
        <f t="shared" si="7"/>
        <v>346876.69500000001</v>
      </c>
    </row>
    <row r="78" spans="1:14" x14ac:dyDescent="0.3">
      <c r="A78" s="2">
        <v>59.6</v>
      </c>
      <c r="B78" s="2">
        <v>76</v>
      </c>
      <c r="C78" s="14">
        <v>613438.92000000004</v>
      </c>
      <c r="D78" s="14">
        <v>710822.79</v>
      </c>
      <c r="E78" s="54">
        <f t="shared" si="4"/>
        <v>662130.85499999998</v>
      </c>
      <c r="F78" s="52">
        <v>221127.21000000002</v>
      </c>
      <c r="G78" s="52">
        <v>196935.75</v>
      </c>
      <c r="H78" s="54">
        <f t="shared" si="5"/>
        <v>209031.48</v>
      </c>
      <c r="I78" s="52">
        <v>-176334.75</v>
      </c>
      <c r="J78" s="52">
        <v>-174176.55000000002</v>
      </c>
      <c r="K78" s="54">
        <f t="shared" si="6"/>
        <v>-175255.65000000002</v>
      </c>
      <c r="L78" s="52">
        <v>370327.5</v>
      </c>
      <c r="M78" s="52">
        <v>374457.51</v>
      </c>
      <c r="N78" s="54">
        <f t="shared" si="7"/>
        <v>372392.505</v>
      </c>
    </row>
    <row r="79" spans="1:14" x14ac:dyDescent="0.3">
      <c r="A79" s="2">
        <v>60.4</v>
      </c>
      <c r="B79" s="2">
        <v>77</v>
      </c>
      <c r="C79" s="14">
        <v>619364.16</v>
      </c>
      <c r="D79" s="14">
        <v>717581.88</v>
      </c>
      <c r="E79" s="54">
        <f t="shared" si="4"/>
        <v>668473.02</v>
      </c>
      <c r="F79" s="52">
        <v>207618.84</v>
      </c>
      <c r="G79" s="52">
        <v>184418.19</v>
      </c>
      <c r="H79" s="54">
        <f t="shared" si="5"/>
        <v>196018.51500000001</v>
      </c>
      <c r="I79" s="52">
        <v>-180082.17</v>
      </c>
      <c r="J79" s="52">
        <v>-176952.78</v>
      </c>
      <c r="K79" s="54">
        <f t="shared" si="6"/>
        <v>-178517.47500000001</v>
      </c>
      <c r="L79" s="52">
        <v>395352.81</v>
      </c>
      <c r="M79" s="52">
        <v>400463.82</v>
      </c>
      <c r="N79" s="54">
        <f t="shared" si="7"/>
        <v>397908.315</v>
      </c>
    </row>
    <row r="80" spans="1:14" x14ac:dyDescent="0.3">
      <c r="A80" s="2">
        <v>61.2</v>
      </c>
      <c r="B80" s="2">
        <v>78</v>
      </c>
      <c r="C80" s="14">
        <v>625299.21000000008</v>
      </c>
      <c r="D80" s="14">
        <v>724350.78</v>
      </c>
      <c r="E80" s="54">
        <f t="shared" si="4"/>
        <v>674824.99500000011</v>
      </c>
      <c r="F80" s="52">
        <v>194110.47</v>
      </c>
      <c r="G80" s="52">
        <v>171910.44</v>
      </c>
      <c r="H80" s="54">
        <f t="shared" si="5"/>
        <v>183010.45500000002</v>
      </c>
      <c r="I80" s="52">
        <v>-183829.59</v>
      </c>
      <c r="J80" s="52">
        <v>-179719.2</v>
      </c>
      <c r="K80" s="54">
        <f t="shared" si="6"/>
        <v>-181774.39500000002</v>
      </c>
      <c r="L80" s="52">
        <v>418651.56</v>
      </c>
      <c r="M80" s="52">
        <v>424743.57</v>
      </c>
      <c r="N80" s="54">
        <f t="shared" si="7"/>
        <v>421697.565</v>
      </c>
    </row>
    <row r="81" spans="1:14" x14ac:dyDescent="0.3">
      <c r="A81" s="2">
        <v>62</v>
      </c>
      <c r="B81" s="2">
        <v>79</v>
      </c>
      <c r="C81" s="14">
        <v>630792.81000000006</v>
      </c>
      <c r="D81" s="14">
        <v>730580.13</v>
      </c>
      <c r="E81" s="54">
        <f t="shared" si="4"/>
        <v>680686.47</v>
      </c>
      <c r="F81" s="52">
        <v>179356.23</v>
      </c>
      <c r="G81" s="52">
        <v>158156.82</v>
      </c>
      <c r="H81" s="54">
        <f t="shared" si="5"/>
        <v>168756.52500000002</v>
      </c>
      <c r="I81" s="52">
        <v>-187429.86000000002</v>
      </c>
      <c r="J81" s="52">
        <v>-182348.28</v>
      </c>
      <c r="K81" s="54">
        <f t="shared" si="6"/>
        <v>-184889.07</v>
      </c>
      <c r="L81" s="52">
        <v>439105.41000000003</v>
      </c>
      <c r="M81" s="52">
        <v>446139.18000000005</v>
      </c>
      <c r="N81" s="54">
        <f t="shared" si="7"/>
        <v>442622.29500000004</v>
      </c>
    </row>
    <row r="82" spans="1:14" x14ac:dyDescent="0.3">
      <c r="A82" s="2">
        <v>62.8</v>
      </c>
      <c r="B82" s="2">
        <v>80</v>
      </c>
      <c r="C82" s="14">
        <v>636080.4</v>
      </c>
      <c r="D82" s="14">
        <v>736544.61</v>
      </c>
      <c r="E82" s="54">
        <f t="shared" si="4"/>
        <v>686312.505</v>
      </c>
      <c r="F82" s="52">
        <v>164199.78</v>
      </c>
      <c r="G82" s="52">
        <v>143745.93</v>
      </c>
      <c r="H82" s="54">
        <f t="shared" si="5"/>
        <v>153972.85499999998</v>
      </c>
      <c r="I82" s="52">
        <v>-191020.32</v>
      </c>
      <c r="J82" s="52">
        <v>-184977.36000000002</v>
      </c>
      <c r="K82" s="54">
        <f t="shared" si="6"/>
        <v>-187998.84000000003</v>
      </c>
      <c r="L82" s="52">
        <v>459549.45</v>
      </c>
      <c r="M82" s="52">
        <v>467544.60000000003</v>
      </c>
      <c r="N82" s="54">
        <f t="shared" si="7"/>
        <v>463547.02500000002</v>
      </c>
    </row>
    <row r="83" spans="1:14" x14ac:dyDescent="0.3">
      <c r="A83" s="2">
        <v>63.6</v>
      </c>
      <c r="B83" s="2">
        <v>81</v>
      </c>
      <c r="C83" s="14">
        <v>641014.83000000007</v>
      </c>
      <c r="D83" s="14">
        <v>742283.46000000008</v>
      </c>
      <c r="E83" s="54">
        <f t="shared" si="4"/>
        <v>691649.14500000002</v>
      </c>
      <c r="F83" s="52">
        <v>147964.23000000001</v>
      </c>
      <c r="G83" s="52">
        <v>128775.87000000001</v>
      </c>
      <c r="H83" s="54">
        <f t="shared" si="5"/>
        <v>138370.05000000002</v>
      </c>
      <c r="I83" s="52">
        <v>-194394.96000000002</v>
      </c>
      <c r="J83" s="52">
        <v>-187400.43000000002</v>
      </c>
      <c r="K83" s="54">
        <f t="shared" si="6"/>
        <v>-190897.69500000001</v>
      </c>
      <c r="L83" s="52">
        <v>477462.51</v>
      </c>
      <c r="M83" s="52">
        <v>486399.42000000004</v>
      </c>
      <c r="N83" s="54">
        <f t="shared" si="7"/>
        <v>481930.96500000003</v>
      </c>
    </row>
    <row r="84" spans="1:14" x14ac:dyDescent="0.3">
      <c r="A84" s="2">
        <v>64.400000000000006</v>
      </c>
      <c r="B84" s="2">
        <v>82</v>
      </c>
      <c r="C84" s="14">
        <v>645860.97000000009</v>
      </c>
      <c r="D84" s="14">
        <v>747875.16</v>
      </c>
      <c r="E84" s="54">
        <f t="shared" si="4"/>
        <v>696868.06500000006</v>
      </c>
      <c r="F84" s="52">
        <v>131473.62</v>
      </c>
      <c r="G84" s="52">
        <v>113462.46</v>
      </c>
      <c r="H84" s="54">
        <f t="shared" si="5"/>
        <v>122468.04000000001</v>
      </c>
      <c r="I84" s="52">
        <v>-197691.12000000002</v>
      </c>
      <c r="J84" s="52">
        <v>-189754.83000000002</v>
      </c>
      <c r="K84" s="54">
        <f t="shared" si="6"/>
        <v>-193722.97500000003</v>
      </c>
      <c r="L84" s="52">
        <v>494522.10000000003</v>
      </c>
      <c r="M84" s="52">
        <v>504390.96</v>
      </c>
      <c r="N84" s="54">
        <f t="shared" si="7"/>
        <v>499456.53</v>
      </c>
    </row>
    <row r="85" spans="1:14" x14ac:dyDescent="0.3">
      <c r="A85" s="2">
        <v>65.2</v>
      </c>
      <c r="B85" s="2">
        <v>83</v>
      </c>
      <c r="C85" s="14">
        <v>650550.15</v>
      </c>
      <c r="D85" s="14">
        <v>753113.70000000007</v>
      </c>
      <c r="E85" s="54">
        <f t="shared" si="4"/>
        <v>701831.92500000005</v>
      </c>
      <c r="F85" s="52">
        <v>114521.94</v>
      </c>
      <c r="G85" s="52">
        <v>97295.58</v>
      </c>
      <c r="H85" s="54">
        <f t="shared" si="5"/>
        <v>105908.76000000001</v>
      </c>
      <c r="I85" s="52">
        <v>-200712.6</v>
      </c>
      <c r="J85" s="52">
        <v>-191854.17</v>
      </c>
      <c r="K85" s="54">
        <f t="shared" si="6"/>
        <v>-196283.38500000001</v>
      </c>
      <c r="L85" s="52">
        <v>510178.86000000004</v>
      </c>
      <c r="M85" s="52">
        <v>520979.67000000004</v>
      </c>
      <c r="N85" s="54">
        <f t="shared" si="7"/>
        <v>515579.26500000001</v>
      </c>
    </row>
    <row r="86" spans="1:14" x14ac:dyDescent="0.3">
      <c r="A86" s="2">
        <v>66</v>
      </c>
      <c r="B86" s="2">
        <v>84</v>
      </c>
      <c r="C86" s="14">
        <v>654817.5</v>
      </c>
      <c r="D86" s="14">
        <v>758097.18</v>
      </c>
      <c r="E86" s="54">
        <f t="shared" si="4"/>
        <v>706457.34000000008</v>
      </c>
      <c r="F86" s="52">
        <v>96657.930000000008</v>
      </c>
      <c r="G86" s="52">
        <v>80451.81</v>
      </c>
      <c r="H86" s="54">
        <f t="shared" si="5"/>
        <v>88554.87</v>
      </c>
      <c r="I86" s="52">
        <v>-203734.08000000002</v>
      </c>
      <c r="J86" s="52">
        <v>-193943.7</v>
      </c>
      <c r="K86" s="54">
        <f t="shared" si="6"/>
        <v>-198838.89</v>
      </c>
      <c r="L86" s="52">
        <v>524422.98</v>
      </c>
      <c r="M86" s="52">
        <v>536136.12</v>
      </c>
      <c r="N86" s="54">
        <f t="shared" si="7"/>
        <v>530279.55000000005</v>
      </c>
    </row>
    <row r="87" spans="1:14" x14ac:dyDescent="0.3">
      <c r="A87" s="2">
        <v>66.8</v>
      </c>
      <c r="B87" s="2">
        <v>85</v>
      </c>
      <c r="C87" s="14">
        <v>659006.37</v>
      </c>
      <c r="D87" s="14">
        <v>762619.59000000008</v>
      </c>
      <c r="E87" s="54">
        <f t="shared" si="4"/>
        <v>710812.98</v>
      </c>
      <c r="F87" s="52">
        <v>77714.820000000007</v>
      </c>
      <c r="G87" s="52">
        <v>62509.32</v>
      </c>
      <c r="H87" s="54">
        <f t="shared" si="5"/>
        <v>70112.070000000007</v>
      </c>
      <c r="I87" s="52">
        <v>-206471.07</v>
      </c>
      <c r="J87" s="52">
        <v>-195768.36000000002</v>
      </c>
      <c r="K87" s="54">
        <f t="shared" si="6"/>
        <v>-201119.71500000003</v>
      </c>
      <c r="L87" s="52">
        <v>535841.82000000007</v>
      </c>
      <c r="M87" s="52">
        <v>548447.67000000004</v>
      </c>
      <c r="N87" s="54">
        <f t="shared" si="7"/>
        <v>542144.74500000011</v>
      </c>
    </row>
    <row r="88" spans="1:14" x14ac:dyDescent="0.3">
      <c r="A88" s="2">
        <v>67.599999999999994</v>
      </c>
      <c r="B88" s="2">
        <v>86</v>
      </c>
      <c r="C88" s="14">
        <v>662842.08000000007</v>
      </c>
      <c r="D88" s="14">
        <v>767151.81</v>
      </c>
      <c r="E88" s="54">
        <f t="shared" si="4"/>
        <v>714996.94500000007</v>
      </c>
      <c r="F88" s="52">
        <v>58761.9</v>
      </c>
      <c r="G88" s="52">
        <v>44557.020000000004</v>
      </c>
      <c r="H88" s="54">
        <f t="shared" si="5"/>
        <v>51659.460000000006</v>
      </c>
      <c r="I88" s="52">
        <v>-209208.06</v>
      </c>
      <c r="J88" s="52">
        <v>-197593.02000000002</v>
      </c>
      <c r="K88" s="54">
        <f t="shared" si="6"/>
        <v>-203400.54</v>
      </c>
      <c r="L88" s="52">
        <v>547260.66</v>
      </c>
      <c r="M88" s="52">
        <v>560759.22</v>
      </c>
      <c r="N88" s="54">
        <f t="shared" si="7"/>
        <v>554009.93999999994</v>
      </c>
    </row>
    <row r="89" spans="1:14" x14ac:dyDescent="0.3">
      <c r="A89" s="2">
        <v>68.400000000000006</v>
      </c>
      <c r="B89" s="2">
        <v>87</v>
      </c>
      <c r="C89" s="14">
        <v>666579.69000000006</v>
      </c>
      <c r="D89" s="14">
        <v>771321.06</v>
      </c>
      <c r="E89" s="54">
        <f t="shared" si="4"/>
        <v>718950.375</v>
      </c>
      <c r="F89" s="52">
        <v>38965.32</v>
      </c>
      <c r="G89" s="52">
        <v>25712.010000000002</v>
      </c>
      <c r="H89" s="54">
        <f t="shared" si="5"/>
        <v>32338.665000000001</v>
      </c>
      <c r="I89" s="52">
        <v>-211640.94</v>
      </c>
      <c r="J89" s="52">
        <v>-199143</v>
      </c>
      <c r="K89" s="54">
        <f t="shared" si="6"/>
        <v>-205391.97</v>
      </c>
      <c r="L89" s="52">
        <v>556148.52</v>
      </c>
      <c r="M89" s="52">
        <v>570520.17000000004</v>
      </c>
      <c r="N89" s="54">
        <f t="shared" si="7"/>
        <v>563334.34499999997</v>
      </c>
    </row>
    <row r="90" spans="1:14" x14ac:dyDescent="0.3">
      <c r="A90" s="2">
        <v>69.2</v>
      </c>
      <c r="B90" s="2">
        <v>88</v>
      </c>
      <c r="C90" s="14">
        <v>670052.43000000005</v>
      </c>
      <c r="D90" s="14">
        <v>775127.34000000008</v>
      </c>
      <c r="E90" s="54">
        <f t="shared" si="4"/>
        <v>722589.88500000001</v>
      </c>
      <c r="F90" s="52">
        <v>18383.940000000002</v>
      </c>
      <c r="G90" s="52">
        <v>5944.8600000000006</v>
      </c>
      <c r="H90" s="54">
        <f t="shared" si="5"/>
        <v>12164.400000000001</v>
      </c>
      <c r="I90" s="52">
        <v>-214073.82</v>
      </c>
      <c r="J90" s="52">
        <v>-200683.17</v>
      </c>
      <c r="K90" s="54">
        <f t="shared" si="6"/>
        <v>-207378.495</v>
      </c>
      <c r="L90" s="52">
        <v>564173.1</v>
      </c>
      <c r="M90" s="52">
        <v>579417.84000000008</v>
      </c>
      <c r="N90" s="54">
        <f t="shared" si="7"/>
        <v>571795.47</v>
      </c>
    </row>
    <row r="91" spans="1:14" x14ac:dyDescent="0.3">
      <c r="A91" s="2">
        <v>70</v>
      </c>
      <c r="B91" s="2">
        <v>89</v>
      </c>
      <c r="C91" s="14">
        <v>673191.63</v>
      </c>
      <c r="D91" s="14">
        <v>778933.62</v>
      </c>
      <c r="E91" s="54">
        <f t="shared" si="4"/>
        <v>726062.625</v>
      </c>
      <c r="F91" s="52">
        <v>-2727.1800000000003</v>
      </c>
      <c r="G91" s="52">
        <v>-13812.480000000001</v>
      </c>
      <c r="H91" s="54">
        <f t="shared" si="5"/>
        <v>-8269.8300000000017</v>
      </c>
      <c r="I91" s="52">
        <v>-216310.5</v>
      </c>
      <c r="J91" s="52">
        <v>-202036.95</v>
      </c>
      <c r="K91" s="54">
        <f t="shared" si="6"/>
        <v>-209173.72500000001</v>
      </c>
      <c r="L91" s="52">
        <v>570794.85</v>
      </c>
      <c r="M91" s="52">
        <v>586902.87</v>
      </c>
      <c r="N91" s="54">
        <f t="shared" si="7"/>
        <v>578848.86</v>
      </c>
    </row>
    <row r="92" spans="1:14" x14ac:dyDescent="0.3">
      <c r="A92" s="2">
        <v>70.8</v>
      </c>
      <c r="B92" s="2">
        <v>90</v>
      </c>
      <c r="C92" s="14">
        <v>676203.3</v>
      </c>
      <c r="D92" s="14">
        <v>782318.07000000007</v>
      </c>
      <c r="E92" s="54">
        <f t="shared" si="4"/>
        <v>729260.68500000006</v>
      </c>
      <c r="F92" s="52">
        <v>-24368.04</v>
      </c>
      <c r="G92" s="52">
        <v>-34639.11</v>
      </c>
      <c r="H92" s="54">
        <f t="shared" si="5"/>
        <v>-29503.575000000001</v>
      </c>
      <c r="I92" s="52">
        <v>-218439.27000000002</v>
      </c>
      <c r="J92" s="52">
        <v>-203312.25</v>
      </c>
      <c r="K92" s="54">
        <f t="shared" si="6"/>
        <v>-210875.76</v>
      </c>
      <c r="L92" s="52">
        <v>575994.15</v>
      </c>
      <c r="M92" s="52">
        <v>592955.64</v>
      </c>
      <c r="N92" s="54">
        <f t="shared" si="7"/>
        <v>584474.89500000002</v>
      </c>
    </row>
    <row r="93" spans="1:14" x14ac:dyDescent="0.3">
      <c r="A93" s="2">
        <v>71.599999999999994</v>
      </c>
      <c r="B93" s="2">
        <v>91</v>
      </c>
      <c r="C93" s="14">
        <v>679028.58000000007</v>
      </c>
      <c r="D93" s="14">
        <v>785319.93</v>
      </c>
      <c r="E93" s="54">
        <f t="shared" si="4"/>
        <v>732174.25500000012</v>
      </c>
      <c r="F93" s="52">
        <v>-47156.670000000006</v>
      </c>
      <c r="G93" s="52">
        <v>-56446.740000000005</v>
      </c>
      <c r="H93" s="54">
        <f t="shared" si="5"/>
        <v>-51801.705000000002</v>
      </c>
      <c r="I93" s="52">
        <v>-220303.17</v>
      </c>
      <c r="J93" s="52">
        <v>-204332.49000000002</v>
      </c>
      <c r="K93" s="54">
        <f t="shared" si="6"/>
        <v>-212317.83000000002</v>
      </c>
      <c r="L93" s="52">
        <v>578377.98</v>
      </c>
      <c r="M93" s="52">
        <v>596153.70000000007</v>
      </c>
      <c r="N93" s="54">
        <f t="shared" si="7"/>
        <v>587265.84000000008</v>
      </c>
    </row>
    <row r="94" spans="1:14" x14ac:dyDescent="0.3">
      <c r="A94" s="2">
        <v>72.400000000000006</v>
      </c>
      <c r="B94" s="2">
        <v>92</v>
      </c>
      <c r="C94" s="14">
        <v>681451.65</v>
      </c>
      <c r="D94" s="14">
        <v>788184.45000000007</v>
      </c>
      <c r="E94" s="54">
        <f t="shared" si="4"/>
        <v>734818.05</v>
      </c>
      <c r="F94" s="52">
        <v>-70288.650000000009</v>
      </c>
      <c r="G94" s="52">
        <v>-78607.53</v>
      </c>
      <c r="H94" s="54">
        <f t="shared" si="5"/>
        <v>-74448.09</v>
      </c>
      <c r="I94" s="52">
        <v>-222167.07</v>
      </c>
      <c r="J94" s="52">
        <v>-205362.54</v>
      </c>
      <c r="K94" s="54">
        <f t="shared" si="6"/>
        <v>-213764.80499999999</v>
      </c>
      <c r="L94" s="52">
        <v>580761.81000000006</v>
      </c>
      <c r="M94" s="52">
        <v>599361.57000000007</v>
      </c>
      <c r="N94" s="54">
        <f t="shared" si="7"/>
        <v>590061.69000000006</v>
      </c>
    </row>
    <row r="95" spans="1:14" x14ac:dyDescent="0.3">
      <c r="A95" s="2">
        <v>73.2</v>
      </c>
      <c r="B95" s="2">
        <v>93</v>
      </c>
      <c r="C95" s="14">
        <v>683835.48</v>
      </c>
      <c r="D95" s="14">
        <v>790892.01</v>
      </c>
      <c r="E95" s="54">
        <f t="shared" si="4"/>
        <v>737363.745</v>
      </c>
      <c r="F95" s="52">
        <v>-93832.650000000009</v>
      </c>
      <c r="G95" s="52">
        <v>-101180.34000000001</v>
      </c>
      <c r="H95" s="54">
        <f t="shared" si="5"/>
        <v>-97506.49500000001</v>
      </c>
      <c r="I95" s="52">
        <v>-223824.96000000002</v>
      </c>
      <c r="J95" s="52">
        <v>-206196.39</v>
      </c>
      <c r="K95" s="54">
        <f t="shared" si="6"/>
        <v>-215010.67500000002</v>
      </c>
      <c r="L95" s="52">
        <v>580604.85</v>
      </c>
      <c r="M95" s="52">
        <v>600009.03</v>
      </c>
      <c r="N95" s="54">
        <f t="shared" si="7"/>
        <v>590306.93999999994</v>
      </c>
    </row>
    <row r="96" spans="1:14" x14ac:dyDescent="0.3">
      <c r="A96" s="2">
        <v>74</v>
      </c>
      <c r="B96" s="2">
        <v>94</v>
      </c>
      <c r="C96" s="14">
        <v>686013.3</v>
      </c>
      <c r="D96" s="14">
        <v>793285.65</v>
      </c>
      <c r="E96" s="54">
        <f t="shared" si="4"/>
        <v>739649.47500000009</v>
      </c>
      <c r="F96" s="52">
        <v>-118151.64</v>
      </c>
      <c r="G96" s="52">
        <v>-124537.95000000001</v>
      </c>
      <c r="H96" s="54">
        <f t="shared" si="5"/>
        <v>-121344.79500000001</v>
      </c>
      <c r="I96" s="52">
        <v>-225414.18000000002</v>
      </c>
      <c r="J96" s="52">
        <v>-206961.57</v>
      </c>
      <c r="K96" s="54">
        <f t="shared" si="6"/>
        <v>-216187.875</v>
      </c>
      <c r="L96" s="52">
        <v>579594.42000000004</v>
      </c>
      <c r="M96" s="52">
        <v>599783.4</v>
      </c>
      <c r="N96" s="54">
        <f t="shared" si="7"/>
        <v>589688.91</v>
      </c>
    </row>
    <row r="97" spans="1:14" x14ac:dyDescent="0.3">
      <c r="A97" s="2">
        <v>74.8</v>
      </c>
      <c r="B97" s="2">
        <v>95</v>
      </c>
      <c r="C97" s="14">
        <v>687788.91</v>
      </c>
      <c r="D97" s="14">
        <v>795277.08000000007</v>
      </c>
      <c r="E97" s="54">
        <f t="shared" si="4"/>
        <v>741532.99500000011</v>
      </c>
      <c r="F97" s="52">
        <v>-143510.49000000002</v>
      </c>
      <c r="G97" s="52">
        <v>-148945.23000000001</v>
      </c>
      <c r="H97" s="54">
        <f t="shared" si="5"/>
        <v>-146227.86000000002</v>
      </c>
      <c r="I97" s="52">
        <v>-226738.53</v>
      </c>
      <c r="J97" s="52">
        <v>-207491.31</v>
      </c>
      <c r="K97" s="54">
        <f t="shared" si="6"/>
        <v>-217114.91999999998</v>
      </c>
      <c r="L97" s="52">
        <v>577181.16</v>
      </c>
      <c r="M97" s="52">
        <v>598164.75</v>
      </c>
      <c r="N97" s="54">
        <f t="shared" si="7"/>
        <v>587672.95500000007</v>
      </c>
    </row>
    <row r="98" spans="1:14" x14ac:dyDescent="0.3">
      <c r="A98" s="2">
        <v>75.599999999999994</v>
      </c>
      <c r="B98" s="2">
        <v>96</v>
      </c>
      <c r="C98" s="14">
        <v>689466.42</v>
      </c>
      <c r="D98" s="14">
        <v>797248.89</v>
      </c>
      <c r="E98" s="54">
        <f t="shared" si="4"/>
        <v>743357.65500000003</v>
      </c>
      <c r="F98" s="52">
        <v>-168918.39</v>
      </c>
      <c r="G98" s="52">
        <v>-173411.37</v>
      </c>
      <c r="H98" s="54">
        <f t="shared" si="5"/>
        <v>-171164.88</v>
      </c>
      <c r="I98" s="52">
        <v>-228062.88</v>
      </c>
      <c r="J98" s="52">
        <v>-208021.05000000002</v>
      </c>
      <c r="K98" s="54">
        <f t="shared" si="6"/>
        <v>-218041.96500000003</v>
      </c>
      <c r="L98" s="52">
        <v>573345.45000000007</v>
      </c>
      <c r="M98" s="52">
        <v>595094.22</v>
      </c>
      <c r="N98" s="54">
        <f t="shared" si="7"/>
        <v>584219.83499999996</v>
      </c>
    </row>
    <row r="99" spans="1:14" x14ac:dyDescent="0.3">
      <c r="A99" s="2">
        <v>76.400000000000006</v>
      </c>
      <c r="B99" s="2">
        <v>97</v>
      </c>
      <c r="C99" s="14">
        <v>691006.59000000008</v>
      </c>
      <c r="D99" s="14">
        <v>798769.44000000006</v>
      </c>
      <c r="E99" s="54">
        <f t="shared" si="4"/>
        <v>744888.01500000013</v>
      </c>
      <c r="F99" s="52">
        <v>-195356.34</v>
      </c>
      <c r="G99" s="52">
        <v>-199084.14</v>
      </c>
      <c r="H99" s="54">
        <f t="shared" si="5"/>
        <v>-197220.24</v>
      </c>
      <c r="I99" s="52">
        <v>-229161.60000000001</v>
      </c>
      <c r="J99" s="52">
        <v>-208305.54</v>
      </c>
      <c r="K99" s="54">
        <f t="shared" si="6"/>
        <v>-218733.57</v>
      </c>
      <c r="L99" s="52">
        <v>567253.44000000006</v>
      </c>
      <c r="M99" s="52">
        <v>589178.79</v>
      </c>
      <c r="N99" s="54">
        <f t="shared" si="7"/>
        <v>578216.11499999999</v>
      </c>
    </row>
    <row r="100" spans="1:14" x14ac:dyDescent="0.3">
      <c r="A100" s="2">
        <v>77.2</v>
      </c>
      <c r="B100" s="2">
        <v>98</v>
      </c>
      <c r="C100" s="14">
        <v>692193.60000000009</v>
      </c>
      <c r="D100" s="14">
        <v>800133.03</v>
      </c>
      <c r="E100" s="54">
        <f t="shared" si="4"/>
        <v>746163.31500000006</v>
      </c>
      <c r="F100" s="52">
        <v>-222510.42</v>
      </c>
      <c r="G100" s="52">
        <v>-225139.5</v>
      </c>
      <c r="H100" s="54">
        <f t="shared" si="5"/>
        <v>-223824.96000000002</v>
      </c>
      <c r="I100" s="52">
        <v>-230162.22</v>
      </c>
      <c r="J100" s="52">
        <v>-208590.03</v>
      </c>
      <c r="K100" s="54">
        <f t="shared" si="6"/>
        <v>-219376.125</v>
      </c>
      <c r="L100" s="52">
        <v>559474.11</v>
      </c>
      <c r="M100" s="52">
        <v>583253.55000000005</v>
      </c>
      <c r="N100" s="54">
        <f t="shared" si="7"/>
        <v>571363.83000000007</v>
      </c>
    </row>
    <row r="101" spans="1:14" x14ac:dyDescent="0.3">
      <c r="A101" s="2">
        <v>78</v>
      </c>
      <c r="B101" s="2">
        <v>99</v>
      </c>
      <c r="C101" s="14">
        <v>693135.35999999999</v>
      </c>
      <c r="D101" s="14">
        <v>801153.27</v>
      </c>
      <c r="E101" s="54">
        <f t="shared" si="4"/>
        <v>747144.31499999994</v>
      </c>
      <c r="F101" s="52">
        <v>-250400.25</v>
      </c>
      <c r="G101" s="52">
        <v>-252107.19</v>
      </c>
      <c r="H101" s="54">
        <f t="shared" si="5"/>
        <v>-251253.72</v>
      </c>
      <c r="I101" s="52">
        <v>-230917.59000000003</v>
      </c>
      <c r="J101" s="52">
        <v>-208609.65000000002</v>
      </c>
      <c r="K101" s="54">
        <f t="shared" si="6"/>
        <v>-219763.62000000002</v>
      </c>
      <c r="L101" s="52">
        <v>551684.97</v>
      </c>
      <c r="M101" s="52">
        <v>574777.71000000008</v>
      </c>
      <c r="N101" s="54">
        <f t="shared" si="7"/>
        <v>563231.34000000008</v>
      </c>
    </row>
    <row r="102" spans="1:14" x14ac:dyDescent="0.3">
      <c r="A102" s="2">
        <v>78.8</v>
      </c>
      <c r="B102" s="2">
        <v>100</v>
      </c>
      <c r="C102" s="14">
        <v>694057.5</v>
      </c>
      <c r="D102" s="14">
        <v>802144.08000000007</v>
      </c>
      <c r="E102" s="54">
        <f t="shared" si="4"/>
        <v>748100.79</v>
      </c>
      <c r="F102" s="52">
        <v>-278348.94</v>
      </c>
      <c r="G102" s="52">
        <v>-279133.74</v>
      </c>
      <c r="H102" s="54">
        <f t="shared" si="5"/>
        <v>-278741.33999999997</v>
      </c>
      <c r="I102" s="52">
        <v>-231672.96000000002</v>
      </c>
      <c r="J102" s="52">
        <v>-208629.27000000002</v>
      </c>
      <c r="K102" s="54">
        <f t="shared" si="6"/>
        <v>-220151.11500000002</v>
      </c>
      <c r="L102" s="52">
        <v>540511.38</v>
      </c>
      <c r="M102" s="52">
        <v>565428.78</v>
      </c>
      <c r="N102" s="54">
        <f t="shared" si="7"/>
        <v>552970.08000000007</v>
      </c>
    </row>
    <row r="103" spans="1:14" x14ac:dyDescent="0.3">
      <c r="A103" s="2">
        <v>79.599999999999994</v>
      </c>
      <c r="B103" s="2">
        <v>101</v>
      </c>
      <c r="C103" s="14">
        <v>694616.67</v>
      </c>
      <c r="D103" s="14">
        <v>802713.06</v>
      </c>
      <c r="E103" s="54">
        <f t="shared" si="4"/>
        <v>748664.86499999999</v>
      </c>
      <c r="F103" s="52">
        <v>-307425.78000000003</v>
      </c>
      <c r="G103" s="52">
        <v>-307308.06</v>
      </c>
      <c r="H103" s="54">
        <f t="shared" si="5"/>
        <v>-307366.92000000004</v>
      </c>
      <c r="I103" s="52">
        <v>-232232.13</v>
      </c>
      <c r="J103" s="52">
        <v>-208462.5</v>
      </c>
      <c r="K103" s="54">
        <f t="shared" si="6"/>
        <v>-220347.315</v>
      </c>
      <c r="L103" s="52">
        <v>529327.98</v>
      </c>
      <c r="M103" s="52">
        <v>554677.02</v>
      </c>
      <c r="N103" s="54">
        <f t="shared" si="7"/>
        <v>542002.5</v>
      </c>
    </row>
    <row r="104" spans="1:14" x14ac:dyDescent="0.3">
      <c r="A104" s="2">
        <v>80.400000000000006</v>
      </c>
      <c r="B104" s="2">
        <v>102</v>
      </c>
      <c r="C104" s="14">
        <v>695018.88</v>
      </c>
      <c r="D104" s="14">
        <v>803115.27</v>
      </c>
      <c r="E104" s="54">
        <f t="shared" si="4"/>
        <v>749067.07499999995</v>
      </c>
      <c r="F104" s="52">
        <v>-336934.26</v>
      </c>
      <c r="G104" s="52">
        <v>-335923.83</v>
      </c>
      <c r="H104" s="54">
        <f t="shared" si="5"/>
        <v>-336429.04500000004</v>
      </c>
      <c r="I104" s="52">
        <v>-232712.82</v>
      </c>
      <c r="J104" s="52">
        <v>-208236.87000000002</v>
      </c>
      <c r="K104" s="54">
        <f t="shared" si="6"/>
        <v>-220474.84500000003</v>
      </c>
      <c r="L104" s="52">
        <v>516467.07</v>
      </c>
      <c r="M104" s="52">
        <v>542483.19000000006</v>
      </c>
      <c r="N104" s="54">
        <f t="shared" si="7"/>
        <v>529475.13</v>
      </c>
    </row>
    <row r="105" spans="1:14" x14ac:dyDescent="0.3">
      <c r="A105" s="2">
        <v>81.2</v>
      </c>
      <c r="B105" s="2">
        <v>103</v>
      </c>
      <c r="C105" s="14">
        <v>695038.5</v>
      </c>
      <c r="D105" s="14">
        <v>803066.22000000009</v>
      </c>
      <c r="E105" s="54">
        <f t="shared" si="4"/>
        <v>749052.3600000001</v>
      </c>
      <c r="F105" s="52">
        <v>-367570.89</v>
      </c>
      <c r="G105" s="52">
        <v>-365687.37</v>
      </c>
      <c r="H105" s="54">
        <f t="shared" si="5"/>
        <v>-366629.13</v>
      </c>
      <c r="I105" s="52">
        <v>-233105.22</v>
      </c>
      <c r="J105" s="52">
        <v>-207952.38</v>
      </c>
      <c r="K105" s="54">
        <f t="shared" si="6"/>
        <v>-220528.8</v>
      </c>
      <c r="L105" s="52">
        <v>500928.03</v>
      </c>
      <c r="M105" s="52">
        <v>527581.80000000005</v>
      </c>
      <c r="N105" s="54">
        <f t="shared" si="7"/>
        <v>514254.91500000004</v>
      </c>
    </row>
    <row r="106" spans="1:14" x14ac:dyDescent="0.3">
      <c r="A106" s="2">
        <v>82</v>
      </c>
      <c r="B106" s="2">
        <v>104</v>
      </c>
      <c r="C106" s="14">
        <v>695048.31</v>
      </c>
      <c r="D106" s="14">
        <v>803017.17</v>
      </c>
      <c r="E106" s="54">
        <f t="shared" si="4"/>
        <v>749032.74</v>
      </c>
      <c r="F106" s="52">
        <v>-398217.33</v>
      </c>
      <c r="G106" s="52">
        <v>-395450.91000000003</v>
      </c>
      <c r="H106" s="54">
        <f t="shared" si="5"/>
        <v>-396834.12</v>
      </c>
      <c r="I106" s="52">
        <v>-233497.62000000002</v>
      </c>
      <c r="J106" s="52">
        <v>-207667.89</v>
      </c>
      <c r="K106" s="54">
        <f t="shared" si="6"/>
        <v>-220582.755</v>
      </c>
      <c r="L106" s="52">
        <v>485379.18000000005</v>
      </c>
      <c r="M106" s="52">
        <v>512690.22000000003</v>
      </c>
      <c r="N106" s="54">
        <f t="shared" si="7"/>
        <v>499034.70000000007</v>
      </c>
    </row>
    <row r="107" spans="1:14" x14ac:dyDescent="0.3">
      <c r="A107" s="2">
        <v>82.8</v>
      </c>
      <c r="B107" s="2">
        <v>105</v>
      </c>
      <c r="C107" s="14">
        <v>694754.01</v>
      </c>
      <c r="D107" s="14">
        <v>802605.15</v>
      </c>
      <c r="E107" s="54">
        <f t="shared" si="4"/>
        <v>748679.58000000007</v>
      </c>
      <c r="F107" s="52">
        <v>-429825.15</v>
      </c>
      <c r="G107" s="52">
        <v>-426205.26</v>
      </c>
      <c r="H107" s="54">
        <f t="shared" si="5"/>
        <v>-428015.20500000002</v>
      </c>
      <c r="I107" s="52">
        <v>-233860.59000000003</v>
      </c>
      <c r="J107" s="52">
        <v>-207373.59</v>
      </c>
      <c r="K107" s="54">
        <f t="shared" si="6"/>
        <v>-220617.09000000003</v>
      </c>
      <c r="L107" s="52">
        <v>467583.84</v>
      </c>
      <c r="M107" s="52">
        <v>495512.91000000003</v>
      </c>
      <c r="N107" s="54">
        <f t="shared" si="7"/>
        <v>481548.375</v>
      </c>
    </row>
    <row r="108" spans="1:14" x14ac:dyDescent="0.3">
      <c r="A108" s="2">
        <v>83.6</v>
      </c>
      <c r="B108" s="2">
        <v>106</v>
      </c>
      <c r="C108" s="14">
        <v>694518.57000000007</v>
      </c>
      <c r="D108" s="14">
        <v>802222.56</v>
      </c>
      <c r="E108" s="54">
        <f t="shared" si="4"/>
        <v>748370.56500000006</v>
      </c>
      <c r="F108" s="52">
        <v>-461403.54000000004</v>
      </c>
      <c r="G108" s="52">
        <v>-456930.18000000005</v>
      </c>
      <c r="H108" s="54">
        <f t="shared" si="5"/>
        <v>-459166.86000000004</v>
      </c>
      <c r="I108" s="52">
        <v>-234341.28</v>
      </c>
      <c r="J108" s="52">
        <v>-207206.82</v>
      </c>
      <c r="K108" s="54">
        <f t="shared" si="6"/>
        <v>-220774.05</v>
      </c>
      <c r="L108" s="52">
        <v>448778.07</v>
      </c>
      <c r="M108" s="52">
        <v>477315.36000000004</v>
      </c>
      <c r="N108" s="54">
        <f t="shared" si="7"/>
        <v>463046.71500000003</v>
      </c>
    </row>
    <row r="109" spans="1:14" x14ac:dyDescent="0.3">
      <c r="A109" s="2">
        <v>84.4</v>
      </c>
      <c r="B109" s="2">
        <v>107</v>
      </c>
      <c r="C109" s="14">
        <v>694489.14</v>
      </c>
      <c r="D109" s="14">
        <v>802006.74</v>
      </c>
      <c r="E109" s="54">
        <f t="shared" si="4"/>
        <v>748247.94</v>
      </c>
      <c r="F109" s="52">
        <v>-491471.19</v>
      </c>
      <c r="G109" s="52">
        <v>-486163.98000000004</v>
      </c>
      <c r="H109" s="54">
        <f t="shared" si="5"/>
        <v>-488817.58500000002</v>
      </c>
      <c r="I109" s="52">
        <v>-235018.17</v>
      </c>
      <c r="J109" s="52">
        <v>-207255.87000000002</v>
      </c>
      <c r="K109" s="54">
        <f t="shared" si="6"/>
        <v>-221137.02000000002</v>
      </c>
      <c r="L109" s="52">
        <v>430158.69</v>
      </c>
      <c r="M109" s="52">
        <v>459274.77</v>
      </c>
      <c r="N109" s="54">
        <f t="shared" si="7"/>
        <v>444716.73</v>
      </c>
    </row>
    <row r="110" spans="1:14" x14ac:dyDescent="0.3">
      <c r="A110" s="2">
        <v>85.2</v>
      </c>
      <c r="B110" s="2">
        <v>108</v>
      </c>
      <c r="C110" s="14">
        <v>694479.33000000007</v>
      </c>
      <c r="D110" s="14">
        <v>801800.7300000001</v>
      </c>
      <c r="E110" s="54">
        <f t="shared" si="4"/>
        <v>748140.03</v>
      </c>
      <c r="F110" s="52">
        <v>-520469.55000000005</v>
      </c>
      <c r="G110" s="52">
        <v>-514338.30000000005</v>
      </c>
      <c r="H110" s="54">
        <f t="shared" si="5"/>
        <v>-517403.92500000005</v>
      </c>
      <c r="I110" s="52">
        <v>-235704.87000000002</v>
      </c>
      <c r="J110" s="52">
        <v>-207334.35</v>
      </c>
      <c r="K110" s="54">
        <f t="shared" si="6"/>
        <v>-221519.61000000002</v>
      </c>
      <c r="L110" s="52">
        <v>412069.05000000005</v>
      </c>
      <c r="M110" s="52">
        <v>441763.92000000004</v>
      </c>
      <c r="N110" s="54">
        <f t="shared" si="7"/>
        <v>426916.48500000004</v>
      </c>
    </row>
    <row r="111" spans="1:14" x14ac:dyDescent="0.3">
      <c r="A111" s="2">
        <v>86</v>
      </c>
      <c r="B111" s="2">
        <v>109</v>
      </c>
      <c r="C111" s="14">
        <v>694312.56</v>
      </c>
      <c r="D111" s="14">
        <v>801359.28</v>
      </c>
      <c r="E111" s="54">
        <f t="shared" si="4"/>
        <v>747835.92</v>
      </c>
      <c r="F111" s="52">
        <v>-547172.37</v>
      </c>
      <c r="G111" s="52">
        <v>-540236.70000000007</v>
      </c>
      <c r="H111" s="54">
        <f t="shared" si="5"/>
        <v>-543704.53500000003</v>
      </c>
      <c r="I111" s="52">
        <v>-236391.57</v>
      </c>
      <c r="J111" s="52">
        <v>-207432.45</v>
      </c>
      <c r="K111" s="54">
        <f t="shared" si="6"/>
        <v>-221912.01</v>
      </c>
      <c r="L111" s="52">
        <v>395578.44</v>
      </c>
      <c r="M111" s="52">
        <v>425822.67000000004</v>
      </c>
      <c r="N111" s="54">
        <f t="shared" si="7"/>
        <v>410700.55500000005</v>
      </c>
    </row>
    <row r="112" spans="1:14" x14ac:dyDescent="0.3">
      <c r="A112" s="2">
        <v>86.8</v>
      </c>
      <c r="B112" s="2">
        <v>110</v>
      </c>
      <c r="C112" s="14">
        <v>693939.78</v>
      </c>
      <c r="D112" s="14">
        <v>800584.29</v>
      </c>
      <c r="E112" s="54">
        <f t="shared" si="4"/>
        <v>747262.03500000003</v>
      </c>
      <c r="F112" s="52">
        <v>-571913.19000000006</v>
      </c>
      <c r="G112" s="52">
        <v>-564182.91</v>
      </c>
      <c r="H112" s="54">
        <f t="shared" si="5"/>
        <v>-568048.05000000005</v>
      </c>
      <c r="I112" s="52">
        <v>-237107.7</v>
      </c>
      <c r="J112" s="52">
        <v>-207589.41</v>
      </c>
      <c r="K112" s="54">
        <f t="shared" si="6"/>
        <v>-222348.55499999999</v>
      </c>
      <c r="L112" s="52">
        <v>380608.38</v>
      </c>
      <c r="M112" s="52">
        <v>411382.35000000003</v>
      </c>
      <c r="N112" s="54">
        <f t="shared" si="7"/>
        <v>395995.36499999999</v>
      </c>
    </row>
    <row r="113" spans="1:14" x14ac:dyDescent="0.3">
      <c r="A113" s="2">
        <v>87.6</v>
      </c>
      <c r="B113" s="2">
        <v>111</v>
      </c>
      <c r="C113" s="14">
        <v>693311.94000000006</v>
      </c>
      <c r="D113" s="14">
        <v>799799.49</v>
      </c>
      <c r="E113" s="54">
        <f t="shared" si="4"/>
        <v>746555.71500000008</v>
      </c>
      <c r="F113" s="52">
        <v>-596654.01</v>
      </c>
      <c r="G113" s="52">
        <v>-588129.12</v>
      </c>
      <c r="H113" s="54">
        <f t="shared" si="5"/>
        <v>-592391.56499999994</v>
      </c>
      <c r="I113" s="52">
        <v>-237833.64</v>
      </c>
      <c r="J113" s="52">
        <v>-207746.37000000002</v>
      </c>
      <c r="K113" s="54">
        <f t="shared" si="6"/>
        <v>-222790.005</v>
      </c>
      <c r="L113" s="52">
        <v>365638.32</v>
      </c>
      <c r="M113" s="52">
        <v>396942.03</v>
      </c>
      <c r="N113" s="54">
        <f t="shared" si="7"/>
        <v>381290.17500000005</v>
      </c>
    </row>
    <row r="114" spans="1:14" x14ac:dyDescent="0.3">
      <c r="A114" s="2">
        <v>88.4</v>
      </c>
      <c r="B114" s="2">
        <v>112</v>
      </c>
      <c r="C114" s="14">
        <v>692409.42</v>
      </c>
      <c r="D114" s="14">
        <v>798553.62</v>
      </c>
      <c r="E114" s="54">
        <f t="shared" si="4"/>
        <v>745481.52</v>
      </c>
      <c r="F114" s="52">
        <v>-618304.68000000005</v>
      </c>
      <c r="G114" s="52">
        <v>-609014.61</v>
      </c>
      <c r="H114" s="54">
        <f t="shared" si="5"/>
        <v>-613659.64500000002</v>
      </c>
      <c r="I114" s="52">
        <v>-238432.05000000002</v>
      </c>
      <c r="J114" s="52">
        <v>-207815.04000000001</v>
      </c>
      <c r="K114" s="54">
        <f t="shared" si="6"/>
        <v>-223123.54500000001</v>
      </c>
      <c r="L114" s="52">
        <v>353483.73000000004</v>
      </c>
      <c r="M114" s="52">
        <v>385277.94</v>
      </c>
      <c r="N114" s="54">
        <f t="shared" si="7"/>
        <v>369380.83500000002</v>
      </c>
    </row>
    <row r="115" spans="1:14" x14ac:dyDescent="0.3">
      <c r="A115" s="2">
        <v>89.2</v>
      </c>
      <c r="B115" s="2">
        <v>113</v>
      </c>
      <c r="C115" s="14">
        <v>691379.37</v>
      </c>
      <c r="D115" s="14">
        <v>797072.31</v>
      </c>
      <c r="E115" s="54">
        <f t="shared" si="4"/>
        <v>744225.84000000008</v>
      </c>
      <c r="F115" s="52">
        <v>-638837.01</v>
      </c>
      <c r="G115" s="52">
        <v>-628075.44000000006</v>
      </c>
      <c r="H115" s="54">
        <f t="shared" si="5"/>
        <v>-633456.22500000009</v>
      </c>
      <c r="I115" s="52">
        <v>-239030.46000000002</v>
      </c>
      <c r="J115" s="52">
        <v>-207883.71000000002</v>
      </c>
      <c r="K115" s="54">
        <f t="shared" si="6"/>
        <v>-223457.08500000002</v>
      </c>
      <c r="L115" s="52">
        <v>341329.14</v>
      </c>
      <c r="M115" s="52">
        <v>373623.66000000003</v>
      </c>
      <c r="N115" s="54">
        <f t="shared" si="7"/>
        <v>357476.4</v>
      </c>
    </row>
    <row r="116" spans="1:14" x14ac:dyDescent="0.3">
      <c r="A116" s="2">
        <v>90</v>
      </c>
      <c r="B116" s="2">
        <v>114</v>
      </c>
      <c r="C116" s="14">
        <v>690035.4</v>
      </c>
      <c r="D116" s="14">
        <v>795404.61</v>
      </c>
      <c r="E116" s="54">
        <f t="shared" si="4"/>
        <v>742720.005</v>
      </c>
      <c r="F116" s="52">
        <v>-656681.4</v>
      </c>
      <c r="G116" s="52">
        <v>-645586.29</v>
      </c>
      <c r="H116" s="54">
        <f t="shared" si="5"/>
        <v>-651133.84499999997</v>
      </c>
      <c r="I116" s="52">
        <v>-239422.86000000002</v>
      </c>
      <c r="J116" s="52">
        <v>-207785.61000000002</v>
      </c>
      <c r="K116" s="54">
        <f t="shared" si="6"/>
        <v>-223604.23500000002</v>
      </c>
      <c r="L116" s="52">
        <v>331126.74</v>
      </c>
      <c r="M116" s="52">
        <v>363862.71</v>
      </c>
      <c r="N116" s="54">
        <f t="shared" si="7"/>
        <v>347494.72499999998</v>
      </c>
    </row>
    <row r="117" spans="1:14" x14ac:dyDescent="0.3">
      <c r="A117" s="2">
        <v>90.8</v>
      </c>
      <c r="B117" s="2">
        <v>115</v>
      </c>
      <c r="C117" s="14">
        <v>688603.14</v>
      </c>
      <c r="D117" s="14">
        <v>793609.38</v>
      </c>
      <c r="E117" s="54">
        <f t="shared" si="4"/>
        <v>741106.26</v>
      </c>
      <c r="F117" s="52">
        <v>-673947</v>
      </c>
      <c r="G117" s="52">
        <v>-662430.06000000006</v>
      </c>
      <c r="H117" s="54">
        <f t="shared" si="5"/>
        <v>-668188.53</v>
      </c>
      <c r="I117" s="52">
        <v>-239746.59000000003</v>
      </c>
      <c r="J117" s="52">
        <v>-207618.84</v>
      </c>
      <c r="K117" s="54">
        <f t="shared" si="6"/>
        <v>-223682.71500000003</v>
      </c>
      <c r="L117" s="52">
        <v>321552.18</v>
      </c>
      <c r="M117" s="52">
        <v>354749.22000000003</v>
      </c>
      <c r="N117" s="54">
        <f t="shared" si="7"/>
        <v>338150.7</v>
      </c>
    </row>
    <row r="118" spans="1:14" x14ac:dyDescent="0.3">
      <c r="A118" s="2">
        <v>91.6</v>
      </c>
      <c r="B118" s="2">
        <v>116</v>
      </c>
      <c r="C118" s="14">
        <v>687043.35</v>
      </c>
      <c r="D118" s="14">
        <v>791519.85000000009</v>
      </c>
      <c r="E118" s="54">
        <f t="shared" si="4"/>
        <v>739281.60000000009</v>
      </c>
      <c r="F118" s="52">
        <v>-688593.33000000007</v>
      </c>
      <c r="G118" s="52">
        <v>-676370.07000000007</v>
      </c>
      <c r="H118" s="54">
        <f t="shared" si="5"/>
        <v>-682481.70000000007</v>
      </c>
      <c r="I118" s="52">
        <v>-239825.07</v>
      </c>
      <c r="J118" s="52">
        <v>-207236.25</v>
      </c>
      <c r="K118" s="54">
        <f t="shared" si="6"/>
        <v>-223530.66</v>
      </c>
      <c r="L118" s="52">
        <v>314410.5</v>
      </c>
      <c r="M118" s="52">
        <v>348019.56</v>
      </c>
      <c r="N118" s="54">
        <f t="shared" si="7"/>
        <v>331215.03000000003</v>
      </c>
    </row>
    <row r="119" spans="1:14" x14ac:dyDescent="0.3">
      <c r="A119" s="2">
        <v>92.4</v>
      </c>
      <c r="B119" s="2">
        <v>117</v>
      </c>
      <c r="C119" s="14">
        <v>685091.16</v>
      </c>
      <c r="D119" s="14">
        <v>789204.69000000006</v>
      </c>
      <c r="E119" s="54">
        <f t="shared" si="4"/>
        <v>737147.92500000005</v>
      </c>
      <c r="F119" s="52">
        <v>-701611.20000000007</v>
      </c>
      <c r="G119" s="52">
        <v>-688701.24</v>
      </c>
      <c r="H119" s="54">
        <f t="shared" si="5"/>
        <v>-695156.22</v>
      </c>
      <c r="I119" s="52">
        <v>-239903.55000000002</v>
      </c>
      <c r="J119" s="52">
        <v>-206853.66</v>
      </c>
      <c r="K119" s="54">
        <f t="shared" si="6"/>
        <v>-223378.60500000001</v>
      </c>
      <c r="L119" s="52">
        <v>307268.82</v>
      </c>
      <c r="M119" s="52">
        <v>341299.71</v>
      </c>
      <c r="N119" s="54">
        <f t="shared" si="7"/>
        <v>324284.26500000001</v>
      </c>
    </row>
    <row r="120" spans="1:14" x14ac:dyDescent="0.3">
      <c r="A120" s="2">
        <v>93.2</v>
      </c>
      <c r="B120" s="2">
        <v>118</v>
      </c>
      <c r="C120" s="14">
        <v>683109.54</v>
      </c>
      <c r="D120" s="14">
        <v>786506.94000000006</v>
      </c>
      <c r="E120" s="54">
        <f t="shared" si="4"/>
        <v>734808.24</v>
      </c>
      <c r="F120" s="52">
        <v>-711793.98</v>
      </c>
      <c r="G120" s="52">
        <v>-698207.13</v>
      </c>
      <c r="H120" s="54">
        <f t="shared" si="5"/>
        <v>-705000.55499999993</v>
      </c>
      <c r="I120" s="52">
        <v>-239707.35</v>
      </c>
      <c r="J120" s="52">
        <v>-206245.44</v>
      </c>
      <c r="K120" s="54">
        <f t="shared" si="6"/>
        <v>-222976.39500000002</v>
      </c>
      <c r="L120" s="52">
        <v>302716.98000000004</v>
      </c>
      <c r="M120" s="52">
        <v>337110.84</v>
      </c>
      <c r="N120" s="54">
        <f t="shared" si="7"/>
        <v>319913.91000000003</v>
      </c>
    </row>
    <row r="121" spans="1:14" x14ac:dyDescent="0.3">
      <c r="A121" s="2">
        <v>94</v>
      </c>
      <c r="B121" s="2">
        <v>119</v>
      </c>
      <c r="C121" s="14">
        <v>680902.29</v>
      </c>
      <c r="D121" s="14">
        <v>783809.19000000006</v>
      </c>
      <c r="E121" s="54">
        <f t="shared" si="4"/>
        <v>732355.74</v>
      </c>
      <c r="F121" s="52">
        <v>-721966.95000000007</v>
      </c>
      <c r="G121" s="52">
        <v>-707713.02</v>
      </c>
      <c r="H121" s="54">
        <f t="shared" si="5"/>
        <v>-714839.9850000001</v>
      </c>
      <c r="I121" s="52">
        <v>-239511.15000000002</v>
      </c>
      <c r="J121" s="52">
        <v>-205637.22</v>
      </c>
      <c r="K121" s="54">
        <f t="shared" si="6"/>
        <v>-222574.185</v>
      </c>
      <c r="L121" s="52">
        <v>298155.33</v>
      </c>
      <c r="M121" s="52">
        <v>332931.78000000003</v>
      </c>
      <c r="N121" s="54">
        <f t="shared" si="7"/>
        <v>315543.55500000005</v>
      </c>
    </row>
    <row r="122" spans="1:14" x14ac:dyDescent="0.3">
      <c r="A122" s="2">
        <v>94.8</v>
      </c>
      <c r="B122" s="2">
        <v>120</v>
      </c>
      <c r="C122" s="14">
        <v>678498.84000000008</v>
      </c>
      <c r="D122" s="14">
        <v>780817.14</v>
      </c>
      <c r="E122" s="54">
        <f t="shared" si="4"/>
        <v>729657.99</v>
      </c>
      <c r="F122" s="52">
        <v>-729069.39</v>
      </c>
      <c r="G122" s="52">
        <v>-714060.09000000008</v>
      </c>
      <c r="H122" s="54">
        <f t="shared" si="5"/>
        <v>-721564.74</v>
      </c>
      <c r="I122" s="52">
        <v>-239030.46000000002</v>
      </c>
      <c r="J122" s="52">
        <v>-204783.75</v>
      </c>
      <c r="K122" s="54">
        <f t="shared" si="6"/>
        <v>-221907.10500000001</v>
      </c>
      <c r="L122" s="52">
        <v>296350.29000000004</v>
      </c>
      <c r="M122" s="52">
        <v>331460.28000000003</v>
      </c>
      <c r="N122" s="54">
        <f t="shared" si="7"/>
        <v>313905.28500000003</v>
      </c>
    </row>
    <row r="123" spans="1:14" x14ac:dyDescent="0.3">
      <c r="A123" s="2">
        <v>95.6</v>
      </c>
      <c r="B123" s="2">
        <v>121</v>
      </c>
      <c r="C123" s="14">
        <v>675859.95000000007</v>
      </c>
      <c r="D123" s="14">
        <v>777511.17</v>
      </c>
      <c r="E123" s="54">
        <f t="shared" si="4"/>
        <v>726685.56</v>
      </c>
      <c r="F123" s="52">
        <v>-734425.65</v>
      </c>
      <c r="G123" s="52">
        <v>-718327.44000000006</v>
      </c>
      <c r="H123" s="54">
        <f t="shared" si="5"/>
        <v>-726376.54500000004</v>
      </c>
      <c r="I123" s="52">
        <v>-238559.58000000002</v>
      </c>
      <c r="J123" s="52">
        <v>-203940.09</v>
      </c>
      <c r="K123" s="54">
        <f t="shared" si="6"/>
        <v>-221249.83500000002</v>
      </c>
      <c r="L123" s="52">
        <v>294535.44</v>
      </c>
      <c r="M123" s="52">
        <v>329978.97000000003</v>
      </c>
      <c r="N123" s="54">
        <f t="shared" si="7"/>
        <v>312257.20500000002</v>
      </c>
    </row>
    <row r="124" spans="1:14" x14ac:dyDescent="0.3">
      <c r="A124" s="2">
        <v>96.4</v>
      </c>
      <c r="B124" s="2">
        <v>122</v>
      </c>
      <c r="C124" s="14">
        <v>673083.72000000009</v>
      </c>
      <c r="D124" s="14">
        <v>774195.39</v>
      </c>
      <c r="E124" s="54">
        <f t="shared" si="4"/>
        <v>723639.55500000005</v>
      </c>
      <c r="F124" s="52">
        <v>-738310.41</v>
      </c>
      <c r="G124" s="52">
        <v>-722604.60000000009</v>
      </c>
      <c r="H124" s="54">
        <f t="shared" si="5"/>
        <v>-730457.50500000012</v>
      </c>
      <c r="I124" s="52">
        <v>-237902.31</v>
      </c>
      <c r="J124" s="52">
        <v>-202919.85</v>
      </c>
      <c r="K124" s="54">
        <f t="shared" si="6"/>
        <v>-220411.08000000002</v>
      </c>
      <c r="L124" s="52">
        <v>294496.2</v>
      </c>
      <c r="M124" s="52">
        <v>330400.8</v>
      </c>
      <c r="N124" s="54">
        <f t="shared" si="7"/>
        <v>312448.5</v>
      </c>
    </row>
    <row r="125" spans="1:14" x14ac:dyDescent="0.3">
      <c r="A125" s="2">
        <v>97.2</v>
      </c>
      <c r="B125" s="2">
        <v>123</v>
      </c>
      <c r="C125" s="14">
        <v>670101.48</v>
      </c>
      <c r="D125" s="14">
        <v>770536.26</v>
      </c>
      <c r="E125" s="54">
        <f t="shared" si="4"/>
        <v>720318.87</v>
      </c>
      <c r="F125" s="52">
        <v>-740713.86</v>
      </c>
      <c r="G125" s="52">
        <v>-723978</v>
      </c>
      <c r="H125" s="54">
        <f t="shared" si="5"/>
        <v>-732345.92999999993</v>
      </c>
      <c r="I125" s="52">
        <v>-237146.94</v>
      </c>
      <c r="J125" s="52">
        <v>-201850.56</v>
      </c>
      <c r="K125" s="54">
        <f t="shared" si="6"/>
        <v>-219498.75</v>
      </c>
      <c r="L125" s="52">
        <v>295428.15000000002</v>
      </c>
      <c r="M125" s="52">
        <v>331470.09000000003</v>
      </c>
      <c r="N125" s="54">
        <f t="shared" si="7"/>
        <v>313449.12</v>
      </c>
    </row>
    <row r="126" spans="1:14" x14ac:dyDescent="0.3">
      <c r="A126" s="2">
        <v>98</v>
      </c>
      <c r="B126" s="2">
        <v>124</v>
      </c>
      <c r="C126" s="14">
        <v>666844.56000000006</v>
      </c>
      <c r="D126" s="14">
        <v>766553.4</v>
      </c>
      <c r="E126" s="54">
        <f t="shared" si="4"/>
        <v>716698.98</v>
      </c>
      <c r="F126" s="52">
        <v>-739919.25</v>
      </c>
      <c r="G126" s="52">
        <v>-722624.22000000009</v>
      </c>
      <c r="H126" s="54">
        <f t="shared" si="5"/>
        <v>-731271.7350000001</v>
      </c>
      <c r="I126" s="52">
        <v>-236146.32</v>
      </c>
      <c r="J126" s="52">
        <v>-200555.64</v>
      </c>
      <c r="K126" s="54">
        <f t="shared" si="6"/>
        <v>-218350.98</v>
      </c>
      <c r="L126" s="52">
        <v>298783.17000000004</v>
      </c>
      <c r="M126" s="52">
        <v>335080.17000000004</v>
      </c>
      <c r="N126" s="54">
        <f t="shared" si="7"/>
        <v>316931.67000000004</v>
      </c>
    </row>
    <row r="127" spans="1:14" x14ac:dyDescent="0.3">
      <c r="A127" s="2">
        <v>98.8</v>
      </c>
      <c r="B127" s="2">
        <v>125</v>
      </c>
      <c r="C127" s="14">
        <v>663460.11</v>
      </c>
      <c r="D127" s="14">
        <v>762452.82000000007</v>
      </c>
      <c r="E127" s="54">
        <f t="shared" si="4"/>
        <v>712956.46500000008</v>
      </c>
      <c r="F127" s="52">
        <v>-738143.64</v>
      </c>
      <c r="G127" s="52">
        <v>-720289.44000000006</v>
      </c>
      <c r="H127" s="54">
        <f t="shared" si="5"/>
        <v>-729216.54</v>
      </c>
      <c r="I127" s="52">
        <v>-235145.7</v>
      </c>
      <c r="J127" s="52">
        <v>-199270.53</v>
      </c>
      <c r="K127" s="54">
        <f t="shared" si="6"/>
        <v>-217208.11499999999</v>
      </c>
      <c r="L127" s="52">
        <v>302138.19</v>
      </c>
      <c r="M127" s="52">
        <v>338680.44</v>
      </c>
      <c r="N127" s="54">
        <f t="shared" si="7"/>
        <v>320409.315</v>
      </c>
    </row>
    <row r="128" spans="1:14" x14ac:dyDescent="0.3">
      <c r="A128" s="2">
        <v>99.6</v>
      </c>
      <c r="B128" s="2">
        <v>126</v>
      </c>
      <c r="C128" s="14">
        <v>659967.75</v>
      </c>
      <c r="D128" s="14">
        <v>758214.9</v>
      </c>
      <c r="E128" s="54">
        <f t="shared" si="4"/>
        <v>709091.32499999995</v>
      </c>
      <c r="F128" s="52">
        <v>-735239.88</v>
      </c>
      <c r="G128" s="52">
        <v>-716846.13</v>
      </c>
      <c r="H128" s="54">
        <f t="shared" si="5"/>
        <v>-726043.005</v>
      </c>
      <c r="I128" s="52">
        <v>-233948.88</v>
      </c>
      <c r="J128" s="52">
        <v>-197808.84</v>
      </c>
      <c r="K128" s="54">
        <f t="shared" si="6"/>
        <v>-215878.86</v>
      </c>
      <c r="L128" s="52">
        <v>307425.78000000003</v>
      </c>
      <c r="M128" s="52">
        <v>344183.85000000003</v>
      </c>
      <c r="N128" s="54">
        <f t="shared" si="7"/>
        <v>325804.81500000006</v>
      </c>
    </row>
    <row r="129" spans="1:14" x14ac:dyDescent="0.3">
      <c r="A129" s="2">
        <v>100.4</v>
      </c>
      <c r="B129" s="2">
        <v>127</v>
      </c>
      <c r="C129" s="14">
        <v>656239.95000000007</v>
      </c>
      <c r="D129" s="14">
        <v>753721.92</v>
      </c>
      <c r="E129" s="54">
        <f t="shared" si="4"/>
        <v>704980.93500000006</v>
      </c>
      <c r="F129" s="52">
        <v>-730168.11</v>
      </c>
      <c r="G129" s="52">
        <v>-711254.43</v>
      </c>
      <c r="H129" s="54">
        <f t="shared" si="5"/>
        <v>-720711.27</v>
      </c>
      <c r="I129" s="52">
        <v>-232683.39</v>
      </c>
      <c r="J129" s="52">
        <v>-196307.91</v>
      </c>
      <c r="K129" s="54">
        <f t="shared" si="6"/>
        <v>-214495.65000000002</v>
      </c>
      <c r="L129" s="52">
        <v>313360.83</v>
      </c>
      <c r="M129" s="52">
        <v>350334.72000000003</v>
      </c>
      <c r="N129" s="54">
        <f t="shared" si="7"/>
        <v>331847.77500000002</v>
      </c>
    </row>
    <row r="130" spans="1:14" x14ac:dyDescent="0.3">
      <c r="A130" s="2">
        <v>101.2</v>
      </c>
      <c r="B130" s="2">
        <v>128</v>
      </c>
      <c r="C130" s="14">
        <v>652188.42000000004</v>
      </c>
      <c r="D130" s="14">
        <v>748885.59000000008</v>
      </c>
      <c r="E130" s="54">
        <f t="shared" ref="E130:E193" si="8">(C130+D130)/2</f>
        <v>700537.00500000012</v>
      </c>
      <c r="F130" s="52">
        <v>-722094.48</v>
      </c>
      <c r="G130" s="52">
        <v>-702680.49</v>
      </c>
      <c r="H130" s="54">
        <f t="shared" ref="H130:H193" si="9">(F130+G130)/2</f>
        <v>-712387.48499999999</v>
      </c>
      <c r="I130" s="52">
        <v>-231182.46000000002</v>
      </c>
      <c r="J130" s="52">
        <v>-194600.97</v>
      </c>
      <c r="K130" s="54">
        <f t="shared" ref="K130:K193" si="10">(I130+J130)/2</f>
        <v>-212891.71500000003</v>
      </c>
      <c r="L130" s="52">
        <v>321718.95</v>
      </c>
      <c r="M130" s="52">
        <v>358859.61000000004</v>
      </c>
      <c r="N130" s="54">
        <f t="shared" ref="N130:N193" si="11">(L130+M130)/2</f>
        <v>340289.28000000003</v>
      </c>
    </row>
    <row r="131" spans="1:14" x14ac:dyDescent="0.3">
      <c r="A131" s="2">
        <v>102</v>
      </c>
      <c r="B131" s="2">
        <v>129</v>
      </c>
      <c r="C131" s="14">
        <v>648127.08000000007</v>
      </c>
      <c r="D131" s="14">
        <v>744029.64</v>
      </c>
      <c r="E131" s="54">
        <f t="shared" si="8"/>
        <v>696078.3600000001</v>
      </c>
      <c r="F131" s="52">
        <v>-713922.75</v>
      </c>
      <c r="G131" s="52">
        <v>-694018.26</v>
      </c>
      <c r="H131" s="54">
        <f t="shared" si="9"/>
        <v>-703970.505</v>
      </c>
      <c r="I131" s="52">
        <v>-229681.53</v>
      </c>
      <c r="J131" s="52">
        <v>-192894.03</v>
      </c>
      <c r="K131" s="54">
        <f t="shared" si="10"/>
        <v>-211287.78</v>
      </c>
      <c r="L131" s="52">
        <v>330067.26</v>
      </c>
      <c r="M131" s="52">
        <v>367384.5</v>
      </c>
      <c r="N131" s="54">
        <f t="shared" si="11"/>
        <v>348725.88</v>
      </c>
    </row>
    <row r="132" spans="1:14" x14ac:dyDescent="0.3">
      <c r="A132" s="2">
        <v>102.8</v>
      </c>
      <c r="B132" s="2">
        <v>130</v>
      </c>
      <c r="C132" s="14">
        <v>643849.92000000004</v>
      </c>
      <c r="D132" s="14">
        <v>738791.10000000009</v>
      </c>
      <c r="E132" s="54">
        <f t="shared" si="8"/>
        <v>691320.51</v>
      </c>
      <c r="F132" s="52">
        <v>-702886.5</v>
      </c>
      <c r="G132" s="52">
        <v>-682050.06</v>
      </c>
      <c r="H132" s="54">
        <f t="shared" si="9"/>
        <v>-692468.28</v>
      </c>
      <c r="I132" s="52">
        <v>-227974.59000000003</v>
      </c>
      <c r="J132" s="52">
        <v>-190971.27000000002</v>
      </c>
      <c r="K132" s="54">
        <f t="shared" si="10"/>
        <v>-209472.93000000002</v>
      </c>
      <c r="L132" s="52">
        <v>340524.72000000003</v>
      </c>
      <c r="M132" s="52">
        <v>378450.18</v>
      </c>
      <c r="N132" s="54">
        <f t="shared" si="11"/>
        <v>359487.45</v>
      </c>
    </row>
    <row r="133" spans="1:14" x14ac:dyDescent="0.3">
      <c r="A133" s="2">
        <v>103.6</v>
      </c>
      <c r="B133" s="2">
        <v>131</v>
      </c>
      <c r="C133" s="14">
        <v>639317.70000000007</v>
      </c>
      <c r="D133" s="14">
        <v>733434.84000000008</v>
      </c>
      <c r="E133" s="54">
        <f t="shared" si="8"/>
        <v>686376.27</v>
      </c>
      <c r="F133" s="52">
        <v>-690349.32000000007</v>
      </c>
      <c r="G133" s="52">
        <v>-669542.31000000006</v>
      </c>
      <c r="H133" s="54">
        <f t="shared" si="9"/>
        <v>-679945.81500000006</v>
      </c>
      <c r="I133" s="52">
        <v>-226169.55000000002</v>
      </c>
      <c r="J133" s="52">
        <v>-189058.32</v>
      </c>
      <c r="K133" s="54">
        <f t="shared" si="10"/>
        <v>-207613.935</v>
      </c>
      <c r="L133" s="52">
        <v>351943.56</v>
      </c>
      <c r="M133" s="52">
        <v>389515.86000000004</v>
      </c>
      <c r="N133" s="54">
        <f t="shared" si="11"/>
        <v>370729.71</v>
      </c>
    </row>
    <row r="134" spans="1:14" x14ac:dyDescent="0.3">
      <c r="A134" s="2">
        <v>104.4</v>
      </c>
      <c r="B134" s="2">
        <v>132</v>
      </c>
      <c r="C134" s="14">
        <v>634559.85</v>
      </c>
      <c r="D134" s="14">
        <v>727784.28</v>
      </c>
      <c r="E134" s="54">
        <f t="shared" si="8"/>
        <v>681172.06499999994</v>
      </c>
      <c r="F134" s="52">
        <v>-674672.94000000006</v>
      </c>
      <c r="G134" s="52">
        <v>-653453.91</v>
      </c>
      <c r="H134" s="54">
        <f t="shared" si="9"/>
        <v>-664063.42500000005</v>
      </c>
      <c r="I134" s="52">
        <v>-224138.88</v>
      </c>
      <c r="J134" s="52">
        <v>-186919.74000000002</v>
      </c>
      <c r="K134" s="54">
        <f t="shared" si="10"/>
        <v>-205529.31</v>
      </c>
      <c r="L134" s="52">
        <v>365618.7</v>
      </c>
      <c r="M134" s="52">
        <v>403279.29000000004</v>
      </c>
      <c r="N134" s="54">
        <f t="shared" si="11"/>
        <v>384448.995</v>
      </c>
    </row>
    <row r="135" spans="1:14" x14ac:dyDescent="0.3">
      <c r="A135" s="2">
        <v>105.2</v>
      </c>
      <c r="B135" s="2">
        <v>133</v>
      </c>
      <c r="C135" s="14">
        <v>629802</v>
      </c>
      <c r="D135" s="14">
        <v>722114.10000000009</v>
      </c>
      <c r="E135" s="54">
        <f t="shared" si="8"/>
        <v>675958.05</v>
      </c>
      <c r="F135" s="52">
        <v>-658986.75</v>
      </c>
      <c r="G135" s="52">
        <v>-637355.70000000007</v>
      </c>
      <c r="H135" s="54">
        <f t="shared" si="9"/>
        <v>-648171.22500000009</v>
      </c>
      <c r="I135" s="52">
        <v>-222118.02000000002</v>
      </c>
      <c r="J135" s="52">
        <v>-184781.16</v>
      </c>
      <c r="K135" s="54">
        <f t="shared" si="10"/>
        <v>-203449.59000000003</v>
      </c>
      <c r="L135" s="52">
        <v>379303.65</v>
      </c>
      <c r="M135" s="52">
        <v>417032.91000000003</v>
      </c>
      <c r="N135" s="54">
        <f t="shared" si="11"/>
        <v>398168.28</v>
      </c>
    </row>
    <row r="136" spans="1:14" x14ac:dyDescent="0.3">
      <c r="A136" s="2">
        <v>106</v>
      </c>
      <c r="B136" s="2">
        <v>134</v>
      </c>
      <c r="C136" s="14">
        <v>624720.42000000004</v>
      </c>
      <c r="D136" s="14">
        <v>716080.95000000007</v>
      </c>
      <c r="E136" s="54">
        <f t="shared" si="8"/>
        <v>670400.68500000006</v>
      </c>
      <c r="F136" s="52">
        <v>-641024.64</v>
      </c>
      <c r="G136" s="52">
        <v>-619001.19000000006</v>
      </c>
      <c r="H136" s="54">
        <f t="shared" si="9"/>
        <v>-630012.91500000004</v>
      </c>
      <c r="I136" s="52">
        <v>-219900.96000000002</v>
      </c>
      <c r="J136" s="52">
        <v>-182485.62</v>
      </c>
      <c r="K136" s="54">
        <f t="shared" si="10"/>
        <v>-201193.29</v>
      </c>
      <c r="L136" s="52">
        <v>394901.55000000005</v>
      </c>
      <c r="M136" s="52">
        <v>432689.67000000004</v>
      </c>
      <c r="N136" s="54">
        <f t="shared" si="11"/>
        <v>413795.61000000004</v>
      </c>
    </row>
    <row r="137" spans="1:14" x14ac:dyDescent="0.3">
      <c r="A137" s="2">
        <v>106.8</v>
      </c>
      <c r="B137" s="2">
        <v>135</v>
      </c>
      <c r="C137" s="14">
        <v>619511.31000000006</v>
      </c>
      <c r="D137" s="14">
        <v>709910.46000000008</v>
      </c>
      <c r="E137" s="54">
        <f t="shared" si="8"/>
        <v>664710.88500000001</v>
      </c>
      <c r="F137" s="52">
        <v>-621237.87</v>
      </c>
      <c r="G137" s="52">
        <v>-598851.45000000007</v>
      </c>
      <c r="H137" s="54">
        <f t="shared" si="9"/>
        <v>-610044.66</v>
      </c>
      <c r="I137" s="52">
        <v>-217625.04</v>
      </c>
      <c r="J137" s="52">
        <v>-180150.84</v>
      </c>
      <c r="K137" s="54">
        <f t="shared" si="10"/>
        <v>-198887.94</v>
      </c>
      <c r="L137" s="52">
        <v>411166.53</v>
      </c>
      <c r="M137" s="52">
        <v>448984.08</v>
      </c>
      <c r="N137" s="54">
        <f t="shared" si="11"/>
        <v>430075.30500000005</v>
      </c>
    </row>
    <row r="138" spans="1:14" x14ac:dyDescent="0.3">
      <c r="A138" s="2">
        <v>107.6</v>
      </c>
      <c r="B138" s="2">
        <v>136</v>
      </c>
      <c r="C138" s="14">
        <v>613968.66</v>
      </c>
      <c r="D138" s="14">
        <v>703347.57000000007</v>
      </c>
      <c r="E138" s="54">
        <f t="shared" si="8"/>
        <v>658658.11499999999</v>
      </c>
      <c r="F138" s="52">
        <v>-598684.68000000005</v>
      </c>
      <c r="G138" s="52">
        <v>-575974.53</v>
      </c>
      <c r="H138" s="54">
        <f t="shared" si="9"/>
        <v>-587329.60499999998</v>
      </c>
      <c r="I138" s="52">
        <v>-215270.64</v>
      </c>
      <c r="J138" s="52">
        <v>-177776.82</v>
      </c>
      <c r="K138" s="54">
        <f t="shared" si="10"/>
        <v>-196523.73</v>
      </c>
      <c r="L138" s="52">
        <v>429795.72000000003</v>
      </c>
      <c r="M138" s="52">
        <v>467603.46</v>
      </c>
      <c r="N138" s="54">
        <f t="shared" si="11"/>
        <v>448699.59</v>
      </c>
    </row>
    <row r="139" spans="1:14" x14ac:dyDescent="0.3">
      <c r="A139" s="2">
        <v>108.4</v>
      </c>
      <c r="B139" s="2">
        <v>137</v>
      </c>
      <c r="C139" s="14">
        <v>608386.77</v>
      </c>
      <c r="D139" s="14">
        <v>696794.49</v>
      </c>
      <c r="E139" s="54">
        <f t="shared" si="8"/>
        <v>652590.63</v>
      </c>
      <c r="F139" s="52">
        <v>-576131.49</v>
      </c>
      <c r="G139" s="52">
        <v>-553087.80000000005</v>
      </c>
      <c r="H139" s="54">
        <f t="shared" si="9"/>
        <v>-564609.64500000002</v>
      </c>
      <c r="I139" s="52">
        <v>-212926.05000000002</v>
      </c>
      <c r="J139" s="52">
        <v>-175412.61000000002</v>
      </c>
      <c r="K139" s="54">
        <f t="shared" si="10"/>
        <v>-194169.33000000002</v>
      </c>
      <c r="L139" s="52">
        <v>448415.10000000003</v>
      </c>
      <c r="M139" s="52">
        <v>486232.65</v>
      </c>
      <c r="N139" s="54">
        <f t="shared" si="11"/>
        <v>467323.875</v>
      </c>
    </row>
    <row r="140" spans="1:14" x14ac:dyDescent="0.3">
      <c r="A140" s="2">
        <v>109.2</v>
      </c>
      <c r="B140" s="2">
        <v>138</v>
      </c>
      <c r="C140" s="14">
        <v>602549.82000000007</v>
      </c>
      <c r="D140" s="14">
        <v>689927.49</v>
      </c>
      <c r="E140" s="54">
        <f t="shared" si="8"/>
        <v>646238.65500000003</v>
      </c>
      <c r="F140" s="52">
        <v>-551096.37</v>
      </c>
      <c r="G140" s="52">
        <v>-527758.38</v>
      </c>
      <c r="H140" s="54">
        <f t="shared" si="9"/>
        <v>-539427.375</v>
      </c>
      <c r="I140" s="52">
        <v>-210581.46000000002</v>
      </c>
      <c r="J140" s="52">
        <v>-173087.64</v>
      </c>
      <c r="K140" s="54">
        <f t="shared" si="10"/>
        <v>-191834.55000000002</v>
      </c>
      <c r="L140" s="52">
        <v>468976.86000000004</v>
      </c>
      <c r="M140" s="52">
        <v>506755.17000000004</v>
      </c>
      <c r="N140" s="54">
        <f t="shared" si="11"/>
        <v>487866.01500000001</v>
      </c>
    </row>
    <row r="141" spans="1:14" x14ac:dyDescent="0.3">
      <c r="A141" s="2">
        <v>110</v>
      </c>
      <c r="B141" s="2">
        <v>139</v>
      </c>
      <c r="C141" s="14">
        <v>596801.16</v>
      </c>
      <c r="D141" s="14">
        <v>683119.35</v>
      </c>
      <c r="E141" s="54">
        <f t="shared" si="8"/>
        <v>639960.255</v>
      </c>
      <c r="F141" s="52">
        <v>-524864.43000000005</v>
      </c>
      <c r="G141" s="52">
        <v>-501251.76</v>
      </c>
      <c r="H141" s="54">
        <f t="shared" si="9"/>
        <v>-513058.09500000003</v>
      </c>
      <c r="I141" s="52">
        <v>-208354.59</v>
      </c>
      <c r="J141" s="52">
        <v>-170909.82</v>
      </c>
      <c r="K141" s="54">
        <f t="shared" si="10"/>
        <v>-189632.20500000002</v>
      </c>
      <c r="L141" s="52">
        <v>489940.83</v>
      </c>
      <c r="M141" s="52">
        <v>527650.47</v>
      </c>
      <c r="N141" s="54">
        <f t="shared" si="11"/>
        <v>508795.65</v>
      </c>
    </row>
    <row r="142" spans="1:14" x14ac:dyDescent="0.3">
      <c r="A142" s="2">
        <v>110.8</v>
      </c>
      <c r="B142" s="2">
        <v>140</v>
      </c>
      <c r="C142" s="14">
        <v>591287.94000000006</v>
      </c>
      <c r="D142" s="14">
        <v>676527.03</v>
      </c>
      <c r="E142" s="54">
        <f t="shared" si="8"/>
        <v>633907.4850000001</v>
      </c>
      <c r="F142" s="52">
        <v>-498514.77</v>
      </c>
      <c r="G142" s="52">
        <v>-474666.66000000003</v>
      </c>
      <c r="H142" s="54">
        <f t="shared" si="9"/>
        <v>-486590.71500000003</v>
      </c>
      <c r="I142" s="52">
        <v>-206353.35</v>
      </c>
      <c r="J142" s="52">
        <v>-168987.06</v>
      </c>
      <c r="K142" s="54">
        <f t="shared" si="10"/>
        <v>-187670.20500000002</v>
      </c>
      <c r="L142" s="52">
        <v>509560.83</v>
      </c>
      <c r="M142" s="52">
        <v>547172.37</v>
      </c>
      <c r="N142" s="54">
        <f t="shared" si="11"/>
        <v>528366.6</v>
      </c>
    </row>
    <row r="143" spans="1:14" x14ac:dyDescent="0.3">
      <c r="A143" s="2">
        <v>111.6</v>
      </c>
      <c r="B143" s="2">
        <v>141</v>
      </c>
      <c r="C143" s="14">
        <v>585823.77</v>
      </c>
      <c r="D143" s="14">
        <v>669954.33000000007</v>
      </c>
      <c r="E143" s="54">
        <f t="shared" si="8"/>
        <v>627889.05000000005</v>
      </c>
      <c r="F143" s="52">
        <v>-472410.36000000004</v>
      </c>
      <c r="G143" s="52">
        <v>-448336.62</v>
      </c>
      <c r="H143" s="54">
        <f t="shared" si="9"/>
        <v>-460373.49</v>
      </c>
      <c r="I143" s="52">
        <v>-204371.73</v>
      </c>
      <c r="J143" s="52">
        <v>-167103.54</v>
      </c>
      <c r="K143" s="54">
        <f t="shared" si="10"/>
        <v>-185737.63500000001</v>
      </c>
      <c r="L143" s="52">
        <v>528474.51</v>
      </c>
      <c r="M143" s="52">
        <v>565968.33000000007</v>
      </c>
      <c r="N143" s="54">
        <f t="shared" si="11"/>
        <v>547221.42000000004</v>
      </c>
    </row>
    <row r="144" spans="1:14" x14ac:dyDescent="0.3">
      <c r="A144" s="2">
        <v>112.4</v>
      </c>
      <c r="B144" s="2">
        <v>142</v>
      </c>
      <c r="C144" s="14">
        <v>580251.69000000006</v>
      </c>
      <c r="D144" s="14">
        <v>663205.05000000005</v>
      </c>
      <c r="E144" s="54">
        <f t="shared" si="8"/>
        <v>621728.37000000011</v>
      </c>
      <c r="F144" s="52">
        <v>-446963.22000000003</v>
      </c>
      <c r="G144" s="52">
        <v>-422830.62</v>
      </c>
      <c r="H144" s="54">
        <f t="shared" si="9"/>
        <v>-434896.92000000004</v>
      </c>
      <c r="I144" s="52">
        <v>-202390.11000000002</v>
      </c>
      <c r="J144" s="52">
        <v>-165269.07</v>
      </c>
      <c r="K144" s="54">
        <f t="shared" si="10"/>
        <v>-183829.59000000003</v>
      </c>
      <c r="L144" s="52">
        <v>545445.81000000006</v>
      </c>
      <c r="M144" s="52">
        <v>581899.77</v>
      </c>
      <c r="N144" s="54">
        <f t="shared" si="11"/>
        <v>563672.79</v>
      </c>
    </row>
    <row r="145" spans="1:14" x14ac:dyDescent="0.3">
      <c r="A145" s="2">
        <v>113.2</v>
      </c>
      <c r="B145" s="2">
        <v>143</v>
      </c>
      <c r="C145" s="14">
        <v>574385.31000000006</v>
      </c>
      <c r="D145" s="14">
        <v>656151.66</v>
      </c>
      <c r="E145" s="54">
        <f t="shared" si="8"/>
        <v>615268.4850000001</v>
      </c>
      <c r="F145" s="52">
        <v>-422467.65</v>
      </c>
      <c r="G145" s="52">
        <v>-398178.09</v>
      </c>
      <c r="H145" s="54">
        <f t="shared" si="9"/>
        <v>-410322.87</v>
      </c>
      <c r="I145" s="52">
        <v>-200477.16</v>
      </c>
      <c r="J145" s="52">
        <v>-163522.89000000001</v>
      </c>
      <c r="K145" s="54">
        <f t="shared" si="10"/>
        <v>-182000.02500000002</v>
      </c>
      <c r="L145" s="52">
        <v>560396.25</v>
      </c>
      <c r="M145" s="52">
        <v>597841.02</v>
      </c>
      <c r="N145" s="54">
        <f t="shared" si="11"/>
        <v>579118.63500000001</v>
      </c>
    </row>
    <row r="146" spans="1:14" x14ac:dyDescent="0.3">
      <c r="A146" s="2">
        <v>114</v>
      </c>
      <c r="B146" s="2">
        <v>144</v>
      </c>
      <c r="C146" s="14">
        <v>568479.69000000006</v>
      </c>
      <c r="D146" s="14">
        <v>649098.27</v>
      </c>
      <c r="E146" s="54">
        <f t="shared" si="8"/>
        <v>608788.98</v>
      </c>
      <c r="F146" s="52">
        <v>-398079.99000000005</v>
      </c>
      <c r="G146" s="52">
        <v>-373545.18</v>
      </c>
      <c r="H146" s="54">
        <f t="shared" si="9"/>
        <v>-385812.58500000002</v>
      </c>
      <c r="I146" s="52">
        <v>-198564.21000000002</v>
      </c>
      <c r="J146" s="52">
        <v>-161776.71000000002</v>
      </c>
      <c r="K146" s="54">
        <f t="shared" si="10"/>
        <v>-180170.46000000002</v>
      </c>
      <c r="L146" s="52">
        <v>575062.20000000007</v>
      </c>
      <c r="M146" s="52">
        <v>612016.47000000009</v>
      </c>
      <c r="N146" s="54">
        <f t="shared" si="11"/>
        <v>593539.33500000008</v>
      </c>
    </row>
    <row r="147" spans="1:14" x14ac:dyDescent="0.3">
      <c r="A147" s="2">
        <v>114.8</v>
      </c>
      <c r="B147" s="2">
        <v>145</v>
      </c>
      <c r="C147" s="14">
        <v>562250.34000000008</v>
      </c>
      <c r="D147" s="14">
        <v>641642.67000000004</v>
      </c>
      <c r="E147" s="54">
        <f t="shared" si="8"/>
        <v>601946.50500000012</v>
      </c>
      <c r="F147" s="52">
        <v>-374781.24</v>
      </c>
      <c r="G147" s="52">
        <v>-350158.14</v>
      </c>
      <c r="H147" s="54">
        <f t="shared" si="9"/>
        <v>-362469.69</v>
      </c>
      <c r="I147" s="52">
        <v>-196602.21000000002</v>
      </c>
      <c r="J147" s="52">
        <v>-160040.34</v>
      </c>
      <c r="K147" s="54">
        <f t="shared" si="10"/>
        <v>-178321.27500000002</v>
      </c>
      <c r="L147" s="52">
        <v>587108.88</v>
      </c>
      <c r="M147" s="52">
        <v>623808.09000000008</v>
      </c>
      <c r="N147" s="54">
        <f t="shared" si="11"/>
        <v>605458.4850000001</v>
      </c>
    </row>
    <row r="148" spans="1:14" x14ac:dyDescent="0.3">
      <c r="A148" s="2">
        <v>115.6</v>
      </c>
      <c r="B148" s="2">
        <v>146</v>
      </c>
      <c r="C148" s="14">
        <v>555913.08000000007</v>
      </c>
      <c r="D148" s="14">
        <v>634020.30000000005</v>
      </c>
      <c r="E148" s="54">
        <f t="shared" si="8"/>
        <v>594966.69000000006</v>
      </c>
      <c r="F148" s="52">
        <v>-351865.08</v>
      </c>
      <c r="G148" s="52">
        <v>-327300.84000000003</v>
      </c>
      <c r="H148" s="54">
        <f t="shared" si="9"/>
        <v>-339582.96</v>
      </c>
      <c r="I148" s="52">
        <v>-194581.35</v>
      </c>
      <c r="J148" s="52">
        <v>-158245.11000000002</v>
      </c>
      <c r="K148" s="54">
        <f t="shared" si="10"/>
        <v>-176413.23</v>
      </c>
      <c r="L148" s="52">
        <v>598390.38</v>
      </c>
      <c r="M148" s="52">
        <v>634530.42000000004</v>
      </c>
      <c r="N148" s="54">
        <f t="shared" si="11"/>
        <v>616460.4</v>
      </c>
    </row>
    <row r="149" spans="1:14" x14ac:dyDescent="0.3">
      <c r="A149" s="2">
        <v>116.4</v>
      </c>
      <c r="B149" s="2">
        <v>147</v>
      </c>
      <c r="C149" s="14">
        <v>549340.38</v>
      </c>
      <c r="D149" s="14">
        <v>626240.97000000009</v>
      </c>
      <c r="E149" s="54">
        <f t="shared" si="8"/>
        <v>587790.67500000005</v>
      </c>
      <c r="F149" s="52">
        <v>-329674.86000000004</v>
      </c>
      <c r="G149" s="52">
        <v>-304983.09000000003</v>
      </c>
      <c r="H149" s="54">
        <f t="shared" si="9"/>
        <v>-317328.97500000003</v>
      </c>
      <c r="I149" s="52">
        <v>-192413.34</v>
      </c>
      <c r="J149" s="52">
        <v>-156381.21000000002</v>
      </c>
      <c r="K149" s="54">
        <f t="shared" si="10"/>
        <v>-174397.27500000002</v>
      </c>
      <c r="L149" s="52">
        <v>607866.84000000008</v>
      </c>
      <c r="M149" s="52">
        <v>643948.02</v>
      </c>
      <c r="N149" s="54">
        <f t="shared" si="11"/>
        <v>625907.43000000005</v>
      </c>
    </row>
    <row r="150" spans="1:14" x14ac:dyDescent="0.3">
      <c r="A150" s="2">
        <v>117.2</v>
      </c>
      <c r="B150" s="2">
        <v>148</v>
      </c>
      <c r="C150" s="14">
        <v>542649.96000000008</v>
      </c>
      <c r="D150" s="14">
        <v>618137.91</v>
      </c>
      <c r="E150" s="54">
        <f t="shared" si="8"/>
        <v>580393.93500000006</v>
      </c>
      <c r="F150" s="52">
        <v>-308446.02</v>
      </c>
      <c r="G150" s="52">
        <v>-283754.25</v>
      </c>
      <c r="H150" s="54">
        <f t="shared" si="9"/>
        <v>-296100.13500000001</v>
      </c>
      <c r="I150" s="52">
        <v>-190137.42</v>
      </c>
      <c r="J150" s="52">
        <v>-154419.21000000002</v>
      </c>
      <c r="K150" s="54">
        <f t="shared" si="10"/>
        <v>-172278.315</v>
      </c>
      <c r="L150" s="52">
        <v>614939.85</v>
      </c>
      <c r="M150" s="52">
        <v>650716.92000000004</v>
      </c>
      <c r="N150" s="54">
        <f t="shared" si="11"/>
        <v>632828.38500000001</v>
      </c>
    </row>
    <row r="151" spans="1:14" x14ac:dyDescent="0.3">
      <c r="A151" s="2">
        <v>118</v>
      </c>
      <c r="B151" s="2">
        <v>149</v>
      </c>
      <c r="C151" s="14">
        <v>535792.77</v>
      </c>
      <c r="D151" s="14">
        <v>610005.42000000004</v>
      </c>
      <c r="E151" s="54">
        <f t="shared" si="8"/>
        <v>572899.09499999997</v>
      </c>
      <c r="F151" s="52">
        <v>-287285.85000000003</v>
      </c>
      <c r="G151" s="52">
        <v>-262623.51</v>
      </c>
      <c r="H151" s="54">
        <f t="shared" si="9"/>
        <v>-274954.68000000005</v>
      </c>
      <c r="I151" s="52">
        <v>-187665.30000000002</v>
      </c>
      <c r="J151" s="52">
        <v>-152310.06</v>
      </c>
      <c r="K151" s="54">
        <f t="shared" si="10"/>
        <v>-169987.68</v>
      </c>
      <c r="L151" s="52">
        <v>621797.04</v>
      </c>
      <c r="M151" s="52">
        <v>657220.95000000007</v>
      </c>
      <c r="N151" s="54">
        <f t="shared" si="11"/>
        <v>639508.99500000011</v>
      </c>
    </row>
    <row r="152" spans="1:14" x14ac:dyDescent="0.3">
      <c r="A152" s="2">
        <v>118.8</v>
      </c>
      <c r="B152" s="2">
        <v>150</v>
      </c>
      <c r="C152" s="14">
        <v>528759</v>
      </c>
      <c r="D152" s="14">
        <v>601500.15</v>
      </c>
      <c r="E152" s="54">
        <f t="shared" si="8"/>
        <v>565129.57499999995</v>
      </c>
      <c r="F152" s="52">
        <v>-267067.44</v>
      </c>
      <c r="G152" s="52">
        <v>-242777.88</v>
      </c>
      <c r="H152" s="54">
        <f t="shared" si="9"/>
        <v>-254922.66</v>
      </c>
      <c r="I152" s="52">
        <v>-185193.18000000002</v>
      </c>
      <c r="J152" s="52">
        <v>-150200.91</v>
      </c>
      <c r="K152" s="54">
        <f t="shared" si="10"/>
        <v>-167697.04500000001</v>
      </c>
      <c r="L152" s="52">
        <v>627035.58000000007</v>
      </c>
      <c r="M152" s="52">
        <v>661458.87</v>
      </c>
      <c r="N152" s="54">
        <f t="shared" si="11"/>
        <v>644247.22500000009</v>
      </c>
    </row>
    <row r="153" spans="1:14" x14ac:dyDescent="0.3">
      <c r="A153" s="2">
        <v>119.6</v>
      </c>
      <c r="B153" s="2">
        <v>151</v>
      </c>
      <c r="C153" s="14">
        <v>521470.17000000004</v>
      </c>
      <c r="D153" s="14">
        <v>592945.83000000007</v>
      </c>
      <c r="E153" s="54">
        <f t="shared" si="8"/>
        <v>557208</v>
      </c>
      <c r="F153" s="52">
        <v>-247594.59000000003</v>
      </c>
      <c r="G153" s="52">
        <v>-223079.40000000002</v>
      </c>
      <c r="H153" s="54">
        <f t="shared" si="9"/>
        <v>-235336.99500000002</v>
      </c>
      <c r="I153" s="52">
        <v>-182564.1</v>
      </c>
      <c r="J153" s="52">
        <v>-147974.04</v>
      </c>
      <c r="K153" s="54">
        <f t="shared" si="10"/>
        <v>-165269.07</v>
      </c>
      <c r="L153" s="52">
        <v>630017.82000000007</v>
      </c>
      <c r="M153" s="52">
        <v>664490.16</v>
      </c>
      <c r="N153" s="54">
        <f t="shared" si="11"/>
        <v>647253.99</v>
      </c>
    </row>
    <row r="154" spans="1:14" x14ac:dyDescent="0.3">
      <c r="A154" s="2">
        <v>120.4</v>
      </c>
      <c r="B154" s="2">
        <v>152</v>
      </c>
      <c r="C154" s="14">
        <v>514112.67000000004</v>
      </c>
      <c r="D154" s="14">
        <v>584195.31000000006</v>
      </c>
      <c r="E154" s="54">
        <f t="shared" si="8"/>
        <v>549153.99</v>
      </c>
      <c r="F154" s="52">
        <v>-228514.14</v>
      </c>
      <c r="G154" s="52">
        <v>-204067.62000000002</v>
      </c>
      <c r="H154" s="54">
        <f t="shared" si="9"/>
        <v>-216290.88</v>
      </c>
      <c r="I154" s="52">
        <v>-179856.54</v>
      </c>
      <c r="J154" s="52">
        <v>-145698.12</v>
      </c>
      <c r="K154" s="54">
        <f t="shared" si="10"/>
        <v>-162777.33000000002</v>
      </c>
      <c r="L154" s="52">
        <v>632166.21000000008</v>
      </c>
      <c r="M154" s="52">
        <v>666609.12</v>
      </c>
      <c r="N154" s="54">
        <f t="shared" si="11"/>
        <v>649387.66500000004</v>
      </c>
    </row>
    <row r="155" spans="1:14" x14ac:dyDescent="0.3">
      <c r="A155" s="2">
        <v>121.2</v>
      </c>
      <c r="B155" s="2">
        <v>153</v>
      </c>
      <c r="C155" s="14">
        <v>506588.4</v>
      </c>
      <c r="D155" s="14">
        <v>575170.11</v>
      </c>
      <c r="E155" s="54">
        <f t="shared" si="8"/>
        <v>540879.255</v>
      </c>
      <c r="F155" s="52">
        <v>-210110.58000000002</v>
      </c>
      <c r="G155" s="52">
        <v>-185987.79</v>
      </c>
      <c r="H155" s="54">
        <f t="shared" si="9"/>
        <v>-198049.185</v>
      </c>
      <c r="I155" s="52">
        <v>-176942.97</v>
      </c>
      <c r="J155" s="52">
        <v>-143275.05000000002</v>
      </c>
      <c r="K155" s="54">
        <f t="shared" si="10"/>
        <v>-160109.01</v>
      </c>
      <c r="L155" s="52">
        <v>632195.64</v>
      </c>
      <c r="M155" s="52">
        <v>665794.89</v>
      </c>
      <c r="N155" s="54">
        <f t="shared" si="11"/>
        <v>648995.26500000001</v>
      </c>
    </row>
    <row r="156" spans="1:14" x14ac:dyDescent="0.3">
      <c r="A156" s="2">
        <v>122</v>
      </c>
      <c r="B156" s="2">
        <v>154</v>
      </c>
      <c r="C156" s="14">
        <v>498858.12000000005</v>
      </c>
      <c r="D156" s="14">
        <v>565909.47</v>
      </c>
      <c r="E156" s="54">
        <f t="shared" si="8"/>
        <v>532383.79500000004</v>
      </c>
      <c r="F156" s="52">
        <v>-192472.2</v>
      </c>
      <c r="G156" s="52">
        <v>-168732</v>
      </c>
      <c r="H156" s="54">
        <f t="shared" si="9"/>
        <v>-180602.1</v>
      </c>
      <c r="I156" s="52">
        <v>-173980.35</v>
      </c>
      <c r="J156" s="52">
        <v>-140812.74000000002</v>
      </c>
      <c r="K156" s="54">
        <f t="shared" si="10"/>
        <v>-157396.54500000001</v>
      </c>
      <c r="L156" s="52">
        <v>631234.26</v>
      </c>
      <c r="M156" s="52">
        <v>664254.72000000009</v>
      </c>
      <c r="N156" s="54">
        <f t="shared" si="11"/>
        <v>647744.49</v>
      </c>
    </row>
    <row r="157" spans="1:14" x14ac:dyDescent="0.3">
      <c r="A157" s="2">
        <v>122.8</v>
      </c>
      <c r="B157" s="2">
        <v>155</v>
      </c>
      <c r="C157" s="14">
        <v>491000.31</v>
      </c>
      <c r="D157" s="14">
        <v>556648.83000000007</v>
      </c>
      <c r="E157" s="54">
        <f t="shared" si="8"/>
        <v>523824.57000000007</v>
      </c>
      <c r="F157" s="52">
        <v>-175412.61000000002</v>
      </c>
      <c r="G157" s="52">
        <v>-151486.02000000002</v>
      </c>
      <c r="H157" s="54">
        <f t="shared" si="9"/>
        <v>-163449.315</v>
      </c>
      <c r="I157" s="52">
        <v>-170919.63</v>
      </c>
      <c r="J157" s="52">
        <v>-138291.57</v>
      </c>
      <c r="K157" s="54">
        <f t="shared" si="10"/>
        <v>-154605.6</v>
      </c>
      <c r="L157" s="52">
        <v>628605.18000000005</v>
      </c>
      <c r="M157" s="52">
        <v>661223.43000000005</v>
      </c>
      <c r="N157" s="54">
        <f t="shared" si="11"/>
        <v>644914.30500000005</v>
      </c>
    </row>
    <row r="158" spans="1:14" x14ac:dyDescent="0.3">
      <c r="A158" s="2">
        <v>123.6</v>
      </c>
      <c r="B158" s="2">
        <v>156</v>
      </c>
      <c r="C158" s="14">
        <v>482946.30000000005</v>
      </c>
      <c r="D158" s="14">
        <v>547054.65</v>
      </c>
      <c r="E158" s="54">
        <f t="shared" si="8"/>
        <v>515000.47500000003</v>
      </c>
      <c r="F158" s="52">
        <v>-158931.81</v>
      </c>
      <c r="G158" s="52">
        <v>-135436.86000000002</v>
      </c>
      <c r="H158" s="54">
        <f t="shared" si="9"/>
        <v>-147184.33500000002</v>
      </c>
      <c r="I158" s="52">
        <v>-167751</v>
      </c>
      <c r="J158" s="52">
        <v>-135682.11000000002</v>
      </c>
      <c r="K158" s="54">
        <f t="shared" si="10"/>
        <v>-151716.55499999999</v>
      </c>
      <c r="L158" s="52">
        <v>624298.59000000008</v>
      </c>
      <c r="M158" s="52">
        <v>656220.33000000007</v>
      </c>
      <c r="N158" s="54">
        <f t="shared" si="11"/>
        <v>640259.46000000008</v>
      </c>
    </row>
    <row r="159" spans="1:14" x14ac:dyDescent="0.3">
      <c r="A159" s="2">
        <v>124.4</v>
      </c>
      <c r="B159" s="2">
        <v>157</v>
      </c>
      <c r="C159" s="14">
        <v>474774.57</v>
      </c>
      <c r="D159" s="14">
        <v>537303.51</v>
      </c>
      <c r="E159" s="54">
        <f t="shared" si="8"/>
        <v>506039.04000000004</v>
      </c>
      <c r="F159" s="52">
        <v>-143019.99000000002</v>
      </c>
      <c r="G159" s="52">
        <v>-119917.44</v>
      </c>
      <c r="H159" s="54">
        <f t="shared" si="9"/>
        <v>-131468.71500000003</v>
      </c>
      <c r="I159" s="52">
        <v>-164415.6</v>
      </c>
      <c r="J159" s="52">
        <v>-132954.93</v>
      </c>
      <c r="K159" s="54">
        <f t="shared" si="10"/>
        <v>-148685.26500000001</v>
      </c>
      <c r="L159" s="52">
        <v>619432.83000000007</v>
      </c>
      <c r="M159" s="52">
        <v>650805.21000000008</v>
      </c>
      <c r="N159" s="54">
        <f t="shared" si="11"/>
        <v>635119.02</v>
      </c>
    </row>
    <row r="160" spans="1:14" x14ac:dyDescent="0.3">
      <c r="A160" s="2">
        <v>125.2</v>
      </c>
      <c r="B160" s="2">
        <v>158</v>
      </c>
      <c r="C160" s="14">
        <v>466367.4</v>
      </c>
      <c r="D160" s="14">
        <v>527316.93000000005</v>
      </c>
      <c r="E160" s="54">
        <f t="shared" si="8"/>
        <v>496842.16500000004</v>
      </c>
      <c r="F160" s="52">
        <v>-127834.11</v>
      </c>
      <c r="G160" s="52">
        <v>-105261.3</v>
      </c>
      <c r="H160" s="54">
        <f t="shared" si="9"/>
        <v>-116547.705</v>
      </c>
      <c r="I160" s="52">
        <v>-161011.53</v>
      </c>
      <c r="J160" s="52">
        <v>-130159.08</v>
      </c>
      <c r="K160" s="54">
        <f t="shared" si="10"/>
        <v>-145585.30499999999</v>
      </c>
      <c r="L160" s="52">
        <v>612193.05000000005</v>
      </c>
      <c r="M160" s="52">
        <v>642466.71000000008</v>
      </c>
      <c r="N160" s="54">
        <f t="shared" si="11"/>
        <v>627329.88000000012</v>
      </c>
    </row>
    <row r="161" spans="1:14" x14ac:dyDescent="0.3">
      <c r="A161" s="2">
        <v>126</v>
      </c>
      <c r="B161" s="2">
        <v>159</v>
      </c>
      <c r="C161" s="14">
        <v>457852.32</v>
      </c>
      <c r="D161" s="14">
        <v>517153.77</v>
      </c>
      <c r="E161" s="54">
        <f t="shared" si="8"/>
        <v>487503.04500000004</v>
      </c>
      <c r="F161" s="52">
        <v>-113315.31000000001</v>
      </c>
      <c r="G161" s="52">
        <v>-91223.19</v>
      </c>
      <c r="H161" s="54">
        <f t="shared" si="9"/>
        <v>-102269.25</v>
      </c>
      <c r="I161" s="52">
        <v>-157470.12</v>
      </c>
      <c r="J161" s="52">
        <v>-127284.75</v>
      </c>
      <c r="K161" s="54">
        <f t="shared" si="10"/>
        <v>-142377.435</v>
      </c>
      <c r="L161" s="52">
        <v>603246.33000000007</v>
      </c>
      <c r="M161" s="52">
        <v>632882.34000000008</v>
      </c>
      <c r="N161" s="54">
        <f t="shared" si="11"/>
        <v>618064.33500000008</v>
      </c>
    </row>
    <row r="162" spans="1:14" x14ac:dyDescent="0.3">
      <c r="A162" s="2">
        <v>126.8</v>
      </c>
      <c r="B162" s="2">
        <v>160</v>
      </c>
      <c r="C162" s="14">
        <v>449190.09</v>
      </c>
      <c r="D162" s="14">
        <v>506941.56</v>
      </c>
      <c r="E162" s="54">
        <f t="shared" si="8"/>
        <v>478065.82500000001</v>
      </c>
      <c r="F162" s="52">
        <v>-99306.63</v>
      </c>
      <c r="G162" s="52">
        <v>-77351.850000000006</v>
      </c>
      <c r="H162" s="54">
        <f t="shared" si="9"/>
        <v>-88329.24</v>
      </c>
      <c r="I162" s="52">
        <v>-153850.23000000001</v>
      </c>
      <c r="J162" s="52">
        <v>-124390.8</v>
      </c>
      <c r="K162" s="54">
        <f t="shared" si="10"/>
        <v>-139120.51500000001</v>
      </c>
      <c r="L162" s="52">
        <v>592739.82000000007</v>
      </c>
      <c r="M162" s="52">
        <v>622601.46000000008</v>
      </c>
      <c r="N162" s="54">
        <f t="shared" si="11"/>
        <v>607670.64000000013</v>
      </c>
    </row>
    <row r="163" spans="1:14" x14ac:dyDescent="0.3">
      <c r="A163" s="2">
        <v>127.6</v>
      </c>
      <c r="B163" s="2">
        <v>161</v>
      </c>
      <c r="C163" s="14">
        <v>440282.61000000004</v>
      </c>
      <c r="D163" s="14">
        <v>496327.14</v>
      </c>
      <c r="E163" s="54">
        <f t="shared" si="8"/>
        <v>468304.875</v>
      </c>
      <c r="F163" s="52">
        <v>-86396.67</v>
      </c>
      <c r="G163" s="52">
        <v>-64952.01</v>
      </c>
      <c r="H163" s="54">
        <f t="shared" si="9"/>
        <v>-75674.34</v>
      </c>
      <c r="I163" s="52">
        <v>-150014.52000000002</v>
      </c>
      <c r="J163" s="52">
        <v>-121320.27</v>
      </c>
      <c r="K163" s="54">
        <f t="shared" si="10"/>
        <v>-135667.39500000002</v>
      </c>
      <c r="L163" s="52">
        <v>581850.72</v>
      </c>
      <c r="M163" s="52">
        <v>609544.35</v>
      </c>
      <c r="N163" s="54">
        <f t="shared" si="11"/>
        <v>595697.53499999992</v>
      </c>
    </row>
    <row r="164" spans="1:14" x14ac:dyDescent="0.3">
      <c r="A164" s="2">
        <v>128.4</v>
      </c>
      <c r="B164" s="2">
        <v>162</v>
      </c>
      <c r="C164" s="14">
        <v>431326.08</v>
      </c>
      <c r="D164" s="14">
        <v>485702.91000000003</v>
      </c>
      <c r="E164" s="54">
        <f t="shared" si="8"/>
        <v>458514.495</v>
      </c>
      <c r="F164" s="52">
        <v>-73545.570000000007</v>
      </c>
      <c r="G164" s="52">
        <v>-52601.22</v>
      </c>
      <c r="H164" s="54">
        <f t="shared" si="9"/>
        <v>-63073.395000000004</v>
      </c>
      <c r="I164" s="52">
        <v>-146178.81</v>
      </c>
      <c r="J164" s="52">
        <v>-118249.74</v>
      </c>
      <c r="K164" s="54">
        <f t="shared" si="10"/>
        <v>-132214.27499999999</v>
      </c>
      <c r="L164" s="52">
        <v>568234.44000000006</v>
      </c>
      <c r="M164" s="52">
        <v>596497.05000000005</v>
      </c>
      <c r="N164" s="54">
        <f t="shared" si="11"/>
        <v>582365.74500000011</v>
      </c>
    </row>
    <row r="165" spans="1:14" x14ac:dyDescent="0.3">
      <c r="A165" s="2">
        <v>129.19999999999999</v>
      </c>
      <c r="B165" s="2">
        <v>163</v>
      </c>
      <c r="C165" s="14">
        <v>422143.92000000004</v>
      </c>
      <c r="D165" s="14">
        <v>474872.67000000004</v>
      </c>
      <c r="E165" s="54">
        <f t="shared" si="8"/>
        <v>448508.29500000004</v>
      </c>
      <c r="F165" s="52">
        <v>-61390.98</v>
      </c>
      <c r="G165" s="52">
        <v>-40976.370000000003</v>
      </c>
      <c r="H165" s="54">
        <f t="shared" si="9"/>
        <v>-51183.675000000003</v>
      </c>
      <c r="I165" s="52">
        <v>-142215.57</v>
      </c>
      <c r="J165" s="52">
        <v>-115081.11</v>
      </c>
      <c r="K165" s="54">
        <f t="shared" si="10"/>
        <v>-128648.34</v>
      </c>
      <c r="L165" s="52">
        <v>553911.84000000008</v>
      </c>
      <c r="M165" s="52">
        <v>580752</v>
      </c>
      <c r="N165" s="54">
        <f t="shared" si="11"/>
        <v>567331.92000000004</v>
      </c>
    </row>
    <row r="166" spans="1:14" x14ac:dyDescent="0.3">
      <c r="A166" s="2">
        <v>130</v>
      </c>
      <c r="B166" s="2">
        <v>164</v>
      </c>
      <c r="C166" s="14">
        <v>412814.61000000004</v>
      </c>
      <c r="D166" s="14">
        <v>463777.56</v>
      </c>
      <c r="E166" s="54">
        <f t="shared" si="8"/>
        <v>438296.08500000002</v>
      </c>
      <c r="F166" s="52">
        <v>-50040.810000000005</v>
      </c>
      <c r="G166" s="52">
        <v>-30322.710000000003</v>
      </c>
      <c r="H166" s="54">
        <f t="shared" si="9"/>
        <v>-40181.760000000002</v>
      </c>
      <c r="I166" s="52">
        <v>-138124.80000000002</v>
      </c>
      <c r="J166" s="52">
        <v>-111834</v>
      </c>
      <c r="K166" s="54">
        <f t="shared" si="10"/>
        <v>-124979.40000000001</v>
      </c>
      <c r="L166" s="52">
        <v>537332.94000000006</v>
      </c>
      <c r="M166" s="52">
        <v>563133.24</v>
      </c>
      <c r="N166" s="54">
        <f t="shared" si="11"/>
        <v>550233.09000000008</v>
      </c>
    </row>
    <row r="167" spans="1:14" x14ac:dyDescent="0.3">
      <c r="A167" s="2">
        <v>130.80000000000001</v>
      </c>
      <c r="B167" s="2">
        <v>165</v>
      </c>
      <c r="C167" s="14">
        <v>403328.34</v>
      </c>
      <c r="D167" s="14">
        <v>452496.06</v>
      </c>
      <c r="E167" s="54">
        <f t="shared" si="8"/>
        <v>427912.2</v>
      </c>
      <c r="F167" s="52">
        <v>-39338.1</v>
      </c>
      <c r="G167" s="52">
        <v>-20424.420000000002</v>
      </c>
      <c r="H167" s="54">
        <f t="shared" si="9"/>
        <v>-29881.260000000002</v>
      </c>
      <c r="I167" s="52">
        <v>-133886.88</v>
      </c>
      <c r="J167" s="52">
        <v>-108449.55</v>
      </c>
      <c r="K167" s="54">
        <f t="shared" si="10"/>
        <v>-121168.215</v>
      </c>
      <c r="L167" s="52">
        <v>520165.44</v>
      </c>
      <c r="M167" s="52">
        <v>545514.48</v>
      </c>
      <c r="N167" s="54">
        <f t="shared" si="11"/>
        <v>532839.96</v>
      </c>
    </row>
    <row r="168" spans="1:14" x14ac:dyDescent="0.3">
      <c r="A168" s="2">
        <v>131.6</v>
      </c>
      <c r="B168" s="2">
        <v>166</v>
      </c>
      <c r="C168" s="14">
        <v>393655.68</v>
      </c>
      <c r="D168" s="14">
        <v>441194.94</v>
      </c>
      <c r="E168" s="54">
        <f t="shared" si="8"/>
        <v>417425.31</v>
      </c>
      <c r="F168" s="52">
        <v>-29430</v>
      </c>
      <c r="G168" s="52">
        <v>-10575.18</v>
      </c>
      <c r="H168" s="54">
        <f t="shared" si="9"/>
        <v>-20002.59</v>
      </c>
      <c r="I168" s="52">
        <v>-129511.62000000001</v>
      </c>
      <c r="J168" s="52">
        <v>-105065.1</v>
      </c>
      <c r="K168" s="54">
        <f t="shared" si="10"/>
        <v>-117288.36000000002</v>
      </c>
      <c r="L168" s="52">
        <v>500506.2</v>
      </c>
      <c r="M168" s="52">
        <v>524521.08000000007</v>
      </c>
      <c r="N168" s="54">
        <f t="shared" si="11"/>
        <v>512513.64</v>
      </c>
    </row>
    <row r="169" spans="1:14" x14ac:dyDescent="0.3">
      <c r="A169" s="2">
        <v>132.4</v>
      </c>
      <c r="B169" s="2">
        <v>167</v>
      </c>
      <c r="C169" s="14">
        <v>383914.35000000003</v>
      </c>
      <c r="D169" s="14">
        <v>429589.71</v>
      </c>
      <c r="E169" s="54">
        <f t="shared" si="8"/>
        <v>406752.03</v>
      </c>
      <c r="F169" s="52">
        <v>-19629.810000000001</v>
      </c>
      <c r="G169" s="52">
        <v>-1883.52</v>
      </c>
      <c r="H169" s="54">
        <f t="shared" si="9"/>
        <v>-10756.665000000001</v>
      </c>
      <c r="I169" s="52">
        <v>-125116.74</v>
      </c>
      <c r="J169" s="52">
        <v>-101562.93000000001</v>
      </c>
      <c r="K169" s="54">
        <f t="shared" si="10"/>
        <v>-113339.83500000001</v>
      </c>
      <c r="L169" s="52">
        <v>480562.47000000003</v>
      </c>
      <c r="M169" s="52">
        <v>503449.2</v>
      </c>
      <c r="N169" s="54">
        <f t="shared" si="11"/>
        <v>492005.83500000002</v>
      </c>
    </row>
    <row r="170" spans="1:14" x14ac:dyDescent="0.3">
      <c r="A170" s="2">
        <v>133.19999999999999</v>
      </c>
      <c r="B170" s="2">
        <v>168</v>
      </c>
      <c r="C170" s="14">
        <v>373967.01</v>
      </c>
      <c r="D170" s="14">
        <v>417866.76</v>
      </c>
      <c r="E170" s="54">
        <f t="shared" si="8"/>
        <v>395916.88500000001</v>
      </c>
      <c r="F170" s="52">
        <v>-10761.57</v>
      </c>
      <c r="G170" s="52">
        <v>6356.88</v>
      </c>
      <c r="H170" s="54">
        <f t="shared" si="9"/>
        <v>-2202.3449999999998</v>
      </c>
      <c r="I170" s="52">
        <v>-120555.09000000001</v>
      </c>
      <c r="J170" s="52">
        <v>-98021.52</v>
      </c>
      <c r="K170" s="54">
        <f t="shared" si="10"/>
        <v>-109288.30500000001</v>
      </c>
      <c r="L170" s="52">
        <v>458509.59</v>
      </c>
      <c r="M170" s="52">
        <v>480729.24000000005</v>
      </c>
      <c r="N170" s="54">
        <f t="shared" si="11"/>
        <v>469619.41500000004</v>
      </c>
    </row>
    <row r="171" spans="1:14" x14ac:dyDescent="0.3">
      <c r="A171" s="2">
        <v>134</v>
      </c>
      <c r="B171" s="2">
        <v>169</v>
      </c>
      <c r="C171" s="14">
        <v>363862.71</v>
      </c>
      <c r="D171" s="14">
        <v>405810.27</v>
      </c>
      <c r="E171" s="54">
        <f t="shared" si="8"/>
        <v>384836.49</v>
      </c>
      <c r="F171" s="52">
        <v>-2560.4100000000003</v>
      </c>
      <c r="G171" s="52">
        <v>13371.03</v>
      </c>
      <c r="H171" s="54">
        <f t="shared" si="9"/>
        <v>5405.31</v>
      </c>
      <c r="I171" s="52">
        <v>-115964.01000000001</v>
      </c>
      <c r="J171" s="52">
        <v>-94509.540000000008</v>
      </c>
      <c r="K171" s="54">
        <f t="shared" si="10"/>
        <v>-105236.77500000001</v>
      </c>
      <c r="L171" s="52">
        <v>434818.44</v>
      </c>
      <c r="M171" s="52">
        <v>455056.47000000003</v>
      </c>
      <c r="N171" s="54">
        <f t="shared" si="11"/>
        <v>444937.45500000002</v>
      </c>
    </row>
    <row r="172" spans="1:14" x14ac:dyDescent="0.3">
      <c r="A172" s="2">
        <v>134.80000000000001</v>
      </c>
      <c r="B172" s="2">
        <v>170</v>
      </c>
      <c r="C172" s="14">
        <v>353591.64</v>
      </c>
      <c r="D172" s="14">
        <v>393763.59</v>
      </c>
      <c r="E172" s="54">
        <f t="shared" si="8"/>
        <v>373677.61499999999</v>
      </c>
      <c r="F172" s="52">
        <v>5022.72</v>
      </c>
      <c r="G172" s="52">
        <v>20375.370000000003</v>
      </c>
      <c r="H172" s="54">
        <f t="shared" si="9"/>
        <v>12699.045000000002</v>
      </c>
      <c r="I172" s="52">
        <v>-111412.17000000001</v>
      </c>
      <c r="J172" s="52">
        <v>-90997.56</v>
      </c>
      <c r="K172" s="54">
        <f t="shared" si="10"/>
        <v>-101204.86500000001</v>
      </c>
      <c r="L172" s="52">
        <v>409655.79000000004</v>
      </c>
      <c r="M172" s="52">
        <v>429393.51</v>
      </c>
      <c r="N172" s="54">
        <f t="shared" si="11"/>
        <v>419524.65</v>
      </c>
    </row>
    <row r="173" spans="1:14" x14ac:dyDescent="0.3">
      <c r="A173" s="2">
        <v>135.6</v>
      </c>
      <c r="B173" s="2">
        <v>171</v>
      </c>
      <c r="C173" s="14">
        <v>343163.61000000004</v>
      </c>
      <c r="D173" s="14">
        <v>381491.28</v>
      </c>
      <c r="E173" s="54">
        <f t="shared" si="8"/>
        <v>362327.44500000007</v>
      </c>
      <c r="F173" s="52">
        <v>11958.390000000001</v>
      </c>
      <c r="G173" s="52">
        <v>26614.530000000002</v>
      </c>
      <c r="H173" s="54">
        <f t="shared" si="9"/>
        <v>19286.460000000003</v>
      </c>
      <c r="I173" s="52">
        <v>-106919.19</v>
      </c>
      <c r="J173" s="52">
        <v>-87583.680000000008</v>
      </c>
      <c r="K173" s="54">
        <f t="shared" si="10"/>
        <v>-97251.434999999998</v>
      </c>
      <c r="L173" s="52">
        <v>382992.21</v>
      </c>
      <c r="M173" s="52">
        <v>401974.56</v>
      </c>
      <c r="N173" s="54">
        <f t="shared" si="11"/>
        <v>392483.38500000001</v>
      </c>
    </row>
    <row r="174" spans="1:14" x14ac:dyDescent="0.3">
      <c r="A174" s="2">
        <v>136.4</v>
      </c>
      <c r="B174" s="2">
        <v>172</v>
      </c>
      <c r="C174" s="14">
        <v>332853.3</v>
      </c>
      <c r="D174" s="14">
        <v>369307.26</v>
      </c>
      <c r="E174" s="54">
        <f t="shared" si="8"/>
        <v>351080.28</v>
      </c>
      <c r="F174" s="52">
        <v>18540.900000000001</v>
      </c>
      <c r="G174" s="52">
        <v>32314.140000000003</v>
      </c>
      <c r="H174" s="54">
        <f t="shared" si="9"/>
        <v>25427.520000000004</v>
      </c>
      <c r="I174" s="52">
        <v>-102632.22</v>
      </c>
      <c r="J174" s="52">
        <v>-84424.86</v>
      </c>
      <c r="K174" s="54">
        <f t="shared" si="10"/>
        <v>-93528.540000000008</v>
      </c>
      <c r="L174" s="52">
        <v>355288.77</v>
      </c>
      <c r="M174" s="52">
        <v>373142.97000000003</v>
      </c>
      <c r="N174" s="54">
        <f t="shared" si="11"/>
        <v>364215.87</v>
      </c>
    </row>
    <row r="175" spans="1:14" x14ac:dyDescent="0.3">
      <c r="A175" s="2">
        <v>137.19999999999999</v>
      </c>
      <c r="B175" s="2">
        <v>173</v>
      </c>
      <c r="C175" s="14">
        <v>322964.82</v>
      </c>
      <c r="D175" s="14">
        <v>357594.12</v>
      </c>
      <c r="E175" s="54">
        <f t="shared" si="8"/>
        <v>340279.47</v>
      </c>
      <c r="F175" s="52">
        <v>24976.260000000002</v>
      </c>
      <c r="G175" s="52">
        <v>37905.840000000004</v>
      </c>
      <c r="H175" s="54">
        <f t="shared" si="9"/>
        <v>31441.050000000003</v>
      </c>
      <c r="I175" s="52">
        <v>-98639.55</v>
      </c>
      <c r="J175" s="52">
        <v>-81501.48000000001</v>
      </c>
      <c r="K175" s="54">
        <f t="shared" si="10"/>
        <v>-90070.515000000014</v>
      </c>
      <c r="L175" s="52">
        <v>327820.77</v>
      </c>
      <c r="M175" s="52">
        <v>344586.06</v>
      </c>
      <c r="N175" s="54">
        <f t="shared" si="11"/>
        <v>336203.41500000004</v>
      </c>
    </row>
    <row r="176" spans="1:14" x14ac:dyDescent="0.3">
      <c r="A176" s="2">
        <v>138</v>
      </c>
      <c r="B176" s="2">
        <v>174</v>
      </c>
      <c r="C176" s="14">
        <v>313233.3</v>
      </c>
      <c r="D176" s="14">
        <v>346086.99</v>
      </c>
      <c r="E176" s="54">
        <f t="shared" si="8"/>
        <v>329660.14500000002</v>
      </c>
      <c r="F176" s="52">
        <v>31244.850000000002</v>
      </c>
      <c r="G176" s="52">
        <v>43360.200000000004</v>
      </c>
      <c r="H176" s="54">
        <f t="shared" si="9"/>
        <v>37302.525000000001</v>
      </c>
      <c r="I176" s="52">
        <v>-94715.55</v>
      </c>
      <c r="J176" s="52">
        <v>-78636.960000000006</v>
      </c>
      <c r="K176" s="54">
        <f t="shared" si="10"/>
        <v>-86676.255000000005</v>
      </c>
      <c r="L176" s="52">
        <v>301000.23000000004</v>
      </c>
      <c r="M176" s="52">
        <v>316715.85000000003</v>
      </c>
      <c r="N176" s="54">
        <f t="shared" si="11"/>
        <v>308858.04000000004</v>
      </c>
    </row>
    <row r="177" spans="1:14" x14ac:dyDescent="0.3">
      <c r="A177" s="2">
        <v>138.80000000000001</v>
      </c>
      <c r="B177" s="2">
        <v>175</v>
      </c>
      <c r="C177" s="14">
        <v>303599.88</v>
      </c>
      <c r="D177" s="14">
        <v>334746.63</v>
      </c>
      <c r="E177" s="54">
        <f t="shared" si="8"/>
        <v>319173.255</v>
      </c>
      <c r="F177" s="52">
        <v>36993.51</v>
      </c>
      <c r="G177" s="52">
        <v>48333.87</v>
      </c>
      <c r="H177" s="54">
        <f t="shared" si="9"/>
        <v>42663.69</v>
      </c>
      <c r="I177" s="52">
        <v>-90958.32</v>
      </c>
      <c r="J177" s="52">
        <v>-75870.540000000008</v>
      </c>
      <c r="K177" s="54">
        <f t="shared" si="10"/>
        <v>-83414.430000000008</v>
      </c>
      <c r="L177" s="52">
        <v>275729.67000000004</v>
      </c>
      <c r="M177" s="52">
        <v>290444.67000000004</v>
      </c>
      <c r="N177" s="54">
        <f t="shared" si="11"/>
        <v>283087.17000000004</v>
      </c>
    </row>
    <row r="178" spans="1:14" x14ac:dyDescent="0.3">
      <c r="A178" s="2">
        <v>139.6</v>
      </c>
      <c r="B178" s="2">
        <v>176</v>
      </c>
      <c r="C178" s="14">
        <v>293927.22000000003</v>
      </c>
      <c r="D178" s="14">
        <v>323425.89</v>
      </c>
      <c r="E178" s="54">
        <f t="shared" si="8"/>
        <v>308676.55500000005</v>
      </c>
      <c r="F178" s="52">
        <v>42094.71</v>
      </c>
      <c r="G178" s="52">
        <v>52699.32</v>
      </c>
      <c r="H178" s="54">
        <f t="shared" si="9"/>
        <v>47397.014999999999</v>
      </c>
      <c r="I178" s="52">
        <v>-87446.340000000011</v>
      </c>
      <c r="J178" s="52">
        <v>-73310.13</v>
      </c>
      <c r="K178" s="54">
        <f t="shared" si="10"/>
        <v>-80378.235000000015</v>
      </c>
      <c r="L178" s="52">
        <v>252097.38</v>
      </c>
      <c r="M178" s="52">
        <v>265860.81</v>
      </c>
      <c r="N178" s="54">
        <f t="shared" si="11"/>
        <v>258979.095</v>
      </c>
    </row>
    <row r="179" spans="1:14" x14ac:dyDescent="0.3">
      <c r="A179" s="2">
        <v>140.4</v>
      </c>
      <c r="B179" s="2">
        <v>177</v>
      </c>
      <c r="C179" s="14">
        <v>284234.94</v>
      </c>
      <c r="D179" s="14">
        <v>312114.96000000002</v>
      </c>
      <c r="E179" s="54">
        <f t="shared" si="8"/>
        <v>298174.95</v>
      </c>
      <c r="F179" s="52">
        <v>47137.05</v>
      </c>
      <c r="G179" s="52">
        <v>57015.72</v>
      </c>
      <c r="H179" s="54">
        <f t="shared" si="9"/>
        <v>52076.385000000002</v>
      </c>
      <c r="I179" s="52">
        <v>-83934.36</v>
      </c>
      <c r="J179" s="52">
        <v>-70749.72</v>
      </c>
      <c r="K179" s="54">
        <f t="shared" si="10"/>
        <v>-77342.040000000008</v>
      </c>
      <c r="L179" s="52">
        <v>228465.09000000003</v>
      </c>
      <c r="M179" s="52">
        <v>241276.95</v>
      </c>
      <c r="N179" s="54">
        <f t="shared" si="11"/>
        <v>234871.02000000002</v>
      </c>
    </row>
    <row r="180" spans="1:14" x14ac:dyDescent="0.3">
      <c r="A180" s="2">
        <v>141.19999999999999</v>
      </c>
      <c r="B180" s="2">
        <v>178</v>
      </c>
      <c r="C180" s="14">
        <v>274562.28000000003</v>
      </c>
      <c r="D180" s="14">
        <v>300911.94</v>
      </c>
      <c r="E180" s="54">
        <f t="shared" si="8"/>
        <v>287737.11</v>
      </c>
      <c r="F180" s="52">
        <v>51247.44</v>
      </c>
      <c r="G180" s="52">
        <v>60459.030000000006</v>
      </c>
      <c r="H180" s="54">
        <f t="shared" si="9"/>
        <v>55853.235000000001</v>
      </c>
      <c r="I180" s="52">
        <v>-80726.490000000005</v>
      </c>
      <c r="J180" s="52">
        <v>-68395.320000000007</v>
      </c>
      <c r="K180" s="54">
        <f t="shared" si="10"/>
        <v>-74560.904999999999</v>
      </c>
      <c r="L180" s="52">
        <v>207559.98</v>
      </c>
      <c r="M180" s="52">
        <v>219498.75</v>
      </c>
      <c r="N180" s="54">
        <f t="shared" si="11"/>
        <v>213529.36499999999</v>
      </c>
    </row>
    <row r="181" spans="1:14" x14ac:dyDescent="0.3">
      <c r="A181" s="2">
        <v>142</v>
      </c>
      <c r="B181" s="2">
        <v>179</v>
      </c>
      <c r="C181" s="14">
        <v>264899.43</v>
      </c>
      <c r="D181" s="14">
        <v>289718.73000000004</v>
      </c>
      <c r="E181" s="54">
        <f t="shared" si="8"/>
        <v>277309.08</v>
      </c>
      <c r="F181" s="52">
        <v>55259.73</v>
      </c>
      <c r="G181" s="52">
        <v>63823.86</v>
      </c>
      <c r="H181" s="54">
        <f t="shared" si="9"/>
        <v>59541.794999999998</v>
      </c>
      <c r="I181" s="52">
        <v>-77518.62000000001</v>
      </c>
      <c r="J181" s="52">
        <v>-66050.73000000001</v>
      </c>
      <c r="K181" s="54">
        <f t="shared" si="10"/>
        <v>-71784.675000000017</v>
      </c>
      <c r="L181" s="52">
        <v>186645.06</v>
      </c>
      <c r="M181" s="52">
        <v>197720.55000000002</v>
      </c>
      <c r="N181" s="54">
        <f t="shared" si="11"/>
        <v>192182.80499999999</v>
      </c>
    </row>
    <row r="182" spans="1:14" x14ac:dyDescent="0.3">
      <c r="A182" s="2">
        <v>142.80000000000001</v>
      </c>
      <c r="B182" s="2">
        <v>180</v>
      </c>
      <c r="C182" s="14">
        <v>255285.63</v>
      </c>
      <c r="D182" s="14">
        <v>278682.48000000004</v>
      </c>
      <c r="E182" s="54">
        <f t="shared" si="8"/>
        <v>266984.05500000005</v>
      </c>
      <c r="F182" s="52">
        <v>58506.840000000004</v>
      </c>
      <c r="G182" s="52">
        <v>66452.94</v>
      </c>
      <c r="H182" s="54">
        <f t="shared" si="9"/>
        <v>62479.89</v>
      </c>
      <c r="I182" s="52">
        <v>-74408.850000000006</v>
      </c>
      <c r="J182" s="52">
        <v>-63755.19</v>
      </c>
      <c r="K182" s="54">
        <f t="shared" si="10"/>
        <v>-69082.02</v>
      </c>
      <c r="L182" s="52">
        <v>167348.79</v>
      </c>
      <c r="M182" s="52">
        <v>177610.05000000002</v>
      </c>
      <c r="N182" s="54">
        <f t="shared" si="11"/>
        <v>172479.42</v>
      </c>
    </row>
    <row r="183" spans="1:14" x14ac:dyDescent="0.3">
      <c r="A183" s="2">
        <v>143.6</v>
      </c>
      <c r="B183" s="2">
        <v>181</v>
      </c>
      <c r="C183" s="14">
        <v>245691.45</v>
      </c>
      <c r="D183" s="14">
        <v>267656.04000000004</v>
      </c>
      <c r="E183" s="54">
        <f t="shared" si="8"/>
        <v>256673.74500000002</v>
      </c>
      <c r="F183" s="52">
        <v>61675.47</v>
      </c>
      <c r="G183" s="52">
        <v>69023.16</v>
      </c>
      <c r="H183" s="54">
        <f t="shared" si="9"/>
        <v>65349.315000000002</v>
      </c>
      <c r="I183" s="52">
        <v>-71387.37000000001</v>
      </c>
      <c r="J183" s="52">
        <v>-61508.700000000004</v>
      </c>
      <c r="K183" s="54">
        <f t="shared" si="10"/>
        <v>-66448.035000000003</v>
      </c>
      <c r="L183" s="52">
        <v>149484.78</v>
      </c>
      <c r="M183" s="52">
        <v>158961.24000000002</v>
      </c>
      <c r="N183" s="54">
        <f t="shared" si="11"/>
        <v>154223.01</v>
      </c>
    </row>
    <row r="184" spans="1:14" x14ac:dyDescent="0.3">
      <c r="A184" s="2">
        <v>144.4</v>
      </c>
      <c r="B184" s="2">
        <v>182</v>
      </c>
      <c r="C184" s="14">
        <v>236185.56</v>
      </c>
      <c r="D184" s="14">
        <v>256786.56000000003</v>
      </c>
      <c r="E184" s="54">
        <f t="shared" si="8"/>
        <v>246486.06</v>
      </c>
      <c r="F184" s="52">
        <v>64186.83</v>
      </c>
      <c r="G184" s="52">
        <v>70985.16</v>
      </c>
      <c r="H184" s="54">
        <f t="shared" si="9"/>
        <v>67585.994999999995</v>
      </c>
      <c r="I184" s="52">
        <v>-68424.75</v>
      </c>
      <c r="J184" s="52">
        <v>-59291.64</v>
      </c>
      <c r="K184" s="54">
        <f t="shared" si="10"/>
        <v>-63858.195</v>
      </c>
      <c r="L184" s="52">
        <v>132503.67000000001</v>
      </c>
      <c r="M184" s="52">
        <v>141234.57</v>
      </c>
      <c r="N184" s="54">
        <f t="shared" si="11"/>
        <v>136869.12</v>
      </c>
    </row>
    <row r="185" spans="1:14" x14ac:dyDescent="0.3">
      <c r="A185" s="2">
        <v>145.19999999999999</v>
      </c>
      <c r="B185" s="2">
        <v>183</v>
      </c>
      <c r="C185" s="14">
        <v>226699.29</v>
      </c>
      <c r="D185" s="14">
        <v>246015.18000000002</v>
      </c>
      <c r="E185" s="54">
        <f t="shared" si="8"/>
        <v>236357.23500000002</v>
      </c>
      <c r="F185" s="52">
        <v>66345.03</v>
      </c>
      <c r="G185" s="52">
        <v>72613.62000000001</v>
      </c>
      <c r="H185" s="54">
        <f t="shared" si="9"/>
        <v>69479.325000000012</v>
      </c>
      <c r="I185" s="52">
        <v>-65560.23000000001</v>
      </c>
      <c r="J185" s="52">
        <v>-57123.630000000005</v>
      </c>
      <c r="K185" s="54">
        <f t="shared" si="10"/>
        <v>-61341.930000000008</v>
      </c>
      <c r="L185" s="52">
        <v>117003.87000000001</v>
      </c>
      <c r="M185" s="52">
        <v>125048.07</v>
      </c>
      <c r="N185" s="54">
        <f t="shared" si="11"/>
        <v>121025.97</v>
      </c>
    </row>
    <row r="186" spans="1:14" x14ac:dyDescent="0.3">
      <c r="A186" s="2">
        <v>146</v>
      </c>
      <c r="B186" s="2">
        <v>184</v>
      </c>
      <c r="C186" s="14">
        <v>217360.17</v>
      </c>
      <c r="D186" s="14">
        <v>235449.81</v>
      </c>
      <c r="E186" s="54">
        <f t="shared" si="8"/>
        <v>226404.99</v>
      </c>
      <c r="F186" s="52">
        <v>67885.2</v>
      </c>
      <c r="G186" s="52">
        <v>73663.290000000008</v>
      </c>
      <c r="H186" s="54">
        <f t="shared" si="9"/>
        <v>70774.244999999995</v>
      </c>
      <c r="I186" s="52">
        <v>-62725.140000000007</v>
      </c>
      <c r="J186" s="52">
        <v>-54975.240000000005</v>
      </c>
      <c r="K186" s="54">
        <f t="shared" si="10"/>
        <v>-58850.19</v>
      </c>
      <c r="L186" s="52">
        <v>102004.38</v>
      </c>
      <c r="M186" s="52">
        <v>109361.88</v>
      </c>
      <c r="N186" s="54">
        <f t="shared" si="11"/>
        <v>105683.13</v>
      </c>
    </row>
    <row r="187" spans="1:14" x14ac:dyDescent="0.3">
      <c r="A187" s="2">
        <v>146.80000000000001</v>
      </c>
      <c r="B187" s="2">
        <v>185</v>
      </c>
      <c r="C187" s="14">
        <v>208021.05000000002</v>
      </c>
      <c r="D187" s="14">
        <v>224884.44</v>
      </c>
      <c r="E187" s="54">
        <f t="shared" si="8"/>
        <v>216452.745</v>
      </c>
      <c r="F187" s="52">
        <v>69425.37000000001</v>
      </c>
      <c r="G187" s="52">
        <v>74722.77</v>
      </c>
      <c r="H187" s="54">
        <f t="shared" si="9"/>
        <v>72074.070000000007</v>
      </c>
      <c r="I187" s="52">
        <v>-60047.01</v>
      </c>
      <c r="J187" s="52">
        <v>-52905.33</v>
      </c>
      <c r="K187" s="54">
        <f t="shared" si="10"/>
        <v>-56476.17</v>
      </c>
      <c r="L187" s="52">
        <v>89104.23000000001</v>
      </c>
      <c r="M187" s="52">
        <v>95853.510000000009</v>
      </c>
      <c r="N187" s="54">
        <f t="shared" si="11"/>
        <v>92478.87000000001</v>
      </c>
    </row>
    <row r="188" spans="1:14" x14ac:dyDescent="0.3">
      <c r="A188" s="2">
        <v>147.6</v>
      </c>
      <c r="B188" s="2">
        <v>186</v>
      </c>
      <c r="C188" s="14">
        <v>198819.27000000002</v>
      </c>
      <c r="D188" s="14">
        <v>214564.32</v>
      </c>
      <c r="E188" s="54">
        <f t="shared" si="8"/>
        <v>206691.79500000001</v>
      </c>
      <c r="F188" s="52">
        <v>70347.510000000009</v>
      </c>
      <c r="G188" s="52">
        <v>75203.460000000006</v>
      </c>
      <c r="H188" s="54">
        <f t="shared" si="9"/>
        <v>72775.485000000015</v>
      </c>
      <c r="I188" s="52">
        <v>-57359.07</v>
      </c>
      <c r="J188" s="52">
        <v>-50825.61</v>
      </c>
      <c r="K188" s="54">
        <f t="shared" si="10"/>
        <v>-54092.34</v>
      </c>
      <c r="L188" s="52">
        <v>76213.89</v>
      </c>
      <c r="M188" s="52">
        <v>82345.14</v>
      </c>
      <c r="N188" s="54">
        <f t="shared" si="11"/>
        <v>79279.514999999999</v>
      </c>
    </row>
    <row r="189" spans="1:14" x14ac:dyDescent="0.3">
      <c r="A189" s="2">
        <v>148.4</v>
      </c>
      <c r="B189" s="2">
        <v>187</v>
      </c>
      <c r="C189" s="14">
        <v>189695.97</v>
      </c>
      <c r="D189" s="14">
        <v>204312.87000000002</v>
      </c>
      <c r="E189" s="54">
        <f t="shared" si="8"/>
        <v>197004.42</v>
      </c>
      <c r="F189" s="52">
        <v>71112.69</v>
      </c>
      <c r="G189" s="52">
        <v>75537</v>
      </c>
      <c r="H189" s="54">
        <f t="shared" si="9"/>
        <v>73324.845000000001</v>
      </c>
      <c r="I189" s="52">
        <v>-54759.420000000006</v>
      </c>
      <c r="J189" s="52">
        <v>-48804.75</v>
      </c>
      <c r="K189" s="54">
        <f t="shared" si="10"/>
        <v>-51782.085000000006</v>
      </c>
      <c r="L189" s="52">
        <v>64608.66</v>
      </c>
      <c r="M189" s="52">
        <v>70180.740000000005</v>
      </c>
      <c r="N189" s="54">
        <f t="shared" si="11"/>
        <v>67394.700000000012</v>
      </c>
    </row>
    <row r="190" spans="1:14" x14ac:dyDescent="0.3">
      <c r="A190" s="2">
        <v>149.19999999999999</v>
      </c>
      <c r="B190" s="2">
        <v>188</v>
      </c>
      <c r="C190" s="14">
        <v>180778.68000000002</v>
      </c>
      <c r="D190" s="14">
        <v>194345.91</v>
      </c>
      <c r="E190" s="54">
        <f t="shared" si="8"/>
        <v>187562.29500000001</v>
      </c>
      <c r="F190" s="52">
        <v>71269.650000000009</v>
      </c>
      <c r="G190" s="52">
        <v>75311.37000000001</v>
      </c>
      <c r="H190" s="54">
        <f t="shared" si="9"/>
        <v>73290.510000000009</v>
      </c>
      <c r="I190" s="52">
        <v>-52248.060000000005</v>
      </c>
      <c r="J190" s="52">
        <v>-46813.32</v>
      </c>
      <c r="K190" s="54">
        <f t="shared" si="10"/>
        <v>-49530.69</v>
      </c>
      <c r="L190" s="52">
        <v>54249.3</v>
      </c>
      <c r="M190" s="52">
        <v>59291.64</v>
      </c>
      <c r="N190" s="54">
        <f t="shared" si="11"/>
        <v>56770.47</v>
      </c>
    </row>
    <row r="191" spans="1:14" x14ac:dyDescent="0.3">
      <c r="A191" s="2">
        <v>150</v>
      </c>
      <c r="B191" s="2">
        <v>189</v>
      </c>
      <c r="C191" s="14">
        <v>171861.39</v>
      </c>
      <c r="D191" s="14">
        <v>184516.29</v>
      </c>
      <c r="E191" s="54">
        <f t="shared" si="8"/>
        <v>178188.84000000003</v>
      </c>
      <c r="F191" s="52">
        <v>71191.17</v>
      </c>
      <c r="G191" s="52">
        <v>74879.73000000001</v>
      </c>
      <c r="H191" s="54">
        <f t="shared" si="9"/>
        <v>73035.450000000012</v>
      </c>
      <c r="I191" s="52">
        <v>-49785.75</v>
      </c>
      <c r="J191" s="52">
        <v>-44861.130000000005</v>
      </c>
      <c r="K191" s="54">
        <f t="shared" si="10"/>
        <v>-47323.44</v>
      </c>
      <c r="L191" s="52">
        <v>44684.55</v>
      </c>
      <c r="M191" s="52">
        <v>49236.39</v>
      </c>
      <c r="N191" s="54">
        <f t="shared" si="11"/>
        <v>46960.47</v>
      </c>
    </row>
    <row r="192" spans="1:14" x14ac:dyDescent="0.3">
      <c r="A192" s="2">
        <v>150.80000000000001</v>
      </c>
      <c r="B192" s="2">
        <v>190</v>
      </c>
      <c r="C192" s="14">
        <v>163101.06</v>
      </c>
      <c r="D192" s="14">
        <v>174735.72</v>
      </c>
      <c r="E192" s="54">
        <f t="shared" si="8"/>
        <v>168918.39</v>
      </c>
      <c r="F192" s="52">
        <v>71024.400000000009</v>
      </c>
      <c r="G192" s="52">
        <v>74349.990000000005</v>
      </c>
      <c r="H192" s="54">
        <f t="shared" si="9"/>
        <v>72687.195000000007</v>
      </c>
      <c r="I192" s="52">
        <v>-47343.060000000005</v>
      </c>
      <c r="J192" s="52">
        <v>-42899.130000000005</v>
      </c>
      <c r="K192" s="54">
        <f t="shared" si="10"/>
        <v>-45121.095000000001</v>
      </c>
      <c r="L192" s="52">
        <v>35394.480000000003</v>
      </c>
      <c r="M192" s="52">
        <v>39455.82</v>
      </c>
      <c r="N192" s="54">
        <f t="shared" si="11"/>
        <v>37425.15</v>
      </c>
    </row>
    <row r="193" spans="1:14" x14ac:dyDescent="0.3">
      <c r="A193" s="2">
        <v>151.6</v>
      </c>
      <c r="B193" s="2">
        <v>191</v>
      </c>
      <c r="C193" s="14">
        <v>154517.31</v>
      </c>
      <c r="D193" s="14">
        <v>165249.45000000001</v>
      </c>
      <c r="E193" s="54">
        <f t="shared" si="8"/>
        <v>159883.38</v>
      </c>
      <c r="F193" s="52">
        <v>70347.510000000009</v>
      </c>
      <c r="G193" s="52">
        <v>73349.37000000001</v>
      </c>
      <c r="H193" s="54">
        <f t="shared" si="9"/>
        <v>71848.44</v>
      </c>
      <c r="I193" s="52">
        <v>-44978.850000000006</v>
      </c>
      <c r="J193" s="52">
        <v>-40976.370000000003</v>
      </c>
      <c r="K193" s="54">
        <f t="shared" si="10"/>
        <v>-42977.61</v>
      </c>
      <c r="L193" s="52">
        <v>27448.38</v>
      </c>
      <c r="M193" s="52">
        <v>31068.27</v>
      </c>
      <c r="N193" s="54">
        <f t="shared" si="11"/>
        <v>29258.325000000001</v>
      </c>
    </row>
    <row r="194" spans="1:14" x14ac:dyDescent="0.3">
      <c r="A194" s="2">
        <v>152.4</v>
      </c>
      <c r="B194" s="2">
        <v>192</v>
      </c>
      <c r="C194" s="14">
        <v>146149.38</v>
      </c>
      <c r="D194" s="14">
        <v>156008.43000000002</v>
      </c>
      <c r="E194" s="54">
        <f t="shared" ref="E194:E257" si="12">(C194+D194)/2</f>
        <v>151078.90500000003</v>
      </c>
      <c r="F194" s="52">
        <v>69307.650000000009</v>
      </c>
      <c r="G194" s="52">
        <v>72015.210000000006</v>
      </c>
      <c r="H194" s="54">
        <f t="shared" ref="H194:H257" si="13">(F194+G194)/2</f>
        <v>70661.430000000008</v>
      </c>
      <c r="I194" s="52">
        <v>-42663.69</v>
      </c>
      <c r="J194" s="52">
        <v>-39053.61</v>
      </c>
      <c r="K194" s="54">
        <f t="shared" ref="K194:K257" si="14">(I194+J194)/2</f>
        <v>-40858.65</v>
      </c>
      <c r="L194" s="52">
        <v>20601</v>
      </c>
      <c r="M194" s="52">
        <v>23828.49</v>
      </c>
      <c r="N194" s="54">
        <f t="shared" ref="N194:N257" si="15">(L194+M194)/2</f>
        <v>22214.745000000003</v>
      </c>
    </row>
    <row r="195" spans="1:14" x14ac:dyDescent="0.3">
      <c r="A195" s="2">
        <v>153.19999999999999</v>
      </c>
      <c r="B195" s="2">
        <v>193</v>
      </c>
      <c r="C195" s="14">
        <v>137791.26</v>
      </c>
      <c r="D195" s="14">
        <v>146865.51</v>
      </c>
      <c r="E195" s="54">
        <f t="shared" si="12"/>
        <v>142328.38500000001</v>
      </c>
      <c r="F195" s="52">
        <v>68120.639999999999</v>
      </c>
      <c r="G195" s="52">
        <v>70553.52</v>
      </c>
      <c r="H195" s="54">
        <f t="shared" si="13"/>
        <v>69337.08</v>
      </c>
      <c r="I195" s="52">
        <v>-40348.53</v>
      </c>
      <c r="J195" s="52">
        <v>-37130.85</v>
      </c>
      <c r="K195" s="54">
        <f t="shared" si="14"/>
        <v>-38739.69</v>
      </c>
      <c r="L195" s="52">
        <v>14077.35</v>
      </c>
      <c r="M195" s="52">
        <v>16922.25</v>
      </c>
      <c r="N195" s="54">
        <f t="shared" si="15"/>
        <v>15499.8</v>
      </c>
    </row>
    <row r="196" spans="1:14" x14ac:dyDescent="0.3">
      <c r="A196" s="2">
        <v>154</v>
      </c>
      <c r="B196" s="2">
        <v>194</v>
      </c>
      <c r="C196" s="14">
        <v>129658.77</v>
      </c>
      <c r="D196" s="14">
        <v>138007.08000000002</v>
      </c>
      <c r="E196" s="54">
        <f t="shared" si="12"/>
        <v>133832.92500000002</v>
      </c>
      <c r="F196" s="52">
        <v>66521.61</v>
      </c>
      <c r="G196" s="52">
        <v>68709.240000000005</v>
      </c>
      <c r="H196" s="54">
        <f t="shared" si="13"/>
        <v>67615.425000000003</v>
      </c>
      <c r="I196" s="52">
        <v>-38062.800000000003</v>
      </c>
      <c r="J196" s="52">
        <v>-35119.800000000003</v>
      </c>
      <c r="K196" s="54">
        <f t="shared" si="14"/>
        <v>-36591.300000000003</v>
      </c>
      <c r="L196" s="52">
        <v>8544.51</v>
      </c>
      <c r="M196" s="52">
        <v>11046.060000000001</v>
      </c>
      <c r="N196" s="54">
        <f t="shared" si="15"/>
        <v>9795.2849999999999</v>
      </c>
    </row>
    <row r="197" spans="1:14" x14ac:dyDescent="0.3">
      <c r="A197" s="2">
        <v>154.80000000000001</v>
      </c>
      <c r="B197" s="2">
        <v>195</v>
      </c>
      <c r="C197" s="14">
        <v>121614.57</v>
      </c>
      <c r="D197" s="14">
        <v>129178.08</v>
      </c>
      <c r="E197" s="54">
        <f t="shared" si="12"/>
        <v>125396.32500000001</v>
      </c>
      <c r="F197" s="52">
        <v>64902.960000000006</v>
      </c>
      <c r="G197" s="52">
        <v>66845.34</v>
      </c>
      <c r="H197" s="54">
        <f t="shared" si="13"/>
        <v>65874.149999999994</v>
      </c>
      <c r="I197" s="52">
        <v>-35767.26</v>
      </c>
      <c r="J197" s="52">
        <v>-33226.47</v>
      </c>
      <c r="K197" s="54">
        <f t="shared" si="14"/>
        <v>-34496.865000000005</v>
      </c>
      <c r="L197" s="52">
        <v>3717.9900000000002</v>
      </c>
      <c r="M197" s="52">
        <v>5905.62</v>
      </c>
      <c r="N197" s="54">
        <f t="shared" si="15"/>
        <v>4811.8050000000003</v>
      </c>
    </row>
    <row r="198" spans="1:14" x14ac:dyDescent="0.3">
      <c r="A198" s="2">
        <v>155.6</v>
      </c>
      <c r="B198" s="2">
        <v>196</v>
      </c>
      <c r="C198" s="14">
        <v>113845.05</v>
      </c>
      <c r="D198" s="14">
        <v>120761.1</v>
      </c>
      <c r="E198" s="54">
        <f t="shared" si="12"/>
        <v>117303.07500000001</v>
      </c>
      <c r="F198" s="52">
        <v>62754.57</v>
      </c>
      <c r="G198" s="52">
        <v>64481.130000000005</v>
      </c>
      <c r="H198" s="54">
        <f t="shared" si="13"/>
        <v>63617.850000000006</v>
      </c>
      <c r="I198" s="52">
        <v>-33471.72</v>
      </c>
      <c r="J198" s="52">
        <v>-31225.230000000003</v>
      </c>
      <c r="K198" s="54">
        <f t="shared" si="14"/>
        <v>-32348.475000000002</v>
      </c>
      <c r="L198" s="52">
        <v>-402.21000000000004</v>
      </c>
      <c r="M198" s="52">
        <v>1491.1200000000001</v>
      </c>
      <c r="N198" s="54">
        <f t="shared" si="15"/>
        <v>544.45500000000004</v>
      </c>
    </row>
    <row r="199" spans="1:14" x14ac:dyDescent="0.3">
      <c r="A199" s="2">
        <v>156.4</v>
      </c>
      <c r="B199" s="2">
        <v>197</v>
      </c>
      <c r="C199" s="14">
        <v>106085.34000000001</v>
      </c>
      <c r="D199" s="14">
        <v>112344.12000000001</v>
      </c>
      <c r="E199" s="54">
        <f t="shared" si="12"/>
        <v>109214.73000000001</v>
      </c>
      <c r="F199" s="52">
        <v>60596.37</v>
      </c>
      <c r="G199" s="52">
        <v>62126.73</v>
      </c>
      <c r="H199" s="54">
        <f t="shared" si="13"/>
        <v>61361.55</v>
      </c>
      <c r="I199" s="52">
        <v>-31156.560000000001</v>
      </c>
      <c r="J199" s="52">
        <v>-29204.370000000003</v>
      </c>
      <c r="K199" s="54">
        <f t="shared" si="14"/>
        <v>-30180.465000000004</v>
      </c>
      <c r="L199" s="52">
        <v>-4228.1100000000006</v>
      </c>
      <c r="M199" s="52">
        <v>-2619.27</v>
      </c>
      <c r="N199" s="54">
        <f t="shared" si="15"/>
        <v>-3423.6900000000005</v>
      </c>
    </row>
    <row r="200" spans="1:14" x14ac:dyDescent="0.3">
      <c r="A200" s="2">
        <v>157.19999999999999</v>
      </c>
      <c r="B200" s="2">
        <v>198</v>
      </c>
      <c r="C200" s="14">
        <v>98502.21</v>
      </c>
      <c r="D200" s="14">
        <v>104162.58</v>
      </c>
      <c r="E200" s="54">
        <f t="shared" si="12"/>
        <v>101332.395</v>
      </c>
      <c r="F200" s="52">
        <v>58153.68</v>
      </c>
      <c r="G200" s="52">
        <v>59497.65</v>
      </c>
      <c r="H200" s="54">
        <f t="shared" si="13"/>
        <v>58825.665000000001</v>
      </c>
      <c r="I200" s="52">
        <v>-28811.97</v>
      </c>
      <c r="J200" s="52">
        <v>-27105.030000000002</v>
      </c>
      <c r="K200" s="54">
        <f t="shared" si="14"/>
        <v>-27958.5</v>
      </c>
      <c r="L200" s="52">
        <v>-7180.92</v>
      </c>
      <c r="M200" s="52">
        <v>-5807.52</v>
      </c>
      <c r="N200" s="54">
        <f t="shared" si="15"/>
        <v>-6494.22</v>
      </c>
    </row>
    <row r="201" spans="1:14" x14ac:dyDescent="0.3">
      <c r="A201" s="2">
        <v>158</v>
      </c>
      <c r="B201" s="2">
        <v>199</v>
      </c>
      <c r="C201" s="14">
        <v>91085.85</v>
      </c>
      <c r="D201" s="14">
        <v>96187.05</v>
      </c>
      <c r="E201" s="54">
        <f t="shared" si="12"/>
        <v>93636.450000000012</v>
      </c>
      <c r="F201" s="52">
        <v>55416.69</v>
      </c>
      <c r="G201" s="52">
        <v>56593.89</v>
      </c>
      <c r="H201" s="54">
        <f t="shared" si="13"/>
        <v>56005.29</v>
      </c>
      <c r="I201" s="52">
        <v>-26487</v>
      </c>
      <c r="J201" s="52">
        <v>-25005.690000000002</v>
      </c>
      <c r="K201" s="54">
        <f t="shared" si="14"/>
        <v>-25746.345000000001</v>
      </c>
      <c r="L201" s="52">
        <v>-9142.92</v>
      </c>
      <c r="M201" s="52">
        <v>-7985.34</v>
      </c>
      <c r="N201" s="54">
        <f t="shared" si="15"/>
        <v>-8564.130000000001</v>
      </c>
    </row>
    <row r="202" spans="1:14" x14ac:dyDescent="0.3">
      <c r="A202" s="2">
        <v>158.80000000000001</v>
      </c>
      <c r="B202" s="2">
        <v>200</v>
      </c>
      <c r="C202" s="14">
        <v>83855.88</v>
      </c>
      <c r="D202" s="14">
        <v>88368.48000000001</v>
      </c>
      <c r="E202" s="54">
        <f t="shared" si="12"/>
        <v>86112.180000000008</v>
      </c>
      <c r="F202" s="52">
        <v>52434.450000000004</v>
      </c>
      <c r="G202" s="52">
        <v>53464.5</v>
      </c>
      <c r="H202" s="54">
        <f t="shared" si="13"/>
        <v>52949.475000000006</v>
      </c>
      <c r="I202" s="52">
        <v>-24171.84</v>
      </c>
      <c r="J202" s="52">
        <v>-22906.350000000002</v>
      </c>
      <c r="K202" s="54">
        <f t="shared" si="14"/>
        <v>-23539.095000000001</v>
      </c>
      <c r="L202" s="52">
        <v>-11114.730000000001</v>
      </c>
      <c r="M202" s="52">
        <v>-10153.35</v>
      </c>
      <c r="N202" s="54">
        <f t="shared" si="15"/>
        <v>-10634.04</v>
      </c>
    </row>
    <row r="203" spans="1:14" x14ac:dyDescent="0.3">
      <c r="A203" s="2">
        <v>159.6</v>
      </c>
      <c r="B203" s="2">
        <v>201</v>
      </c>
      <c r="C203" s="14">
        <v>76625.91</v>
      </c>
      <c r="D203" s="14">
        <v>80755.92</v>
      </c>
      <c r="E203" s="54">
        <f t="shared" si="12"/>
        <v>78690.915000000008</v>
      </c>
      <c r="F203" s="52">
        <v>49089.240000000005</v>
      </c>
      <c r="G203" s="52">
        <v>49991.76</v>
      </c>
      <c r="H203" s="54">
        <f t="shared" si="13"/>
        <v>49540.5</v>
      </c>
      <c r="I203" s="52">
        <v>-21935.16</v>
      </c>
      <c r="J203" s="52">
        <v>-20846.25</v>
      </c>
      <c r="K203" s="54">
        <f t="shared" si="14"/>
        <v>-21390.705000000002</v>
      </c>
      <c r="L203" s="52">
        <v>-12017.25</v>
      </c>
      <c r="M203" s="52">
        <v>-11222.640000000001</v>
      </c>
      <c r="N203" s="54">
        <f t="shared" si="15"/>
        <v>-11619.945</v>
      </c>
    </row>
    <row r="204" spans="1:14" x14ac:dyDescent="0.3">
      <c r="A204" s="2">
        <v>160.4</v>
      </c>
      <c r="B204" s="2">
        <v>202</v>
      </c>
      <c r="C204" s="14">
        <v>69513.66</v>
      </c>
      <c r="D204" s="14">
        <v>73153.17</v>
      </c>
      <c r="E204" s="54">
        <f t="shared" si="12"/>
        <v>71333.415000000008</v>
      </c>
      <c r="F204" s="52">
        <v>45744.03</v>
      </c>
      <c r="G204" s="52">
        <v>46509.21</v>
      </c>
      <c r="H204" s="54">
        <f t="shared" si="13"/>
        <v>46126.619999999995</v>
      </c>
      <c r="I204" s="52">
        <v>-19698.48</v>
      </c>
      <c r="J204" s="52">
        <v>-18786.150000000001</v>
      </c>
      <c r="K204" s="54">
        <f t="shared" si="14"/>
        <v>-19242.315000000002</v>
      </c>
      <c r="L204" s="52">
        <v>-12782.43</v>
      </c>
      <c r="M204" s="52">
        <v>-12154.59</v>
      </c>
      <c r="N204" s="54">
        <f t="shared" si="15"/>
        <v>-12468.51</v>
      </c>
    </row>
    <row r="205" spans="1:14" x14ac:dyDescent="0.3">
      <c r="A205" s="2">
        <v>161.19999999999999</v>
      </c>
      <c r="B205" s="2">
        <v>203</v>
      </c>
      <c r="C205" s="14">
        <v>62607.420000000006</v>
      </c>
      <c r="D205" s="14">
        <v>65815.290000000008</v>
      </c>
      <c r="E205" s="54">
        <f t="shared" si="12"/>
        <v>64211.35500000001</v>
      </c>
      <c r="F205" s="52">
        <v>42114.33</v>
      </c>
      <c r="G205" s="52">
        <v>42781.41</v>
      </c>
      <c r="H205" s="54">
        <f t="shared" si="13"/>
        <v>42447.87</v>
      </c>
      <c r="I205" s="52">
        <v>-17363.7</v>
      </c>
      <c r="J205" s="52">
        <v>-16578.900000000001</v>
      </c>
      <c r="K205" s="54">
        <f t="shared" si="14"/>
        <v>-16971.300000000003</v>
      </c>
      <c r="L205" s="52">
        <v>-12458.7</v>
      </c>
      <c r="M205" s="52">
        <v>-11958.390000000001</v>
      </c>
      <c r="N205" s="54">
        <f t="shared" si="15"/>
        <v>-12208.545000000002</v>
      </c>
    </row>
    <row r="206" spans="1:14" x14ac:dyDescent="0.3">
      <c r="A206" s="2">
        <v>162</v>
      </c>
      <c r="B206" s="2">
        <v>204</v>
      </c>
      <c r="C206" s="14">
        <v>55936.62</v>
      </c>
      <c r="D206" s="14">
        <v>58830.57</v>
      </c>
      <c r="E206" s="54">
        <f t="shared" si="12"/>
        <v>57383.595000000001</v>
      </c>
      <c r="F206" s="52">
        <v>38347.29</v>
      </c>
      <c r="G206" s="52">
        <v>38916.270000000004</v>
      </c>
      <c r="H206" s="54">
        <f t="shared" si="13"/>
        <v>38631.78</v>
      </c>
      <c r="I206" s="52">
        <v>-14921.01</v>
      </c>
      <c r="J206" s="52">
        <v>-14263.740000000002</v>
      </c>
      <c r="K206" s="54">
        <f t="shared" si="14"/>
        <v>-14592.375</v>
      </c>
      <c r="L206" s="52">
        <v>-11693.52</v>
      </c>
      <c r="M206" s="52">
        <v>-11301.12</v>
      </c>
      <c r="N206" s="54">
        <f t="shared" si="15"/>
        <v>-11497.32</v>
      </c>
    </row>
    <row r="207" spans="1:14" x14ac:dyDescent="0.3">
      <c r="A207" s="2">
        <v>162.80000000000001</v>
      </c>
      <c r="B207" s="2">
        <v>205</v>
      </c>
      <c r="C207" s="14">
        <v>49511.07</v>
      </c>
      <c r="D207" s="14">
        <v>51875.280000000006</v>
      </c>
      <c r="E207" s="54">
        <f t="shared" si="12"/>
        <v>50693.175000000003</v>
      </c>
      <c r="F207" s="52">
        <v>34570.44</v>
      </c>
      <c r="G207" s="52">
        <v>35051.130000000005</v>
      </c>
      <c r="H207" s="54">
        <f t="shared" si="13"/>
        <v>34810.785000000003</v>
      </c>
      <c r="I207" s="52">
        <v>-12439.08</v>
      </c>
      <c r="J207" s="52">
        <v>-11899.53</v>
      </c>
      <c r="K207" s="54">
        <f t="shared" si="14"/>
        <v>-12169.305</v>
      </c>
      <c r="L207" s="52">
        <v>-10683.09</v>
      </c>
      <c r="M207" s="52">
        <v>-10408.41</v>
      </c>
      <c r="N207" s="54">
        <f t="shared" si="15"/>
        <v>-10545.75</v>
      </c>
    </row>
    <row r="208" spans="1:14" x14ac:dyDescent="0.3">
      <c r="A208" s="2">
        <v>163.6</v>
      </c>
      <c r="B208" s="2">
        <v>206</v>
      </c>
      <c r="C208" s="14">
        <v>43173.810000000005</v>
      </c>
      <c r="D208" s="14">
        <v>45332.01</v>
      </c>
      <c r="E208" s="54">
        <f t="shared" si="12"/>
        <v>44252.91</v>
      </c>
      <c r="F208" s="52">
        <v>30607.200000000001</v>
      </c>
      <c r="G208" s="52">
        <v>31019.22</v>
      </c>
      <c r="H208" s="54">
        <f t="shared" si="13"/>
        <v>30813.21</v>
      </c>
      <c r="I208" s="52">
        <v>-9653.0400000000009</v>
      </c>
      <c r="J208" s="52">
        <v>-9211.59</v>
      </c>
      <c r="K208" s="54">
        <f t="shared" si="14"/>
        <v>-9432.3150000000005</v>
      </c>
      <c r="L208" s="52">
        <v>-8485.65</v>
      </c>
      <c r="M208" s="52">
        <v>-8279.6400000000012</v>
      </c>
      <c r="N208" s="54">
        <f t="shared" si="15"/>
        <v>-8382.6450000000004</v>
      </c>
    </row>
    <row r="209" spans="1:14" x14ac:dyDescent="0.3">
      <c r="A209" s="2">
        <v>164.4</v>
      </c>
      <c r="B209" s="2">
        <v>207</v>
      </c>
      <c r="C209" s="14">
        <v>36954.270000000004</v>
      </c>
      <c r="D209" s="14">
        <v>38788.740000000005</v>
      </c>
      <c r="E209" s="54">
        <f t="shared" si="12"/>
        <v>37871.505000000005</v>
      </c>
      <c r="F209" s="52">
        <v>26653.77</v>
      </c>
      <c r="G209" s="52">
        <v>26997.120000000003</v>
      </c>
      <c r="H209" s="54">
        <f t="shared" si="13"/>
        <v>26825.445</v>
      </c>
      <c r="I209" s="52">
        <v>-6876.81</v>
      </c>
      <c r="J209" s="52">
        <v>-6513.84</v>
      </c>
      <c r="K209" s="54">
        <f t="shared" si="14"/>
        <v>-6695.3250000000007</v>
      </c>
      <c r="L209" s="52">
        <v>-6278.4000000000005</v>
      </c>
      <c r="M209" s="52">
        <v>-6150.87</v>
      </c>
      <c r="N209" s="54">
        <f t="shared" si="15"/>
        <v>-6214.6350000000002</v>
      </c>
    </row>
    <row r="210" spans="1:14" x14ac:dyDescent="0.3">
      <c r="A210" s="2">
        <v>165.1</v>
      </c>
      <c r="B210" s="2">
        <v>208</v>
      </c>
      <c r="C210" s="14">
        <v>31892.31</v>
      </c>
      <c r="D210" s="14">
        <v>33491.340000000004</v>
      </c>
      <c r="E210" s="54">
        <f t="shared" si="12"/>
        <v>32691.825000000004</v>
      </c>
      <c r="F210" s="52">
        <v>23249.7</v>
      </c>
      <c r="G210" s="52">
        <v>23544</v>
      </c>
      <c r="H210" s="54">
        <f t="shared" si="13"/>
        <v>23396.85</v>
      </c>
      <c r="I210" s="52">
        <v>-4532.22</v>
      </c>
      <c r="J210" s="52">
        <v>-4228.1100000000006</v>
      </c>
      <c r="K210" s="54">
        <f t="shared" si="14"/>
        <v>-4380.1650000000009</v>
      </c>
      <c r="L210" s="52">
        <v>-4031.9100000000003</v>
      </c>
      <c r="M210" s="52">
        <v>-3953.4300000000003</v>
      </c>
      <c r="N210" s="54">
        <f t="shared" si="15"/>
        <v>-3992.67</v>
      </c>
    </row>
    <row r="211" spans="1:14" x14ac:dyDescent="0.3">
      <c r="A211" s="2">
        <v>165.8</v>
      </c>
      <c r="B211" s="2">
        <v>209</v>
      </c>
      <c r="C211" s="14">
        <v>27291.420000000002</v>
      </c>
      <c r="D211" s="14">
        <v>28674.63</v>
      </c>
      <c r="E211" s="54">
        <f t="shared" si="12"/>
        <v>27983.025000000001</v>
      </c>
      <c r="F211" s="52">
        <v>20120.310000000001</v>
      </c>
      <c r="G211" s="52">
        <v>20375.370000000003</v>
      </c>
      <c r="H211" s="54">
        <f t="shared" si="13"/>
        <v>20247.840000000004</v>
      </c>
      <c r="I211" s="52">
        <v>-2678.13</v>
      </c>
      <c r="J211" s="52">
        <v>-2423.0700000000002</v>
      </c>
      <c r="K211" s="54">
        <f t="shared" si="14"/>
        <v>-2550.6000000000004</v>
      </c>
      <c r="L211" s="52">
        <v>-2266.11</v>
      </c>
      <c r="M211" s="52">
        <v>-2217.06</v>
      </c>
      <c r="N211" s="54">
        <f t="shared" si="15"/>
        <v>-2241.585</v>
      </c>
    </row>
    <row r="212" spans="1:14" x14ac:dyDescent="0.3">
      <c r="A212" s="2">
        <v>166.5</v>
      </c>
      <c r="B212" s="2">
        <v>210</v>
      </c>
      <c r="C212" s="14">
        <v>23416.47</v>
      </c>
      <c r="D212" s="14">
        <v>24436.710000000003</v>
      </c>
      <c r="E212" s="54">
        <f t="shared" si="12"/>
        <v>23926.590000000004</v>
      </c>
      <c r="F212" s="52">
        <v>17334.27</v>
      </c>
      <c r="G212" s="52">
        <v>17540.280000000002</v>
      </c>
      <c r="H212" s="54">
        <f t="shared" si="13"/>
        <v>17437.275000000001</v>
      </c>
      <c r="I212" s="52">
        <v>-1157.5800000000002</v>
      </c>
      <c r="J212" s="52">
        <v>-941.76</v>
      </c>
      <c r="K212" s="54">
        <f t="shared" si="14"/>
        <v>-1049.67</v>
      </c>
      <c r="L212" s="52">
        <v>-814.23</v>
      </c>
      <c r="M212" s="52">
        <v>-794.61</v>
      </c>
      <c r="N212" s="54">
        <f t="shared" si="15"/>
        <v>-804.42000000000007</v>
      </c>
    </row>
    <row r="213" spans="1:14" x14ac:dyDescent="0.3">
      <c r="A213" s="2">
        <v>167.2</v>
      </c>
      <c r="B213" s="2">
        <v>211</v>
      </c>
      <c r="C213" s="14">
        <v>19698.48</v>
      </c>
      <c r="D213" s="14">
        <v>20453.850000000002</v>
      </c>
      <c r="E213" s="54">
        <f t="shared" si="12"/>
        <v>20076.165000000001</v>
      </c>
      <c r="F213" s="52">
        <v>14695.380000000001</v>
      </c>
      <c r="G213" s="52">
        <v>14871.960000000001</v>
      </c>
      <c r="H213" s="54">
        <f t="shared" si="13"/>
        <v>14783.670000000002</v>
      </c>
      <c r="I213" s="52">
        <v>88.29</v>
      </c>
      <c r="J213" s="52">
        <v>264.87</v>
      </c>
      <c r="K213" s="54">
        <f t="shared" si="14"/>
        <v>176.58</v>
      </c>
      <c r="L213" s="52">
        <v>362.97</v>
      </c>
      <c r="M213" s="52">
        <v>353.16</v>
      </c>
      <c r="N213" s="54">
        <f t="shared" si="15"/>
        <v>358.06500000000005</v>
      </c>
    </row>
    <row r="214" spans="1:14" x14ac:dyDescent="0.3">
      <c r="A214" s="2">
        <v>167.9</v>
      </c>
      <c r="B214" s="2">
        <v>212</v>
      </c>
      <c r="C214" s="14">
        <v>16068.78</v>
      </c>
      <c r="D214" s="14">
        <v>16961.490000000002</v>
      </c>
      <c r="E214" s="54">
        <f t="shared" si="12"/>
        <v>16515.135000000002</v>
      </c>
      <c r="F214" s="52">
        <v>12350.79</v>
      </c>
      <c r="G214" s="52">
        <v>12497.94</v>
      </c>
      <c r="H214" s="54">
        <f t="shared" si="13"/>
        <v>12424.365000000002</v>
      </c>
      <c r="I214" s="52">
        <v>961.38</v>
      </c>
      <c r="J214" s="52">
        <v>1108.53</v>
      </c>
      <c r="K214" s="54">
        <f t="shared" si="14"/>
        <v>1034.9549999999999</v>
      </c>
      <c r="L214" s="52">
        <v>1187.01</v>
      </c>
      <c r="M214" s="52">
        <v>1167.3900000000001</v>
      </c>
      <c r="N214" s="54">
        <f t="shared" si="15"/>
        <v>1177.2</v>
      </c>
    </row>
    <row r="215" spans="1:14" x14ac:dyDescent="0.3">
      <c r="A215" s="2">
        <v>168.6</v>
      </c>
      <c r="B215" s="2">
        <v>213</v>
      </c>
      <c r="C215" s="14">
        <v>13174.83</v>
      </c>
      <c r="D215" s="14">
        <v>13900.77</v>
      </c>
      <c r="E215" s="54">
        <f t="shared" si="12"/>
        <v>13537.8</v>
      </c>
      <c r="F215" s="52">
        <v>10271.07</v>
      </c>
      <c r="G215" s="52">
        <v>10388.790000000001</v>
      </c>
      <c r="H215" s="54">
        <f t="shared" si="13"/>
        <v>10329.93</v>
      </c>
      <c r="I215" s="52">
        <v>1471.5</v>
      </c>
      <c r="J215" s="52">
        <v>1589.22</v>
      </c>
      <c r="K215" s="54">
        <f t="shared" si="14"/>
        <v>1530.3600000000001</v>
      </c>
      <c r="L215" s="52">
        <v>1657.89</v>
      </c>
      <c r="M215" s="52">
        <v>1628.46</v>
      </c>
      <c r="N215" s="54">
        <f t="shared" si="15"/>
        <v>1643.1750000000002</v>
      </c>
    </row>
    <row r="216" spans="1:14" x14ac:dyDescent="0.3">
      <c r="A216" s="2">
        <v>169.3</v>
      </c>
      <c r="B216" s="2">
        <v>214</v>
      </c>
      <c r="C216" s="14">
        <v>10663.470000000001</v>
      </c>
      <c r="D216" s="14">
        <v>11261.880000000001</v>
      </c>
      <c r="E216" s="54">
        <f t="shared" si="12"/>
        <v>10962.675000000001</v>
      </c>
      <c r="F216" s="52">
        <v>8436.6</v>
      </c>
      <c r="G216" s="52">
        <v>8544.51</v>
      </c>
      <c r="H216" s="54">
        <f t="shared" si="13"/>
        <v>8490.5550000000003</v>
      </c>
      <c r="I216" s="52">
        <v>1824.66</v>
      </c>
      <c r="J216" s="52">
        <v>1932.5700000000002</v>
      </c>
      <c r="K216" s="54">
        <f t="shared" si="14"/>
        <v>1878.6150000000002</v>
      </c>
      <c r="L216" s="52">
        <v>1981.6200000000001</v>
      </c>
      <c r="M216" s="52">
        <v>1942.38</v>
      </c>
      <c r="N216" s="54">
        <f t="shared" si="15"/>
        <v>1962</v>
      </c>
    </row>
    <row r="217" spans="1:14" x14ac:dyDescent="0.3">
      <c r="A217" s="2">
        <v>170</v>
      </c>
      <c r="B217" s="2">
        <v>215</v>
      </c>
      <c r="C217" s="14">
        <v>8279.6400000000012</v>
      </c>
      <c r="D217" s="14">
        <v>8829</v>
      </c>
      <c r="E217" s="54">
        <f t="shared" si="12"/>
        <v>8554.32</v>
      </c>
      <c r="F217" s="52">
        <v>6739.47</v>
      </c>
      <c r="G217" s="52">
        <v>6817.9500000000007</v>
      </c>
      <c r="H217" s="54">
        <f t="shared" si="13"/>
        <v>6778.7100000000009</v>
      </c>
      <c r="I217" s="52">
        <v>1991.43</v>
      </c>
      <c r="J217" s="52">
        <v>2079.7200000000003</v>
      </c>
      <c r="K217" s="54">
        <f t="shared" si="14"/>
        <v>2035.5750000000003</v>
      </c>
      <c r="L217" s="52">
        <v>2118.96</v>
      </c>
      <c r="M217" s="52">
        <v>2079.7200000000003</v>
      </c>
      <c r="N217" s="54">
        <f t="shared" si="15"/>
        <v>2099.34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</vt:i4>
      </vt:variant>
    </vt:vector>
  </HeadingPairs>
  <TitlesOfParts>
    <vt:vector size="8" baseType="lpstr">
      <vt:lpstr>HGDAT</vt:lpstr>
      <vt:lpstr>HGLS</vt:lpstr>
      <vt:lpstr>HGBM(INT)</vt:lpstr>
      <vt:lpstr>HGSF(INT)</vt:lpstr>
      <vt:lpstr>HGBM(FLD)</vt:lpstr>
      <vt:lpstr>HGSF(FLD)</vt:lpstr>
      <vt:lpstr>Sheet1</vt:lpstr>
      <vt:lpstr>HGLS!Print_Area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김흥열</dc:creator>
  <cp:lastModifiedBy>wjeong</cp:lastModifiedBy>
  <cp:lastPrinted>2012-11-04T15:03:40Z</cp:lastPrinted>
  <dcterms:created xsi:type="dcterms:W3CDTF">2008-08-22T07:36:31Z</dcterms:created>
  <dcterms:modified xsi:type="dcterms:W3CDTF">2012-11-04T19:42:13Z</dcterms:modified>
</cp:coreProperties>
</file>