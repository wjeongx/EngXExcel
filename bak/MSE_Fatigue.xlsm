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15.xml" ContentType="application/vnd.openxmlformats-officedocument.drawing+xml"/>
  <Override PartName="/xl/charts/chart3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\waccache\SE1PEPF0000F70E\EXCELCNV\24d99ae2-be6f-4557-9fae-3b262a22b331\"/>
    </mc:Choice>
  </mc:AlternateContent>
  <xr:revisionPtr revIDLastSave="0" documentId="8_{30F27F88-5FCB-4020-8002-04E35A246A94}" xr6:coauthVersionLast="47" xr6:coauthVersionMax="47" xr10:uidLastSave="{00000000-0000-0000-0000-000000000000}"/>
  <bookViews>
    <workbookView xWindow="-60" yWindow="-60" windowWidth="15480" windowHeight="11640" tabRatio="598" xr2:uid="{E1AA9DEA-776F-44CA-84B1-AC990EF64A00}"/>
  </bookViews>
  <sheets>
    <sheet name="DesignSN" sheetId="4" r:id="rId1"/>
    <sheet name="Plasticity" sheetId="24" r:id="rId2"/>
    <sheet name="Strain_Life" sheetId="5" r:id="rId3"/>
    <sheet name="Neuber" sheetId="6" r:id="rId4"/>
    <sheet name="Norminal_Stress" sheetId="7" r:id="rId5"/>
    <sheet name="HotSpotStress" sheetId="8" r:id="rId6"/>
    <sheet name="HotSpot" sheetId="15" r:id="rId7"/>
    <sheet name="FatigueLifeDnv" sheetId="10" r:id="rId8"/>
    <sheet name="FatigueLifeABS" sheetId="11" r:id="rId9"/>
    <sheet name="FatigueLifeBV" sheetId="12" r:id="rId10"/>
    <sheet name="Weibull" sheetId="13" r:id="rId11"/>
    <sheet name="Weibull (2)" sheetId="17" r:id="rId12"/>
    <sheet name="Weibull_Time" sheetId="18" r:id="rId13"/>
    <sheet name="LowCycle" sheetId="19" r:id="rId14"/>
    <sheet name="Sheet1" sheetId="21" r:id="rId15"/>
    <sheet name="Sheet2" sheetId="23" r:id="rId16"/>
    <sheet name="ME-515" sheetId="25" r:id="rId17"/>
    <sheet name="Sheet3" sheetId="26" r:id="rId18"/>
  </sheets>
  <externalReferences>
    <externalReference r:id="rId19"/>
  </externalReferences>
  <definedNames>
    <definedName name="a_1">[1]initial!$J$22</definedName>
    <definedName name="a_2">[1]initial!$J$23</definedName>
    <definedName name="a_a">#REF!</definedName>
    <definedName name="b_1">[1]initial!$J$26</definedName>
    <definedName name="b_2">[1]initial!$J$27</definedName>
    <definedName name="b_b">#REF!</definedName>
    <definedName name="c_c">#REF!</definedName>
    <definedName name="Clamped_c1">[1]Type3!$B$21</definedName>
    <definedName name="Clamped_c2">[1]Type3!$C$21</definedName>
    <definedName name="d_d">#REF!</definedName>
    <definedName name="E">[1]initial!$H$34</definedName>
    <definedName name="e_e">#REF!</definedName>
    <definedName name="f_f">#REF!</definedName>
    <definedName name="Free_a1">[1]Type1!$C$130:$C$149</definedName>
    <definedName name="Free_a2">[1]Type1!$D$130:$D$149</definedName>
    <definedName name="Free_b1">[1]Type1!$E$130:$E$149</definedName>
    <definedName name="Free_b2">[1]Type1!$F$49:$F$149</definedName>
    <definedName name="Free_c1">[1]Type1!$B$21</definedName>
    <definedName name="Free_c2">[1]Type1!$C$21</definedName>
    <definedName name="FreeX">[1]Type1!$B$130:$B$149</definedName>
    <definedName name="I">#REF!</definedName>
    <definedName name="L">#REF!</definedName>
    <definedName name="P_1">[1]initial!$G$22</definedName>
    <definedName name="P_2">[1]initial!$G$23</definedName>
    <definedName name="roller_c1">[1]Type4!$B$21</definedName>
    <definedName name="roller_c2">[1]Type4!$C$21</definedName>
    <definedName name="sf_1">[1]sf!$G$29:$G$129</definedName>
    <definedName name="sf_2">[1]sf!$H$29:$H$129</definedName>
    <definedName name="sf_a1">[1]sf!$C$29:$C$129</definedName>
    <definedName name="sf_a2">[1]sf!$D$29:$D$129</definedName>
    <definedName name="sf_b1">[1]sf!$E$29:$E$129</definedName>
    <definedName name="sf_b2">[1]sf!$F$29:$F$129</definedName>
    <definedName name="simple_c1">[1]Type2!$B$21</definedName>
    <definedName name="simple_c2">[1]Type2!$C$21</definedName>
    <definedName name="simple_c3">[1]Type5!$D$21</definedName>
    <definedName name="SimpleX">[1]Type2!$B$130:$B$149</definedName>
    <definedName name="w_1">[1]initial!$G$26</definedName>
    <definedName name="w_2">[1]initial!$G$27</definedName>
    <definedName name="x">[1]sf!$B$29:$B$129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8" l="1"/>
  <c r="L12" i="26"/>
  <c r="E12" i="4"/>
  <c r="F12" i="4"/>
  <c r="B23" i="4"/>
  <c r="D130" i="7"/>
  <c r="E130" i="7"/>
  <c r="D115" i="7"/>
  <c r="F130" i="7" s="1"/>
  <c r="D129" i="7"/>
  <c r="E129" i="7"/>
  <c r="F129" i="7"/>
  <c r="D128" i="7"/>
  <c r="E128" i="7"/>
  <c r="F128" i="7"/>
  <c r="D127" i="7"/>
  <c r="E127" i="7"/>
  <c r="F127" i="7"/>
  <c r="D126" i="7"/>
  <c r="E126" i="7"/>
  <c r="F126" i="7"/>
  <c r="D125" i="7"/>
  <c r="E125" i="7"/>
  <c r="F125" i="7"/>
  <c r="D124" i="7"/>
  <c r="E124" i="7"/>
  <c r="F124" i="7"/>
  <c r="E122" i="7"/>
  <c r="F122" i="7"/>
  <c r="E121" i="7"/>
  <c r="F121" i="7"/>
  <c r="E120" i="7"/>
  <c r="F120" i="7"/>
  <c r="E119" i="7"/>
  <c r="F119" i="7"/>
  <c r="E118" i="7"/>
  <c r="F118" i="7"/>
  <c r="C133" i="7"/>
  <c r="C132" i="7"/>
  <c r="D123" i="7"/>
  <c r="D122" i="7"/>
  <c r="D121" i="7"/>
  <c r="D120" i="7"/>
  <c r="D119" i="7"/>
  <c r="D118" i="7"/>
  <c r="D117" i="7"/>
  <c r="E123" i="7"/>
  <c r="F123" i="7"/>
  <c r="E117" i="7"/>
  <c r="F117" i="7" s="1"/>
  <c r="B22" i="7"/>
  <c r="B25" i="7"/>
  <c r="B28" i="7" s="1"/>
  <c r="K5" i="7"/>
  <c r="H13" i="7"/>
  <c r="J5" i="7"/>
  <c r="L5" i="7"/>
  <c r="D135" i="5"/>
  <c r="D134" i="5"/>
  <c r="D133" i="5"/>
  <c r="D132" i="5"/>
  <c r="D131" i="5"/>
  <c r="D130" i="5"/>
  <c r="D129" i="5"/>
  <c r="D128" i="5"/>
  <c r="D127" i="5"/>
  <c r="D126" i="5"/>
  <c r="D125" i="5"/>
  <c r="E121" i="5"/>
  <c r="N6" i="5"/>
  <c r="N5" i="5"/>
  <c r="N10" i="5"/>
  <c r="H15" i="4"/>
  <c r="E15" i="4"/>
  <c r="J15" i="4"/>
  <c r="F15" i="4"/>
  <c r="E14" i="4"/>
  <c r="F14" i="4"/>
  <c r="F23" i="4"/>
  <c r="D72" i="4"/>
  <c r="E72" i="4"/>
  <c r="F72" i="4"/>
  <c r="I72" i="4"/>
  <c r="E13" i="4"/>
  <c r="F13" i="4"/>
  <c r="I23" i="4"/>
  <c r="H14" i="4"/>
  <c r="J14" i="4"/>
  <c r="D61" i="4"/>
  <c r="H13" i="4"/>
  <c r="F101" i="4"/>
  <c r="I101" i="4"/>
  <c r="E101" i="4"/>
  <c r="K101" i="4"/>
  <c r="I79" i="4"/>
  <c r="E79" i="4"/>
  <c r="K79" i="4"/>
  <c r="I77" i="4"/>
  <c r="E77" i="4"/>
  <c r="K77" i="4"/>
  <c r="F103" i="4"/>
  <c r="I103" i="4"/>
  <c r="I108" i="4"/>
  <c r="E103" i="4"/>
  <c r="K108" i="4"/>
  <c r="I89" i="4"/>
  <c r="K89" i="4"/>
  <c r="F123" i="4"/>
  <c r="I123" i="4"/>
  <c r="E123" i="4"/>
  <c r="E18" i="4"/>
  <c r="F18" i="4"/>
  <c r="L101" i="4"/>
  <c r="H101" i="4" s="1"/>
  <c r="F11" i="11"/>
  <c r="F14" i="11"/>
  <c r="F10" i="11"/>
  <c r="F11" i="10"/>
  <c r="F99" i="10"/>
  <c r="F10" i="10"/>
  <c r="F103" i="10" s="1"/>
  <c r="F102" i="10"/>
  <c r="F95" i="10"/>
  <c r="F110" i="10" s="1"/>
  <c r="F109" i="10"/>
  <c r="F96" i="10"/>
  <c r="F105" i="10"/>
  <c r="F113" i="10"/>
  <c r="D20" i="10"/>
  <c r="V48" i="4"/>
  <c r="V49" i="4"/>
  <c r="W49" i="4"/>
  <c r="V52" i="4"/>
  <c r="W52" i="4"/>
  <c r="V51" i="4"/>
  <c r="W51" i="4"/>
  <c r="V50" i="4"/>
  <c r="V45" i="4"/>
  <c r="T56" i="4"/>
  <c r="V42" i="4"/>
  <c r="W58" i="4"/>
  <c r="V46" i="4"/>
  <c r="W46" i="4"/>
  <c r="V47" i="4"/>
  <c r="W47" i="4"/>
  <c r="W48" i="4"/>
  <c r="W50" i="4"/>
  <c r="X45" i="4"/>
  <c r="R23" i="4"/>
  <c r="S31" i="4"/>
  <c r="T31" i="4"/>
  <c r="S30" i="4"/>
  <c r="S29" i="4"/>
  <c r="T29" i="4"/>
  <c r="S28" i="4"/>
  <c r="T28" i="4"/>
  <c r="S27" i="4"/>
  <c r="S26" i="4"/>
  <c r="S25" i="4"/>
  <c r="T25" i="4"/>
  <c r="S24" i="4"/>
  <c r="T24" i="4"/>
  <c r="S23" i="4"/>
  <c r="T23" i="4"/>
  <c r="T30" i="4"/>
  <c r="T27" i="4"/>
  <c r="T26" i="4"/>
  <c r="R31" i="4"/>
  <c r="X46" i="4"/>
  <c r="X47" i="4"/>
  <c r="X48" i="4"/>
  <c r="X49" i="4"/>
  <c r="X50" i="4"/>
  <c r="X51" i="4"/>
  <c r="X52" i="4"/>
  <c r="R18" i="25"/>
  <c r="D41" i="25"/>
  <c r="E40" i="25"/>
  <c r="B53" i="25"/>
  <c r="C40" i="25"/>
  <c r="C53" i="25"/>
  <c r="D40" i="25"/>
  <c r="G53" i="25"/>
  <c r="B43" i="25"/>
  <c r="G43" i="25"/>
  <c r="B44" i="25"/>
  <c r="G44" i="25"/>
  <c r="B45" i="25"/>
  <c r="G45" i="25"/>
  <c r="B46" i="25"/>
  <c r="G46" i="25"/>
  <c r="B47" i="25"/>
  <c r="G47" i="25"/>
  <c r="B48" i="25"/>
  <c r="G48" i="25"/>
  <c r="B49" i="25"/>
  <c r="G49" i="25"/>
  <c r="B50" i="25"/>
  <c r="G50" i="25"/>
  <c r="B51" i="25"/>
  <c r="G51" i="25"/>
  <c r="B52" i="25"/>
  <c r="G52" i="25"/>
  <c r="C33" i="25"/>
  <c r="C34" i="25"/>
  <c r="J87" i="23"/>
  <c r="I89" i="23"/>
  <c r="I88" i="23"/>
  <c r="J88" i="23"/>
  <c r="J89" i="23"/>
  <c r="J91" i="23"/>
  <c r="C36" i="25"/>
  <c r="C37" i="25"/>
  <c r="C35" i="25"/>
  <c r="I86" i="23"/>
  <c r="I85" i="23"/>
  <c r="J85" i="23"/>
  <c r="J93" i="23"/>
  <c r="J95" i="23"/>
  <c r="J94" i="23"/>
  <c r="I92" i="23"/>
  <c r="J92" i="23"/>
  <c r="J86" i="23"/>
  <c r="K93" i="4"/>
  <c r="E161" i="4"/>
  <c r="E162" i="4"/>
  <c r="K162" i="4"/>
  <c r="L162" i="4"/>
  <c r="K161" i="4"/>
  <c r="I161" i="4"/>
  <c r="H162" i="4"/>
  <c r="M162" i="4"/>
  <c r="H161" i="4"/>
  <c r="Q36" i="4"/>
  <c r="S35" i="4"/>
  <c r="S36" i="4"/>
  <c r="R24" i="4"/>
  <c r="R25" i="4"/>
  <c r="R26" i="4"/>
  <c r="R27" i="4"/>
  <c r="R28" i="4"/>
  <c r="R29" i="4"/>
  <c r="R30" i="4"/>
  <c r="K123" i="4"/>
  <c r="L123" i="4" s="1"/>
  <c r="H123" i="4" s="1"/>
  <c r="M123" i="4" s="1"/>
  <c r="F102" i="4"/>
  <c r="F11" i="4"/>
  <c r="F105" i="4"/>
  <c r="F104" i="4"/>
  <c r="K130" i="4"/>
  <c r="K15" i="4"/>
  <c r="K14" i="4"/>
  <c r="K13" i="4"/>
  <c r="K12" i="4"/>
  <c r="K11" i="4"/>
  <c r="C15" i="4"/>
  <c r="C14" i="4"/>
  <c r="C13" i="4"/>
  <c r="C12" i="4"/>
  <c r="A56" i="4"/>
  <c r="C11" i="4"/>
  <c r="A54" i="4"/>
  <c r="K152" i="4"/>
  <c r="L152" i="4"/>
  <c r="K72" i="4"/>
  <c r="J13" i="4"/>
  <c r="K58" i="4"/>
  <c r="I18" i="4"/>
  <c r="I130" i="4"/>
  <c r="I93" i="4"/>
  <c r="I12" i="4"/>
  <c r="E102" i="4"/>
  <c r="E11" i="4"/>
  <c r="C23" i="4"/>
  <c r="I102" i="4"/>
  <c r="I131" i="4"/>
  <c r="I109" i="4"/>
  <c r="K131" i="4"/>
  <c r="K109" i="4"/>
  <c r="L109" i="4"/>
  <c r="H109" i="4"/>
  <c r="M109" i="4"/>
  <c r="I13" i="4"/>
  <c r="I133" i="4"/>
  <c r="I112" i="4"/>
  <c r="K133" i="4"/>
  <c r="L133" i="4"/>
  <c r="H133" i="4"/>
  <c r="K112" i="4"/>
  <c r="I14" i="4"/>
  <c r="I136" i="4"/>
  <c r="I107" i="4"/>
  <c r="K136" i="4"/>
  <c r="L136" i="4"/>
  <c r="K107" i="4"/>
  <c r="I15" i="4"/>
  <c r="K98" i="4"/>
  <c r="L98" i="4"/>
  <c r="H98" i="4"/>
  <c r="M98" i="4"/>
  <c r="K153" i="4"/>
  <c r="K154" i="4"/>
  <c r="K155" i="4"/>
  <c r="L155" i="4"/>
  <c r="K156" i="4"/>
  <c r="K157" i="4"/>
  <c r="K158" i="4"/>
  <c r="K159" i="4"/>
  <c r="L159" i="4"/>
  <c r="K160" i="4"/>
  <c r="H152" i="4"/>
  <c r="M152" i="4"/>
  <c r="L153" i="4"/>
  <c r="H153" i="4"/>
  <c r="M153" i="4"/>
  <c r="I154" i="4"/>
  <c r="L154" i="4"/>
  <c r="H154" i="4" s="1"/>
  <c r="M154" i="4"/>
  <c r="I155" i="4"/>
  <c r="I156" i="4"/>
  <c r="L156" i="4"/>
  <c r="H156" i="4" s="1"/>
  <c r="M156" i="4" s="1"/>
  <c r="I157" i="4"/>
  <c r="L157" i="4"/>
  <c r="I158" i="4"/>
  <c r="L158" i="4"/>
  <c r="H158" i="4" s="1"/>
  <c r="M158" i="4"/>
  <c r="I159" i="4"/>
  <c r="I160" i="4"/>
  <c r="L160" i="4"/>
  <c r="H160" i="4" s="1"/>
  <c r="M160" i="4" s="1"/>
  <c r="K139" i="4"/>
  <c r="K140" i="4"/>
  <c r="L140" i="4"/>
  <c r="K141" i="4"/>
  <c r="K142" i="4"/>
  <c r="K143" i="4"/>
  <c r="K144" i="4"/>
  <c r="L144" i="4"/>
  <c r="K145" i="4"/>
  <c r="L145" i="4"/>
  <c r="J12" i="4"/>
  <c r="K146" i="4"/>
  <c r="L146" i="4"/>
  <c r="K147" i="4"/>
  <c r="L147" i="4"/>
  <c r="K148" i="4"/>
  <c r="L148" i="4"/>
  <c r="K149" i="4"/>
  <c r="K150" i="4"/>
  <c r="L150" i="4"/>
  <c r="K151" i="4"/>
  <c r="L151" i="4"/>
  <c r="K138" i="4"/>
  <c r="L143" i="4"/>
  <c r="L138" i="4"/>
  <c r="I138" i="4"/>
  <c r="H138" i="4"/>
  <c r="M138" i="4"/>
  <c r="L139" i="4"/>
  <c r="I139" i="4"/>
  <c r="I140" i="4"/>
  <c r="H140" i="4"/>
  <c r="M140" i="4"/>
  <c r="L141" i="4"/>
  <c r="I141" i="4"/>
  <c r="L142" i="4"/>
  <c r="I142" i="4"/>
  <c r="H142" i="4"/>
  <c r="M142" i="4"/>
  <c r="I143" i="4"/>
  <c r="I144" i="4"/>
  <c r="H144" i="4"/>
  <c r="M144" i="4"/>
  <c r="I145" i="4"/>
  <c r="H12" i="4"/>
  <c r="I146" i="4"/>
  <c r="H146" i="4"/>
  <c r="M146" i="4"/>
  <c r="I147" i="4"/>
  <c r="I148" i="4"/>
  <c r="H148" i="4"/>
  <c r="M148" i="4"/>
  <c r="L149" i="4"/>
  <c r="I149" i="4"/>
  <c r="H149" i="4"/>
  <c r="M149" i="4"/>
  <c r="I150" i="4"/>
  <c r="H150" i="4" s="1"/>
  <c r="M150" i="4" s="1"/>
  <c r="I151" i="4"/>
  <c r="H151" i="4"/>
  <c r="M151" i="4"/>
  <c r="F73" i="4"/>
  <c r="I73" i="4"/>
  <c r="D73" i="4"/>
  <c r="E73" i="4"/>
  <c r="I11" i="4"/>
  <c r="K124" i="4"/>
  <c r="L124" i="4"/>
  <c r="I124" i="4"/>
  <c r="H124" i="4" s="1"/>
  <c r="M124" i="4" s="1"/>
  <c r="K125" i="4"/>
  <c r="L125" i="4"/>
  <c r="I125" i="4"/>
  <c r="H125" i="4" s="1"/>
  <c r="M125" i="4" s="1"/>
  <c r="K126" i="4"/>
  <c r="L126" i="4"/>
  <c r="I126" i="4"/>
  <c r="K127" i="4"/>
  <c r="L127" i="4"/>
  <c r="I127" i="4"/>
  <c r="K128" i="4"/>
  <c r="L128" i="4"/>
  <c r="I128" i="4"/>
  <c r="H128" i="4" s="1"/>
  <c r="M128" i="4" s="1"/>
  <c r="K129" i="4"/>
  <c r="L129" i="4"/>
  <c r="I129" i="4"/>
  <c r="H129" i="4" s="1"/>
  <c r="M129" i="4" s="1"/>
  <c r="L130" i="4"/>
  <c r="L131" i="4"/>
  <c r="H131" i="4"/>
  <c r="M131" i="4"/>
  <c r="K132" i="4"/>
  <c r="L132" i="4"/>
  <c r="I132" i="4"/>
  <c r="H132" i="4" s="1"/>
  <c r="M132" i="4" s="1"/>
  <c r="M133" i="4"/>
  <c r="K134" i="4"/>
  <c r="L134" i="4"/>
  <c r="I134" i="4"/>
  <c r="H134" i="4"/>
  <c r="M134" i="4"/>
  <c r="K135" i="4"/>
  <c r="L135" i="4"/>
  <c r="I135" i="4"/>
  <c r="H135" i="4" s="1"/>
  <c r="M135" i="4" s="1"/>
  <c r="H136" i="4"/>
  <c r="M136" i="4"/>
  <c r="K137" i="4"/>
  <c r="L137" i="4"/>
  <c r="I137" i="4"/>
  <c r="H137" i="4"/>
  <c r="M137" i="4"/>
  <c r="K115" i="4"/>
  <c r="L115" i="4"/>
  <c r="I115" i="4"/>
  <c r="K116" i="4"/>
  <c r="L116" i="4"/>
  <c r="I116" i="4"/>
  <c r="H116" i="4"/>
  <c r="M116" i="4"/>
  <c r="K117" i="4"/>
  <c r="L117" i="4"/>
  <c r="I117" i="4"/>
  <c r="K118" i="4"/>
  <c r="L118" i="4"/>
  <c r="I118" i="4"/>
  <c r="K119" i="4"/>
  <c r="L119" i="4"/>
  <c r="I119" i="4"/>
  <c r="K120" i="4"/>
  <c r="L120" i="4"/>
  <c r="I120" i="4"/>
  <c r="K121" i="4"/>
  <c r="L121" i="4"/>
  <c r="I121" i="4"/>
  <c r="K122" i="4"/>
  <c r="L122" i="4"/>
  <c r="I122" i="4"/>
  <c r="I114" i="4"/>
  <c r="K114" i="4"/>
  <c r="L114" i="4"/>
  <c r="H114" i="4" s="1"/>
  <c r="M114" i="4" s="1"/>
  <c r="E104" i="4"/>
  <c r="I113" i="4"/>
  <c r="K113" i="4"/>
  <c r="L113" i="4"/>
  <c r="H113" i="4" s="1"/>
  <c r="L112" i="4"/>
  <c r="H112" i="4"/>
  <c r="M112" i="4"/>
  <c r="I111" i="4"/>
  <c r="K111" i="4"/>
  <c r="L111" i="4"/>
  <c r="H111" i="4"/>
  <c r="M111" i="4"/>
  <c r="I110" i="4"/>
  <c r="K110" i="4"/>
  <c r="L110" i="4"/>
  <c r="H110" i="4"/>
  <c r="M110" i="4"/>
  <c r="L108" i="4"/>
  <c r="H108" i="4"/>
  <c r="M108" i="4"/>
  <c r="L107" i="4"/>
  <c r="H107" i="4" s="1"/>
  <c r="M107" i="4" s="1"/>
  <c r="I106" i="4"/>
  <c r="K106" i="4"/>
  <c r="L106" i="4"/>
  <c r="H106" i="4"/>
  <c r="M106" i="4"/>
  <c r="I105" i="4"/>
  <c r="E105" i="4"/>
  <c r="K105" i="4"/>
  <c r="K104" i="4"/>
  <c r="I104" i="4"/>
  <c r="K103" i="4"/>
  <c r="L103" i="4"/>
  <c r="K102" i="4"/>
  <c r="L102" i="4"/>
  <c r="K100" i="4"/>
  <c r="L100" i="4"/>
  <c r="H100" i="4"/>
  <c r="M100" i="4"/>
  <c r="K99" i="4"/>
  <c r="L99" i="4"/>
  <c r="H99" i="4"/>
  <c r="M99" i="4"/>
  <c r="H97" i="4"/>
  <c r="K97" i="4"/>
  <c r="M97" i="4" s="1"/>
  <c r="L97" i="4"/>
  <c r="H96" i="4"/>
  <c r="K96" i="4"/>
  <c r="M96" i="4" s="1"/>
  <c r="L96" i="4"/>
  <c r="H95" i="4"/>
  <c r="K95" i="4"/>
  <c r="L95" i="4"/>
  <c r="H94" i="4"/>
  <c r="K94" i="4"/>
  <c r="M94" i="4" s="1"/>
  <c r="L94" i="4"/>
  <c r="L93" i="4"/>
  <c r="H93" i="4"/>
  <c r="M93" i="4"/>
  <c r="I92" i="4"/>
  <c r="H11" i="4" s="1"/>
  <c r="H18" i="4"/>
  <c r="K92" i="4"/>
  <c r="J11" i="4" s="1"/>
  <c r="K54" i="4" s="1"/>
  <c r="J18" i="4"/>
  <c r="K18" i="4" s="1"/>
  <c r="K20" i="4" s="1"/>
  <c r="L20" i="4" s="1"/>
  <c r="L92" i="4"/>
  <c r="H92" i="4" s="1"/>
  <c r="M92" i="4" s="1"/>
  <c r="I86" i="4"/>
  <c r="K86" i="4"/>
  <c r="L86" i="4"/>
  <c r="H86" i="4" s="1"/>
  <c r="M86" i="4" s="1"/>
  <c r="K90" i="4"/>
  <c r="L90" i="4"/>
  <c r="I90" i="4"/>
  <c r="H90" i="4" s="1"/>
  <c r="M90" i="4" s="1"/>
  <c r="K91" i="4"/>
  <c r="L91" i="4"/>
  <c r="H91" i="4"/>
  <c r="M91" i="4"/>
  <c r="K82" i="4"/>
  <c r="L82" i="4"/>
  <c r="I82" i="4"/>
  <c r="H82" i="4"/>
  <c r="M82" i="4"/>
  <c r="E78" i="4"/>
  <c r="E76" i="4"/>
  <c r="E75" i="4"/>
  <c r="E74" i="4"/>
  <c r="I83" i="4"/>
  <c r="M113" i="4"/>
  <c r="M101" i="4"/>
  <c r="L89" i="4"/>
  <c r="M89" i="4"/>
  <c r="I88" i="4"/>
  <c r="K88" i="4"/>
  <c r="L88" i="4"/>
  <c r="H88" i="4"/>
  <c r="M88" i="4"/>
  <c r="I87" i="4"/>
  <c r="K87" i="4"/>
  <c r="I85" i="4"/>
  <c r="K85" i="4"/>
  <c r="L85" i="4"/>
  <c r="H85" i="4"/>
  <c r="M85" i="4"/>
  <c r="I84" i="4"/>
  <c r="K84" i="4"/>
  <c r="L84" i="4"/>
  <c r="K83" i="4"/>
  <c r="L83" i="4"/>
  <c r="I81" i="4"/>
  <c r="K81" i="4"/>
  <c r="L81" i="4"/>
  <c r="K80" i="4"/>
  <c r="L80" i="4"/>
  <c r="H80" i="4"/>
  <c r="M80" i="4"/>
  <c r="L79" i="4"/>
  <c r="H79" i="4"/>
  <c r="M79" i="4"/>
  <c r="I78" i="4"/>
  <c r="K78" i="4"/>
  <c r="L78" i="4"/>
  <c r="L77" i="4"/>
  <c r="H77" i="4"/>
  <c r="M77" i="4"/>
  <c r="I76" i="4"/>
  <c r="K76" i="4"/>
  <c r="L76" i="4" s="1"/>
  <c r="I75" i="4"/>
  <c r="K75" i="4"/>
  <c r="I74" i="4"/>
  <c r="K74" i="4"/>
  <c r="L74" i="4" s="1"/>
  <c r="K73" i="4"/>
  <c r="L73" i="4"/>
  <c r="L72" i="4"/>
  <c r="H72" i="4"/>
  <c r="M72" i="4"/>
  <c r="K56" i="4"/>
  <c r="K57" i="4"/>
  <c r="K60" i="4"/>
  <c r="K62" i="4"/>
  <c r="H55" i="4"/>
  <c r="A62" i="4"/>
  <c r="A60" i="4"/>
  <c r="A58" i="4"/>
  <c r="D29" i="11"/>
  <c r="C33" i="11"/>
  <c r="C35" i="11"/>
  <c r="C36" i="11"/>
  <c r="C61" i="11"/>
  <c r="C62" i="11"/>
  <c r="F57" i="11"/>
  <c r="F56" i="11"/>
  <c r="F58" i="11" s="1"/>
  <c r="C71" i="11"/>
  <c r="D71" i="11"/>
  <c r="E70" i="11"/>
  <c r="E33" i="11"/>
  <c r="E35" i="11"/>
  <c r="E36" i="11"/>
  <c r="E69" i="11"/>
  <c r="F69" i="11"/>
  <c r="F70" i="11"/>
  <c r="F71" i="11"/>
  <c r="C64" i="12"/>
  <c r="F59" i="12"/>
  <c r="E64" i="12"/>
  <c r="F57" i="12"/>
  <c r="F56" i="12"/>
  <c r="F58" i="12" s="1"/>
  <c r="D29" i="12"/>
  <c r="I29" i="12"/>
  <c r="C33" i="12"/>
  <c r="C35" i="12"/>
  <c r="C36" i="12"/>
  <c r="C68" i="12"/>
  <c r="D68" i="12"/>
  <c r="D70" i="12"/>
  <c r="E67" i="12"/>
  <c r="E33" i="12"/>
  <c r="E35" i="12"/>
  <c r="E36" i="12"/>
  <c r="E66" i="12"/>
  <c r="E68" i="12" s="1"/>
  <c r="E71" i="12"/>
  <c r="E70" i="12"/>
  <c r="F66" i="12"/>
  <c r="F67" i="12"/>
  <c r="F68" i="12" s="1"/>
  <c r="F70" i="12"/>
  <c r="G64" i="12"/>
  <c r="G71" i="12"/>
  <c r="F11" i="12"/>
  <c r="F14" i="12"/>
  <c r="F71" i="12"/>
  <c r="F10" i="12"/>
  <c r="C24" i="10"/>
  <c r="C26" i="10"/>
  <c r="F47" i="10"/>
  <c r="F48" i="10"/>
  <c r="E57" i="10"/>
  <c r="C57" i="10"/>
  <c r="C59" i="10"/>
  <c r="C60" i="10"/>
  <c r="E20" i="10"/>
  <c r="H20" i="10"/>
  <c r="C31" i="10"/>
  <c r="C35" i="10"/>
  <c r="C36" i="10"/>
  <c r="C40" i="10"/>
  <c r="C58" i="10"/>
  <c r="C64" i="10"/>
  <c r="F49" i="10"/>
  <c r="D59" i="10"/>
  <c r="D63" i="10"/>
  <c r="E59" i="10"/>
  <c r="E63" i="10"/>
  <c r="F20" i="10"/>
  <c r="I20" i="10"/>
  <c r="E24" i="10"/>
  <c r="E26" i="10"/>
  <c r="E27" i="10"/>
  <c r="E31" i="10"/>
  <c r="F59" i="10"/>
  <c r="F124" i="10"/>
  <c r="G124" i="10"/>
  <c r="F120" i="10"/>
  <c r="G120" i="10"/>
  <c r="H128" i="10"/>
  <c r="F122" i="10"/>
  <c r="H132" i="10"/>
  <c r="I132" i="10"/>
  <c r="G59" i="10"/>
  <c r="G64" i="10"/>
  <c r="G60" i="10"/>
  <c r="G57" i="10"/>
  <c r="F28" i="15"/>
  <c r="G28" i="15"/>
  <c r="H28" i="15"/>
  <c r="I28" i="15"/>
  <c r="J28" i="15"/>
  <c r="D28" i="8"/>
  <c r="E28" i="8"/>
  <c r="F28" i="8"/>
  <c r="G28" i="8"/>
  <c r="H28" i="8"/>
  <c r="I28" i="8"/>
  <c r="D50" i="8"/>
  <c r="E24" i="6"/>
  <c r="D36" i="6"/>
  <c r="G36" i="6"/>
  <c r="H36" i="6"/>
  <c r="H16" i="6"/>
  <c r="N20" i="6"/>
  <c r="O20" i="6"/>
  <c r="R20" i="6"/>
  <c r="N19" i="6"/>
  <c r="O19" i="6"/>
  <c r="R19" i="6"/>
  <c r="N21" i="6"/>
  <c r="O21" i="6"/>
  <c r="R21" i="6"/>
  <c r="N22" i="6"/>
  <c r="O22" i="6"/>
  <c r="R22" i="6"/>
  <c r="M22" i="6"/>
  <c r="M21" i="6"/>
  <c r="M20" i="6"/>
  <c r="M19" i="6"/>
  <c r="B59" i="7"/>
  <c r="C59" i="7"/>
  <c r="D59" i="7"/>
  <c r="E63" i="7" s="1"/>
  <c r="B62" i="7"/>
  <c r="C62" i="7"/>
  <c r="B63" i="7"/>
  <c r="C63" i="7"/>
  <c r="B64" i="7"/>
  <c r="C64" i="7"/>
  <c r="B65" i="7"/>
  <c r="C65" i="7"/>
  <c r="B66" i="7"/>
  <c r="C66" i="7"/>
  <c r="B67" i="7"/>
  <c r="C67" i="7"/>
  <c r="B68" i="7"/>
  <c r="C68" i="7"/>
  <c r="B69" i="7"/>
  <c r="C69" i="7"/>
  <c r="B70" i="7"/>
  <c r="C70" i="7"/>
  <c r="B71" i="7"/>
  <c r="C71" i="7"/>
  <c r="B61" i="7"/>
  <c r="C61" i="7"/>
  <c r="J15" i="7"/>
  <c r="J14" i="7"/>
  <c r="J13" i="7"/>
  <c r="J12" i="7"/>
  <c r="L12" i="7"/>
  <c r="J11" i="7"/>
  <c r="J10" i="7"/>
  <c r="H8" i="7"/>
  <c r="J6" i="7"/>
  <c r="L6" i="7"/>
  <c r="J7" i="7"/>
  <c r="L7" i="7"/>
  <c r="J8" i="7"/>
  <c r="L8" i="7"/>
  <c r="J9" i="7"/>
  <c r="L9" i="7"/>
  <c r="L10" i="7"/>
  <c r="L11" i="7"/>
  <c r="L13" i="7"/>
  <c r="L14" i="7"/>
  <c r="L15" i="7"/>
  <c r="I118" i="24"/>
  <c r="J118" i="24"/>
  <c r="O118" i="24"/>
  <c r="P118" i="24"/>
  <c r="I76" i="24"/>
  <c r="J76" i="24"/>
  <c r="I75" i="24"/>
  <c r="J75" i="24"/>
  <c r="L75" i="24"/>
  <c r="I74" i="24"/>
  <c r="J74" i="24"/>
  <c r="I73" i="24"/>
  <c r="K73" i="24"/>
  <c r="J73" i="24"/>
  <c r="L73" i="24"/>
  <c r="M73" i="24"/>
  <c r="M118" i="24"/>
  <c r="I44" i="24"/>
  <c r="K76" i="24"/>
  <c r="L76" i="24"/>
  <c r="M76" i="24"/>
  <c r="K74" i="24"/>
  <c r="L74" i="24"/>
  <c r="M74" i="24"/>
  <c r="K75" i="24"/>
  <c r="S69" i="24"/>
  <c r="S68" i="24"/>
  <c r="S67" i="24"/>
  <c r="S66" i="24"/>
  <c r="Q70" i="24"/>
  <c r="F114" i="24"/>
  <c r="E114" i="24"/>
  <c r="D114" i="24"/>
  <c r="D121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D43" i="24"/>
  <c r="D41" i="24"/>
  <c r="D42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40" i="24"/>
  <c r="C41" i="24"/>
  <c r="E41" i="24"/>
  <c r="C42" i="24"/>
  <c r="E42" i="24"/>
  <c r="C43" i="24"/>
  <c r="E43" i="24"/>
  <c r="C44" i="24"/>
  <c r="C45" i="24"/>
  <c r="E45" i="24"/>
  <c r="C46" i="24"/>
  <c r="C47" i="24"/>
  <c r="E47" i="24"/>
  <c r="C48" i="24"/>
  <c r="C49" i="24"/>
  <c r="E49" i="24"/>
  <c r="C50" i="24"/>
  <c r="E50" i="24"/>
  <c r="C51" i="24"/>
  <c r="E51" i="24"/>
  <c r="C52" i="24"/>
  <c r="C53" i="24"/>
  <c r="E53" i="24"/>
  <c r="C54" i="24"/>
  <c r="C55" i="24"/>
  <c r="E55" i="24"/>
  <c r="C56" i="24"/>
  <c r="C57" i="24"/>
  <c r="E57" i="24"/>
  <c r="C58" i="24"/>
  <c r="E58" i="24"/>
  <c r="C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40" i="24"/>
  <c r="E56" i="24"/>
  <c r="E54" i="24"/>
  <c r="E52" i="24"/>
  <c r="E48" i="24"/>
  <c r="E46" i="24"/>
  <c r="E44" i="24"/>
  <c r="E40" i="24"/>
  <c r="D36" i="24"/>
  <c r="Q4" i="21"/>
  <c r="B24" i="21"/>
  <c r="Q5" i="21"/>
  <c r="B25" i="21"/>
  <c r="Q6" i="21"/>
  <c r="B26" i="21"/>
  <c r="Q7" i="21"/>
  <c r="B27" i="21"/>
  <c r="Q8" i="21"/>
  <c r="B28" i="21"/>
  <c r="Q9" i="21"/>
  <c r="B29" i="21"/>
  <c r="Q10" i="21"/>
  <c r="B30" i="21"/>
  <c r="Q11" i="21"/>
  <c r="B31" i="21"/>
  <c r="Q12" i="21"/>
  <c r="Q13" i="21"/>
  <c r="B33" i="21"/>
  <c r="Q14" i="21"/>
  <c r="Q15" i="21"/>
  <c r="B35" i="21"/>
  <c r="Q16" i="21"/>
  <c r="B36" i="21"/>
  <c r="Q17" i="21"/>
  <c r="B37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B18" i="21"/>
  <c r="C18" i="2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B44" i="23"/>
  <c r="C44" i="23"/>
  <c r="D44" i="23"/>
  <c r="B104" i="23"/>
  <c r="C104" i="23"/>
  <c r="D104" i="23"/>
  <c r="B103" i="23"/>
  <c r="C103" i="23"/>
  <c r="D103" i="23"/>
  <c r="B105" i="23"/>
  <c r="C105" i="23"/>
  <c r="B106" i="23"/>
  <c r="C106" i="23"/>
  <c r="B107" i="23"/>
  <c r="C107" i="23"/>
  <c r="D107" i="23"/>
  <c r="C62" i="23"/>
  <c r="B93" i="23"/>
  <c r="B63" i="23"/>
  <c r="C63" i="23"/>
  <c r="D63" i="23"/>
  <c r="B70" i="23"/>
  <c r="C70" i="23"/>
  <c r="D70" i="23"/>
  <c r="B74" i="23"/>
  <c r="C74" i="23"/>
  <c r="D74" i="23"/>
  <c r="B80" i="23"/>
  <c r="C80" i="23"/>
  <c r="D80" i="23"/>
  <c r="B88" i="23"/>
  <c r="C88" i="23"/>
  <c r="D88" i="23"/>
  <c r="B94" i="23"/>
  <c r="C94" i="23"/>
  <c r="D94" i="23"/>
  <c r="B95" i="23"/>
  <c r="C95" i="23"/>
  <c r="D95" i="23"/>
  <c r="B96" i="23"/>
  <c r="C96" i="23"/>
  <c r="B97" i="23"/>
  <c r="C97" i="23"/>
  <c r="D97" i="23"/>
  <c r="B98" i="23"/>
  <c r="C98" i="23"/>
  <c r="D98" i="23"/>
  <c r="B99" i="23"/>
  <c r="C99" i="23"/>
  <c r="D99" i="23"/>
  <c r="B100" i="23"/>
  <c r="C100" i="23"/>
  <c r="B101" i="23"/>
  <c r="C101" i="23"/>
  <c r="D101" i="23"/>
  <c r="C102" i="23"/>
  <c r="D102" i="23"/>
  <c r="B108" i="23"/>
  <c r="C108" i="23"/>
  <c r="B109" i="23"/>
  <c r="C109" i="23"/>
  <c r="D109" i="23"/>
  <c r="B110" i="23"/>
  <c r="C110" i="23"/>
  <c r="D110" i="23"/>
  <c r="B111" i="23"/>
  <c r="C111" i="23"/>
  <c r="D111" i="23"/>
  <c r="C112" i="23"/>
  <c r="B113" i="23"/>
  <c r="C113" i="23"/>
  <c r="D113" i="23"/>
  <c r="B114" i="23"/>
  <c r="C114" i="23"/>
  <c r="D114" i="23"/>
  <c r="B115" i="23"/>
  <c r="C115" i="23"/>
  <c r="D115" i="23"/>
  <c r="B116" i="23"/>
  <c r="C116" i="23"/>
  <c r="B117" i="23"/>
  <c r="C117" i="23"/>
  <c r="D117" i="23"/>
  <c r="B118" i="23"/>
  <c r="C118" i="23"/>
  <c r="D118" i="23"/>
  <c r="B119" i="23"/>
  <c r="C119" i="23"/>
  <c r="D119" i="23"/>
  <c r="B120" i="23"/>
  <c r="C120" i="23"/>
  <c r="D120" i="23"/>
  <c r="B121" i="23"/>
  <c r="C121" i="23"/>
  <c r="D121" i="23"/>
  <c r="C122" i="23"/>
  <c r="D122" i="23"/>
  <c r="B61" i="23"/>
  <c r="C61" i="23"/>
  <c r="D61" i="23"/>
  <c r="B60" i="23"/>
  <c r="C60" i="23"/>
  <c r="D60" i="23"/>
  <c r="B59" i="23"/>
  <c r="C59" i="23"/>
  <c r="D59" i="23"/>
  <c r="B58" i="23"/>
  <c r="C58" i="23"/>
  <c r="B48" i="23"/>
  <c r="C48" i="23"/>
  <c r="D48" i="23"/>
  <c r="B43" i="23"/>
  <c r="C43" i="23"/>
  <c r="D43" i="23"/>
  <c r="B45" i="23"/>
  <c r="C45" i="23"/>
  <c r="B46" i="23"/>
  <c r="C46" i="23"/>
  <c r="D46" i="23"/>
  <c r="B47" i="23"/>
  <c r="C47" i="23"/>
  <c r="D47" i="23"/>
  <c r="B49" i="23"/>
  <c r="C49" i="23"/>
  <c r="D49" i="23"/>
  <c r="B50" i="23"/>
  <c r="C50" i="23"/>
  <c r="D50" i="23"/>
  <c r="B51" i="23"/>
  <c r="C51" i="23"/>
  <c r="D51" i="23"/>
  <c r="B52" i="23"/>
  <c r="C52" i="23"/>
  <c r="D52" i="23"/>
  <c r="B53" i="23"/>
  <c r="C53" i="23"/>
  <c r="B54" i="23"/>
  <c r="C54" i="23"/>
  <c r="D54" i="23"/>
  <c r="B55" i="23"/>
  <c r="C55" i="23"/>
  <c r="D55" i="23"/>
  <c r="B56" i="23"/>
  <c r="C56" i="23"/>
  <c r="D56" i="23"/>
  <c r="B57" i="23"/>
  <c r="C57" i="23"/>
  <c r="D57" i="23"/>
  <c r="D45" i="23"/>
  <c r="D53" i="23"/>
  <c r="D96" i="23"/>
  <c r="D100" i="23"/>
  <c r="D105" i="23"/>
  <c r="D106" i="23"/>
  <c r="D108" i="23"/>
  <c r="D112" i="23"/>
  <c r="D116" i="23"/>
  <c r="D58" i="23"/>
  <c r="D62" i="23"/>
  <c r="D42" i="23"/>
  <c r="E126" i="5"/>
  <c r="E127" i="5"/>
  <c r="E128" i="5"/>
  <c r="E129" i="5"/>
  <c r="E130" i="5"/>
  <c r="E131" i="5"/>
  <c r="E132" i="5"/>
  <c r="E133" i="5"/>
  <c r="E134" i="5"/>
  <c r="E135" i="5"/>
  <c r="E125" i="5"/>
  <c r="G5" i="5"/>
  <c r="G10" i="5"/>
  <c r="AD10" i="5"/>
  <c r="N9" i="5"/>
  <c r="AF10" i="5"/>
  <c r="N11" i="5"/>
  <c r="D22" i="5"/>
  <c r="AC10" i="5"/>
  <c r="N8" i="5"/>
  <c r="AD9" i="5"/>
  <c r="Q18" i="5"/>
  <c r="Q19" i="5"/>
  <c r="P20" i="5"/>
  <c r="P21" i="5"/>
  <c r="P22" i="5"/>
  <c r="AA5" i="5"/>
  <c r="S19" i="5"/>
  <c r="S20" i="5"/>
  <c r="R20" i="5"/>
  <c r="R21" i="5"/>
  <c r="R22" i="5"/>
  <c r="C22" i="5"/>
  <c r="G6" i="5"/>
  <c r="B23" i="5"/>
  <c r="E24" i="5"/>
  <c r="N59" i="5"/>
  <c r="N57" i="5"/>
  <c r="N60" i="5"/>
  <c r="N53" i="5"/>
  <c r="AB8" i="5"/>
  <c r="G11" i="5"/>
  <c r="G7" i="5"/>
  <c r="D2" i="13"/>
  <c r="D3" i="13"/>
  <c r="C62" i="13"/>
  <c r="B63" i="13"/>
  <c r="D6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65" i="13"/>
  <c r="B66" i="13"/>
  <c r="B67" i="13"/>
  <c r="B68" i="13"/>
  <c r="B69" i="13"/>
  <c r="B64" i="13"/>
  <c r="B103" i="13"/>
  <c r="C103" i="13"/>
  <c r="B99" i="13"/>
  <c r="D103" i="13"/>
  <c r="B102" i="13"/>
  <c r="C102" i="13"/>
  <c r="M97" i="13"/>
  <c r="D102" i="13"/>
  <c r="K98" i="13"/>
  <c r="B122" i="13"/>
  <c r="D123" i="13"/>
  <c r="D124" i="13"/>
  <c r="E125" i="13"/>
  <c r="D126" i="13"/>
  <c r="D128" i="13"/>
  <c r="E129" i="13"/>
  <c r="D130" i="13"/>
  <c r="D132" i="13"/>
  <c r="B124" i="13"/>
  <c r="C124" i="13"/>
  <c r="B125" i="13"/>
  <c r="C125" i="13"/>
  <c r="B126" i="13"/>
  <c r="C126" i="13"/>
  <c r="B127" i="13"/>
  <c r="C127" i="13"/>
  <c r="B128" i="13"/>
  <c r="C128" i="13"/>
  <c r="B129" i="13"/>
  <c r="C129" i="13"/>
  <c r="B130" i="13"/>
  <c r="C130" i="13"/>
  <c r="B131" i="13"/>
  <c r="C131" i="13"/>
  <c r="B132" i="13"/>
  <c r="C132" i="13"/>
  <c r="B123" i="13"/>
  <c r="C123" i="13"/>
  <c r="D119" i="13"/>
  <c r="B107" i="13"/>
  <c r="C107" i="13"/>
  <c r="B105" i="13"/>
  <c r="C105" i="13"/>
  <c r="B104" i="13"/>
  <c r="C104" i="13"/>
  <c r="B101" i="13"/>
  <c r="C101" i="13"/>
  <c r="B100" i="13"/>
  <c r="C100" i="13"/>
  <c r="D113" i="13"/>
  <c r="B112" i="13"/>
  <c r="C112" i="13"/>
  <c r="B111" i="13"/>
  <c r="C111" i="13"/>
  <c r="B110" i="13"/>
  <c r="C110" i="13"/>
  <c r="B109" i="13"/>
  <c r="C109" i="13"/>
  <c r="B108" i="13"/>
  <c r="C108" i="13"/>
  <c r="B106" i="13"/>
  <c r="C106" i="13"/>
  <c r="B119" i="13"/>
  <c r="C119" i="13"/>
  <c r="B118" i="13"/>
  <c r="B117" i="13"/>
  <c r="B116" i="13"/>
  <c r="B115" i="13"/>
  <c r="C115" i="13"/>
  <c r="B114" i="13"/>
  <c r="B113" i="13"/>
  <c r="D101" i="13"/>
  <c r="D100" i="13"/>
  <c r="E100" i="13"/>
  <c r="F100" i="13" s="1"/>
  <c r="E101" i="13"/>
  <c r="F101" i="13"/>
  <c r="E103" i="13"/>
  <c r="E104" i="13"/>
  <c r="D105" i="13"/>
  <c r="D106" i="13"/>
  <c r="E106" i="13"/>
  <c r="D107" i="13"/>
  <c r="E107" i="13"/>
  <c r="F107" i="13" s="1"/>
  <c r="E108" i="13"/>
  <c r="D109" i="13"/>
  <c r="D110" i="13"/>
  <c r="E110" i="13"/>
  <c r="F110" i="13" s="1"/>
  <c r="D111" i="13"/>
  <c r="E111" i="13"/>
  <c r="F111" i="13" s="1"/>
  <c r="D114" i="13"/>
  <c r="E114" i="13"/>
  <c r="E115" i="13"/>
  <c r="D116" i="13"/>
  <c r="D117" i="13"/>
  <c r="E117" i="13"/>
  <c r="F117" i="13" s="1"/>
  <c r="D118" i="13"/>
  <c r="E118" i="13"/>
  <c r="F118" i="13" s="1"/>
  <c r="C113" i="13"/>
  <c r="C114" i="13"/>
  <c r="C116" i="13"/>
  <c r="C117" i="13"/>
  <c r="C118" i="13"/>
  <c r="V2" i="17"/>
  <c r="V3" i="17"/>
  <c r="T59" i="17" s="1"/>
  <c r="V6" i="17"/>
  <c r="S2" i="17"/>
  <c r="S3" i="17"/>
  <c r="Q59" i="17" s="1"/>
  <c r="S6" i="17"/>
  <c r="P2" i="17"/>
  <c r="P3" i="17"/>
  <c r="N59" i="17" s="1"/>
  <c r="N44" i="17" s="1"/>
  <c r="N50" i="17"/>
  <c r="O50" i="17"/>
  <c r="N28" i="17"/>
  <c r="O28" i="17"/>
  <c r="M2" i="17"/>
  <c r="M3" i="17"/>
  <c r="K59" i="17" s="1"/>
  <c r="M6" i="17"/>
  <c r="J2" i="17"/>
  <c r="J3" i="17"/>
  <c r="H59" i="17" s="1"/>
  <c r="H49" i="17" s="1"/>
  <c r="J6" i="17"/>
  <c r="H56" i="17"/>
  <c r="I56" i="17"/>
  <c r="H45" i="17"/>
  <c r="I45" i="17"/>
  <c r="H40" i="17"/>
  <c r="I40" i="17"/>
  <c r="H29" i="17"/>
  <c r="H24" i="17"/>
  <c r="H20" i="17"/>
  <c r="H16" i="17"/>
  <c r="H12" i="17"/>
  <c r="G2" i="17"/>
  <c r="G3" i="17"/>
  <c r="E59" i="17" s="1"/>
  <c r="G6" i="17"/>
  <c r="D2" i="17"/>
  <c r="D3" i="17"/>
  <c r="B59" i="17" s="1"/>
  <c r="D6" i="17"/>
  <c r="Y2" i="17"/>
  <c r="Y3" i="17"/>
  <c r="W59" i="17" s="1"/>
  <c r="I29" i="17"/>
  <c r="C24" i="4"/>
  <c r="F24" i="4"/>
  <c r="F55" i="4"/>
  <c r="G14" i="4"/>
  <c r="E23" i="4"/>
  <c r="E24" i="4"/>
  <c r="G15" i="4"/>
  <c r="K63" i="4"/>
  <c r="M23" i="4"/>
  <c r="E61" i="4"/>
  <c r="G61" i="4"/>
  <c r="I61" i="4"/>
  <c r="L61" i="4"/>
  <c r="K61" i="4"/>
  <c r="M61" i="4"/>
  <c r="J61" i="4"/>
  <c r="H61" i="4"/>
  <c r="F61" i="4"/>
  <c r="G18" i="4"/>
  <c r="K19" i="4"/>
  <c r="G12" i="4"/>
  <c r="D23" i="4"/>
  <c r="D24" i="4"/>
  <c r="W53" i="17"/>
  <c r="W54" i="17"/>
  <c r="W56" i="17"/>
  <c r="W57" i="17"/>
  <c r="W58" i="17"/>
  <c r="W30" i="17"/>
  <c r="W31" i="17"/>
  <c r="W32" i="17"/>
  <c r="W34" i="17"/>
  <c r="W35" i="17"/>
  <c r="W36" i="17"/>
  <c r="W38" i="17"/>
  <c r="W39" i="17"/>
  <c r="W40" i="17"/>
  <c r="W42" i="17"/>
  <c r="W43" i="17"/>
  <c r="W44" i="17"/>
  <c r="W46" i="17"/>
  <c r="W47" i="17"/>
  <c r="W48" i="17"/>
  <c r="W50" i="17"/>
  <c r="W51" i="17"/>
  <c r="W10" i="17"/>
  <c r="W12" i="17"/>
  <c r="W13" i="17"/>
  <c r="W14" i="17"/>
  <c r="W16" i="17"/>
  <c r="W17" i="17"/>
  <c r="W18" i="17"/>
  <c r="W20" i="17"/>
  <c r="W21" i="17"/>
  <c r="W22" i="17"/>
  <c r="W24" i="17"/>
  <c r="W25" i="17"/>
  <c r="W26" i="17"/>
  <c r="W28" i="17"/>
  <c r="W29" i="17"/>
  <c r="W9" i="17"/>
  <c r="S21" i="5"/>
  <c r="S22" i="5"/>
  <c r="N11" i="17"/>
  <c r="N13" i="17"/>
  <c r="N15" i="17"/>
  <c r="N17" i="17"/>
  <c r="N19" i="17"/>
  <c r="N21" i="17"/>
  <c r="N23" i="17"/>
  <c r="N25" i="17"/>
  <c r="N27" i="17"/>
  <c r="N29" i="17"/>
  <c r="N31" i="17"/>
  <c r="N33" i="17"/>
  <c r="N35" i="17"/>
  <c r="N37" i="17"/>
  <c r="N39" i="17"/>
  <c r="N41" i="17"/>
  <c r="N43" i="17"/>
  <c r="N45" i="17"/>
  <c r="N47" i="17"/>
  <c r="N49" i="17"/>
  <c r="N51" i="17"/>
  <c r="N53" i="17"/>
  <c r="N55" i="17"/>
  <c r="P6" i="17"/>
  <c r="C63" i="13"/>
  <c r="E63" i="13"/>
  <c r="F63" i="13"/>
  <c r="E62" i="13"/>
  <c r="F62" i="13"/>
  <c r="G62" i="13"/>
  <c r="H62" i="13"/>
  <c r="D73" i="13"/>
  <c r="D71" i="13"/>
  <c r="D69" i="13"/>
  <c r="D67" i="13"/>
  <c r="D65" i="13"/>
  <c r="D82" i="13"/>
  <c r="D77" i="13"/>
  <c r="D80" i="13"/>
  <c r="D75" i="13"/>
  <c r="C70" i="13"/>
  <c r="E70" i="13"/>
  <c r="F70" i="13"/>
  <c r="C71" i="13"/>
  <c r="E71" i="13"/>
  <c r="F71" i="13"/>
  <c r="C72" i="13"/>
  <c r="E72" i="13"/>
  <c r="F72" i="13"/>
  <c r="C73" i="13"/>
  <c r="E73" i="13"/>
  <c r="F73" i="13"/>
  <c r="C74" i="13"/>
  <c r="E74" i="13"/>
  <c r="F74" i="13"/>
  <c r="C75" i="13"/>
  <c r="E75" i="13"/>
  <c r="F75" i="13"/>
  <c r="C76" i="13"/>
  <c r="E76" i="13"/>
  <c r="F76" i="13"/>
  <c r="C77" i="13"/>
  <c r="E77" i="13"/>
  <c r="F77" i="13"/>
  <c r="C78" i="13"/>
  <c r="E78" i="13"/>
  <c r="F78" i="13"/>
  <c r="C79" i="13"/>
  <c r="E79" i="13"/>
  <c r="F79" i="13"/>
  <c r="C80" i="13"/>
  <c r="E80" i="13"/>
  <c r="F80" i="13"/>
  <c r="C81" i="13"/>
  <c r="E81" i="13"/>
  <c r="F81" i="13"/>
  <c r="C82" i="13"/>
  <c r="E82" i="13"/>
  <c r="F82" i="13"/>
  <c r="C65" i="13"/>
  <c r="E65" i="13"/>
  <c r="F65" i="13"/>
  <c r="C66" i="13"/>
  <c r="E66" i="13"/>
  <c r="F66" i="13"/>
  <c r="C67" i="13"/>
  <c r="E67" i="13"/>
  <c r="F67" i="13"/>
  <c r="C68" i="13"/>
  <c r="E68" i="13"/>
  <c r="F68" i="13"/>
  <c r="C69" i="13"/>
  <c r="E69" i="13"/>
  <c r="F69" i="13"/>
  <c r="C64" i="13"/>
  <c r="E64" i="13"/>
  <c r="F64" i="13"/>
  <c r="D63" i="13"/>
  <c r="D74" i="13"/>
  <c r="D72" i="13"/>
  <c r="D70" i="13"/>
  <c r="D68" i="13"/>
  <c r="D66" i="13"/>
  <c r="D64" i="13"/>
  <c r="D78" i="13"/>
  <c r="D81" i="13"/>
  <c r="D76" i="13"/>
  <c r="D79" i="13"/>
  <c r="Y6" i="17"/>
  <c r="Y59" i="17"/>
  <c r="P28" i="17"/>
  <c r="P50" i="17"/>
  <c r="P59" i="17"/>
  <c r="C20" i="5"/>
  <c r="J19" i="5"/>
  <c r="O74" i="24"/>
  <c r="O86" i="24"/>
  <c r="O88" i="24"/>
  <c r="O90" i="24"/>
  <c r="O92" i="24"/>
  <c r="O94" i="24"/>
  <c r="O96" i="24"/>
  <c r="O98" i="24"/>
  <c r="O100" i="24"/>
  <c r="O102" i="24"/>
  <c r="O85" i="24"/>
  <c r="O87" i="24"/>
  <c r="O89" i="24"/>
  <c r="O91" i="24"/>
  <c r="O93" i="24"/>
  <c r="O95" i="24"/>
  <c r="O97" i="24"/>
  <c r="O99" i="24"/>
  <c r="O101" i="24"/>
  <c r="O84" i="24"/>
  <c r="O76" i="24"/>
  <c r="Q86" i="24"/>
  <c r="Q88" i="24"/>
  <c r="Q90" i="24"/>
  <c r="Q92" i="24"/>
  <c r="Q94" i="24"/>
  <c r="Q96" i="24"/>
  <c r="Q98" i="24"/>
  <c r="Q100" i="24"/>
  <c r="Q102" i="24"/>
  <c r="Q85" i="24"/>
  <c r="Q87" i="24"/>
  <c r="Q89" i="24"/>
  <c r="Q91" i="24"/>
  <c r="Q93" i="24"/>
  <c r="Q95" i="24"/>
  <c r="Q97" i="24"/>
  <c r="Q99" i="24"/>
  <c r="Q101" i="24"/>
  <c r="Q84" i="24"/>
  <c r="N93" i="24"/>
  <c r="N84" i="24"/>
  <c r="N86" i="24"/>
  <c r="N88" i="24"/>
  <c r="N90" i="24"/>
  <c r="N92" i="24"/>
  <c r="N95" i="24"/>
  <c r="N97" i="24"/>
  <c r="N99" i="24"/>
  <c r="N101" i="24"/>
  <c r="O73" i="24"/>
  <c r="N85" i="24"/>
  <c r="N87" i="24"/>
  <c r="N89" i="24"/>
  <c r="N91" i="24"/>
  <c r="N94" i="24"/>
  <c r="N96" i="24"/>
  <c r="N98" i="24"/>
  <c r="N100" i="24"/>
  <c r="N102" i="24"/>
  <c r="Q118" i="24"/>
  <c r="R118" i="24"/>
  <c r="D112" i="13"/>
  <c r="E113" i="13"/>
  <c r="F113" i="13"/>
  <c r="E119" i="13"/>
  <c r="F119" i="13"/>
  <c r="E132" i="13"/>
  <c r="F132" i="13"/>
  <c r="D131" i="13"/>
  <c r="E130" i="13"/>
  <c r="F130" i="13"/>
  <c r="D129" i="13"/>
  <c r="F129" i="13"/>
  <c r="E128" i="13"/>
  <c r="F128" i="13"/>
  <c r="D127" i="13"/>
  <c r="E126" i="13"/>
  <c r="F126" i="13"/>
  <c r="D125" i="13"/>
  <c r="F125" i="13"/>
  <c r="E124" i="13"/>
  <c r="F124" i="13"/>
  <c r="E102" i="13"/>
  <c r="F102" i="13"/>
  <c r="B59" i="13"/>
  <c r="D19" i="5"/>
  <c r="E29" i="5"/>
  <c r="C29" i="5"/>
  <c r="D28" i="5"/>
  <c r="E27" i="5"/>
  <c r="C27" i="5"/>
  <c r="D26" i="5"/>
  <c r="E25" i="5"/>
  <c r="C25" i="5"/>
  <c r="D24" i="5"/>
  <c r="E23" i="5"/>
  <c r="C23" i="5"/>
  <c r="E22" i="5"/>
  <c r="E21" i="5"/>
  <c r="C21" i="5"/>
  <c r="D20" i="5"/>
  <c r="Q20" i="5"/>
  <c r="C19" i="5"/>
  <c r="C93" i="23"/>
  <c r="D93" i="23"/>
  <c r="B91" i="23"/>
  <c r="C91" i="23"/>
  <c r="D91" i="23"/>
  <c r="B89" i="23"/>
  <c r="C89" i="23"/>
  <c r="D89" i="23"/>
  <c r="B87" i="23"/>
  <c r="C87" i="23"/>
  <c r="D87" i="23"/>
  <c r="B85" i="23"/>
  <c r="C85" i="23"/>
  <c r="D85" i="23"/>
  <c r="B83" i="23"/>
  <c r="C83" i="23"/>
  <c r="D83" i="23"/>
  <c r="B81" i="23"/>
  <c r="C81" i="23"/>
  <c r="D81" i="23"/>
  <c r="B79" i="23"/>
  <c r="C79" i="23"/>
  <c r="D79" i="23"/>
  <c r="B77" i="23"/>
  <c r="C77" i="23"/>
  <c r="D77" i="23"/>
  <c r="B75" i="23"/>
  <c r="C75" i="23"/>
  <c r="D75" i="23"/>
  <c r="B73" i="23"/>
  <c r="C73" i="23"/>
  <c r="D73" i="23"/>
  <c r="B71" i="23"/>
  <c r="C71" i="23"/>
  <c r="D71" i="23"/>
  <c r="B69" i="23"/>
  <c r="C69" i="23"/>
  <c r="D69" i="23"/>
  <c r="B67" i="23"/>
  <c r="C67" i="23"/>
  <c r="D67" i="23"/>
  <c r="B64" i="23"/>
  <c r="C64" i="23"/>
  <c r="D64" i="23"/>
  <c r="K118" i="24"/>
  <c r="N118" i="24"/>
  <c r="J28" i="8"/>
  <c r="F19" i="12"/>
  <c r="F18" i="12"/>
  <c r="F20" i="12"/>
  <c r="F17" i="12"/>
  <c r="E55" i="4"/>
  <c r="G55" i="4"/>
  <c r="I55" i="4"/>
  <c r="D55" i="4"/>
  <c r="M57" i="4"/>
  <c r="I57" i="4"/>
  <c r="E57" i="4"/>
  <c r="G57" i="4"/>
  <c r="D57" i="4"/>
  <c r="E132" i="7"/>
  <c r="F132" i="7"/>
  <c r="D132" i="7"/>
  <c r="H76" i="4"/>
  <c r="M76" i="4"/>
  <c r="H78" i="4"/>
  <c r="M78" i="4"/>
  <c r="H84" i="4"/>
  <c r="M84" i="4"/>
  <c r="H83" i="4"/>
  <c r="M83" i="4"/>
  <c r="H121" i="4"/>
  <c r="M121" i="4"/>
  <c r="H119" i="4"/>
  <c r="M119" i="4"/>
  <c r="H117" i="4"/>
  <c r="M117" i="4"/>
  <c r="H115" i="4"/>
  <c r="M115" i="4"/>
  <c r="H103" i="4"/>
  <c r="M103" i="4"/>
  <c r="E71" i="11"/>
  <c r="C67" i="11"/>
  <c r="E67" i="11"/>
  <c r="G67" i="11"/>
  <c r="G74" i="11"/>
  <c r="F59" i="4"/>
  <c r="I59" i="4"/>
  <c r="D44" i="25"/>
  <c r="D45" i="25"/>
  <c r="H53" i="25"/>
  <c r="D43" i="25"/>
  <c r="I43" i="25"/>
  <c r="D53" i="25"/>
  <c r="D49" i="25"/>
  <c r="I49" i="25"/>
  <c r="D51" i="25"/>
  <c r="D52" i="25"/>
  <c r="I52" i="25"/>
  <c r="D48" i="25"/>
  <c r="D47" i="25"/>
  <c r="I47" i="25"/>
  <c r="D50" i="25"/>
  <c r="I44" i="25"/>
  <c r="I45" i="25"/>
  <c r="D46" i="25"/>
  <c r="I46" i="25"/>
  <c r="I53" i="25"/>
  <c r="I51" i="25"/>
  <c r="I48" i="25"/>
  <c r="I50" i="25"/>
  <c r="H74" i="4"/>
  <c r="M74" i="4"/>
  <c r="H81" i="4"/>
  <c r="M81" i="4"/>
  <c r="L75" i="4"/>
  <c r="H75" i="4"/>
  <c r="M75" i="4"/>
  <c r="G11" i="4"/>
  <c r="G13" i="4"/>
  <c r="H145" i="4"/>
  <c r="M145" i="4"/>
  <c r="I90" i="23"/>
  <c r="J90" i="23"/>
  <c r="C43" i="25"/>
  <c r="H43" i="25"/>
  <c r="C46" i="25"/>
  <c r="H46" i="25"/>
  <c r="C47" i="25"/>
  <c r="H47" i="25"/>
  <c r="C48" i="25"/>
  <c r="H48" i="25"/>
  <c r="C49" i="25"/>
  <c r="H49" i="25"/>
  <c r="C50" i="25"/>
  <c r="H50" i="25"/>
  <c r="C51" i="25"/>
  <c r="H51" i="25"/>
  <c r="C52" i="25"/>
  <c r="H52" i="25"/>
  <c r="C44" i="25"/>
  <c r="H44" i="25"/>
  <c r="C45" i="25"/>
  <c r="H45" i="25"/>
  <c r="W45" i="4"/>
  <c r="F104" i="10"/>
  <c r="F112" i="10"/>
  <c r="F18" i="11"/>
  <c r="G23" i="4"/>
  <c r="G24" i="4"/>
  <c r="E133" i="7"/>
  <c r="F133" i="7"/>
  <c r="D133" i="7"/>
  <c r="C131" i="7"/>
  <c r="N23" i="4"/>
  <c r="E63" i="4"/>
  <c r="G63" i="4"/>
  <c r="I63" i="4"/>
  <c r="L63" i="4"/>
  <c r="D63" i="4"/>
  <c r="F63" i="4"/>
  <c r="H63" i="4"/>
  <c r="J63" i="4"/>
  <c r="M63" i="4"/>
  <c r="M59" i="4"/>
  <c r="E59" i="4"/>
  <c r="H59" i="4"/>
  <c r="J59" i="4"/>
  <c r="G59" i="4"/>
  <c r="D59" i="4"/>
  <c r="K23" i="4"/>
  <c r="F57" i="4"/>
  <c r="L57" i="4"/>
  <c r="J57" i="4"/>
  <c r="H57" i="4"/>
  <c r="K59" i="4"/>
  <c r="J23" i="4"/>
  <c r="L55" i="4"/>
  <c r="C73" i="11"/>
  <c r="D73" i="11"/>
  <c r="C74" i="11"/>
  <c r="D74" i="11"/>
  <c r="O33" i="5"/>
  <c r="R33" i="5"/>
  <c r="S33" i="5"/>
  <c r="Q21" i="5"/>
  <c r="Q22" i="5"/>
  <c r="P55" i="17"/>
  <c r="O55" i="17"/>
  <c r="P51" i="17"/>
  <c r="O51" i="17"/>
  <c r="P47" i="17"/>
  <c r="O47" i="17"/>
  <c r="P43" i="17"/>
  <c r="O43" i="17"/>
  <c r="P39" i="17"/>
  <c r="O39" i="17"/>
  <c r="P35" i="17"/>
  <c r="O35" i="17"/>
  <c r="P31" i="17"/>
  <c r="O31" i="17"/>
  <c r="P27" i="17"/>
  <c r="O27" i="17"/>
  <c r="P23" i="17"/>
  <c r="O23" i="17"/>
  <c r="P19" i="17"/>
  <c r="O19" i="17"/>
  <c r="P15" i="17"/>
  <c r="O15" i="17"/>
  <c r="P11" i="17"/>
  <c r="O11" i="17"/>
  <c r="Y9" i="17"/>
  <c r="X9" i="17"/>
  <c r="Y28" i="17"/>
  <c r="X28" i="17"/>
  <c r="Y26" i="17"/>
  <c r="X26" i="17"/>
  <c r="Y24" i="17"/>
  <c r="X24" i="17"/>
  <c r="Y22" i="17"/>
  <c r="X22" i="17"/>
  <c r="Y20" i="17"/>
  <c r="X20" i="17"/>
  <c r="Y18" i="17"/>
  <c r="X18" i="17"/>
  <c r="Y16" i="17"/>
  <c r="X16" i="17"/>
  <c r="Y14" i="17"/>
  <c r="X14" i="17"/>
  <c r="Y12" i="17"/>
  <c r="X12" i="17"/>
  <c r="Y10" i="17"/>
  <c r="X10" i="17"/>
  <c r="Y50" i="17"/>
  <c r="X50" i="17"/>
  <c r="Y48" i="17"/>
  <c r="X48" i="17"/>
  <c r="Y46" i="17"/>
  <c r="X46" i="17"/>
  <c r="Y44" i="17"/>
  <c r="X44" i="17"/>
  <c r="Y42" i="17"/>
  <c r="X42" i="17"/>
  <c r="Y40" i="17"/>
  <c r="X40" i="17"/>
  <c r="Y38" i="17"/>
  <c r="X38" i="17"/>
  <c r="Y36" i="17"/>
  <c r="X36" i="17"/>
  <c r="Y34" i="17"/>
  <c r="X34" i="17"/>
  <c r="Y32" i="17"/>
  <c r="X32" i="17"/>
  <c r="Y30" i="17"/>
  <c r="X30" i="17"/>
  <c r="Y57" i="17"/>
  <c r="X57" i="17"/>
  <c r="Y53" i="17"/>
  <c r="X53" i="17"/>
  <c r="K55" i="4"/>
  <c r="M55" i="4"/>
  <c r="E131" i="7"/>
  <c r="F131" i="7"/>
  <c r="D131" i="7"/>
  <c r="L23" i="4"/>
  <c r="L59" i="4"/>
  <c r="E44" i="25"/>
  <c r="J44" i="25" s="1"/>
  <c r="E53" i="25"/>
  <c r="J53" i="25"/>
  <c r="E52" i="25"/>
  <c r="J52" i="25"/>
  <c r="E51" i="25"/>
  <c r="J51" i="25"/>
  <c r="E50" i="25"/>
  <c r="J50" i="25"/>
  <c r="E49" i="25"/>
  <c r="J49" i="25"/>
  <c r="E48" i="25"/>
  <c r="J48" i="25"/>
  <c r="E47" i="25"/>
  <c r="J47" i="25"/>
  <c r="E46" i="25"/>
  <c r="J46" i="25" s="1"/>
  <c r="E45" i="25"/>
  <c r="J45" i="25"/>
  <c r="E43" i="25"/>
  <c r="J43" i="25"/>
  <c r="F73" i="11"/>
  <c r="F74" i="11"/>
  <c r="E74" i="11"/>
  <c r="B34" i="13"/>
  <c r="C90" i="13"/>
  <c r="E90" i="13"/>
  <c r="F90" i="13"/>
  <c r="C91" i="13"/>
  <c r="E91" i="13"/>
  <c r="F91" i="13"/>
  <c r="C92" i="13"/>
  <c r="E92" i="13"/>
  <c r="F92" i="13"/>
  <c r="C93" i="13"/>
  <c r="E93" i="13"/>
  <c r="F93" i="13"/>
  <c r="C94" i="13"/>
  <c r="E94" i="13"/>
  <c r="F94" i="13"/>
  <c r="C95" i="13"/>
  <c r="E95" i="13"/>
  <c r="F95" i="13"/>
  <c r="C96" i="13"/>
  <c r="E96" i="13"/>
  <c r="F96" i="13"/>
  <c r="C59" i="13"/>
  <c r="B37" i="13"/>
  <c r="B39" i="13"/>
  <c r="D39" i="13"/>
  <c r="B41" i="13"/>
  <c r="B43" i="13"/>
  <c r="B45" i="13"/>
  <c r="B47" i="13"/>
  <c r="D47" i="13"/>
  <c r="B49" i="13"/>
  <c r="B51" i="13"/>
  <c r="B53" i="13"/>
  <c r="B55" i="13"/>
  <c r="D55" i="13"/>
  <c r="B57" i="13"/>
  <c r="D59" i="13"/>
  <c r="B33" i="13"/>
  <c r="B32" i="13"/>
  <c r="C86" i="13"/>
  <c r="D92" i="13"/>
  <c r="C87" i="13"/>
  <c r="E87" i="13"/>
  <c r="F87" i="13"/>
  <c r="C88" i="13"/>
  <c r="E88" i="13"/>
  <c r="F88" i="13"/>
  <c r="C89" i="13"/>
  <c r="E89" i="13"/>
  <c r="F89" i="13"/>
  <c r="B31" i="13"/>
  <c r="B30" i="13"/>
  <c r="D30" i="13"/>
  <c r="B29" i="13"/>
  <c r="B28" i="13"/>
  <c r="B27" i="13"/>
  <c r="B26" i="13"/>
  <c r="D26" i="13"/>
  <c r="B25" i="13"/>
  <c r="B24" i="13"/>
  <c r="B23" i="13"/>
  <c r="B22" i="13"/>
  <c r="D22" i="13"/>
  <c r="B21" i="13"/>
  <c r="B20" i="13"/>
  <c r="B19" i="13"/>
  <c r="B18" i="13"/>
  <c r="D18" i="13"/>
  <c r="B17" i="13"/>
  <c r="B16" i="13"/>
  <c r="B15" i="13"/>
  <c r="B14" i="13"/>
  <c r="D14" i="13"/>
  <c r="B13" i="13"/>
  <c r="B12" i="13"/>
  <c r="B11" i="13"/>
  <c r="B10" i="13"/>
  <c r="D10" i="13"/>
  <c r="B9" i="13"/>
  <c r="B36" i="13"/>
  <c r="B38" i="13"/>
  <c r="B40" i="13"/>
  <c r="C40" i="13"/>
  <c r="B42" i="13"/>
  <c r="B44" i="13"/>
  <c r="B46" i="13"/>
  <c r="B48" i="13"/>
  <c r="C48" i="13"/>
  <c r="B50" i="13"/>
  <c r="B52" i="13"/>
  <c r="B54" i="13"/>
  <c r="B56" i="13"/>
  <c r="C56" i="13"/>
  <c r="B58" i="13"/>
  <c r="B35" i="13"/>
  <c r="J21" i="5"/>
  <c r="J20" i="5"/>
  <c r="P53" i="17"/>
  <c r="O53" i="17"/>
  <c r="P49" i="17"/>
  <c r="O49" i="17"/>
  <c r="P45" i="17"/>
  <c r="O45" i="17"/>
  <c r="P41" i="17"/>
  <c r="O41" i="17"/>
  <c r="P37" i="17"/>
  <c r="O37" i="17"/>
  <c r="P33" i="17"/>
  <c r="O33" i="17"/>
  <c r="P29" i="17"/>
  <c r="O29" i="17"/>
  <c r="P25" i="17"/>
  <c r="O25" i="17"/>
  <c r="P21" i="17"/>
  <c r="O21" i="17"/>
  <c r="P17" i="17"/>
  <c r="O17" i="17"/>
  <c r="P13" i="17"/>
  <c r="O13" i="17"/>
  <c r="Y29" i="17"/>
  <c r="X29" i="17"/>
  <c r="Y25" i="17"/>
  <c r="X25" i="17"/>
  <c r="Y21" i="17"/>
  <c r="X21" i="17"/>
  <c r="Y17" i="17"/>
  <c r="X17" i="17"/>
  <c r="Y13" i="17"/>
  <c r="X13" i="17"/>
  <c r="Y51" i="17"/>
  <c r="X51" i="17"/>
  <c r="Y47" i="17"/>
  <c r="X47" i="17"/>
  <c r="Y43" i="17"/>
  <c r="X43" i="17"/>
  <c r="Y39" i="17"/>
  <c r="X39" i="17"/>
  <c r="Y35" i="17"/>
  <c r="X35" i="17"/>
  <c r="Y31" i="17"/>
  <c r="X31" i="17"/>
  <c r="X58" i="17"/>
  <c r="Y58" i="17"/>
  <c r="X56" i="17"/>
  <c r="Y56" i="17"/>
  <c r="X54" i="17"/>
  <c r="Y54" i="17"/>
  <c r="E73" i="11"/>
  <c r="G63" i="13"/>
  <c r="G64" i="13" s="1"/>
  <c r="C35" i="13"/>
  <c r="D35" i="13"/>
  <c r="D56" i="13"/>
  <c r="C52" i="13"/>
  <c r="D52" i="13"/>
  <c r="D48" i="13"/>
  <c r="C44" i="13"/>
  <c r="D44" i="13"/>
  <c r="D40" i="13"/>
  <c r="C36" i="13"/>
  <c r="D36" i="13"/>
  <c r="C10" i="13"/>
  <c r="D12" i="13"/>
  <c r="C12" i="13"/>
  <c r="C14" i="13"/>
  <c r="D16" i="13"/>
  <c r="C16" i="13"/>
  <c r="C18" i="13"/>
  <c r="D20" i="13"/>
  <c r="C20" i="13"/>
  <c r="C22" i="13"/>
  <c r="D24" i="13"/>
  <c r="C24" i="13"/>
  <c r="C26" i="13"/>
  <c r="D28" i="13"/>
  <c r="C28" i="13"/>
  <c r="C30" i="13"/>
  <c r="C32" i="13"/>
  <c r="D32" i="13"/>
  <c r="C55" i="13"/>
  <c r="D51" i="13"/>
  <c r="C51" i="13"/>
  <c r="C47" i="13"/>
  <c r="D43" i="13"/>
  <c r="C43" i="13"/>
  <c r="C39" i="13"/>
  <c r="C34" i="13"/>
  <c r="D34" i="13"/>
  <c r="L24" i="4"/>
  <c r="M24" i="4"/>
  <c r="K24" i="4"/>
  <c r="N24" i="4"/>
  <c r="J24" i="4"/>
  <c r="J22" i="5"/>
  <c r="C58" i="13"/>
  <c r="D58" i="13"/>
  <c r="C54" i="13"/>
  <c r="D54" i="13"/>
  <c r="C50" i="13"/>
  <c r="D50" i="13"/>
  <c r="C46" i="13"/>
  <c r="D46" i="13"/>
  <c r="C42" i="13"/>
  <c r="D42" i="13"/>
  <c r="C38" i="13"/>
  <c r="D38" i="13"/>
  <c r="D9" i="13"/>
  <c r="C9" i="13"/>
  <c r="D11" i="13"/>
  <c r="C11" i="13"/>
  <c r="D13" i="13"/>
  <c r="C13" i="13"/>
  <c r="D15" i="13"/>
  <c r="C15" i="13"/>
  <c r="D17" i="13"/>
  <c r="C17" i="13"/>
  <c r="D19" i="13"/>
  <c r="C19" i="13"/>
  <c r="D21" i="13"/>
  <c r="C21" i="13"/>
  <c r="D23" i="13"/>
  <c r="C23" i="13"/>
  <c r="D25" i="13"/>
  <c r="C25" i="13"/>
  <c r="D27" i="13"/>
  <c r="C27" i="13"/>
  <c r="D29" i="13"/>
  <c r="C29" i="13"/>
  <c r="D31" i="13"/>
  <c r="C31" i="13"/>
  <c r="E86" i="13"/>
  <c r="F86" i="13"/>
  <c r="G86" i="13"/>
  <c r="D87" i="13"/>
  <c r="D94" i="13"/>
  <c r="D90" i="13"/>
  <c r="D88" i="13"/>
  <c r="D96" i="13"/>
  <c r="D91" i="13"/>
  <c r="D89" i="13"/>
  <c r="D95" i="13"/>
  <c r="D33" i="13"/>
  <c r="C33" i="13"/>
  <c r="D57" i="13"/>
  <c r="C57" i="13"/>
  <c r="D53" i="13"/>
  <c r="C53" i="13"/>
  <c r="D49" i="13"/>
  <c r="C49" i="13"/>
  <c r="D45" i="13"/>
  <c r="C45" i="13"/>
  <c r="D41" i="13"/>
  <c r="C41" i="13"/>
  <c r="D37" i="13"/>
  <c r="C37" i="13"/>
  <c r="G58" i="10"/>
  <c r="G68" i="10"/>
  <c r="I29" i="8"/>
  <c r="O46" i="25"/>
  <c r="N50" i="25"/>
  <c r="M51" i="25"/>
  <c r="L49" i="25"/>
  <c r="D35" i="25"/>
  <c r="C29" i="25"/>
  <c r="N44" i="25"/>
  <c r="N43" i="25"/>
  <c r="N51" i="25"/>
  <c r="M47" i="25"/>
  <c r="L45" i="25"/>
  <c r="L43" i="25"/>
  <c r="C21" i="25"/>
  <c r="C16" i="25"/>
  <c r="O50" i="25"/>
  <c r="N48" i="25"/>
  <c r="L47" i="25"/>
  <c r="C25" i="25"/>
  <c r="N46" i="25"/>
  <c r="D33" i="25"/>
  <c r="C13" i="25"/>
  <c r="K337" i="15"/>
  <c r="K329" i="15"/>
  <c r="K318" i="15"/>
  <c r="K307" i="15"/>
  <c r="K296" i="15"/>
  <c r="K285" i="15"/>
  <c r="K277" i="15"/>
  <c r="K266" i="15"/>
  <c r="K255" i="15"/>
  <c r="K244" i="15"/>
  <c r="K233" i="15"/>
  <c r="K225" i="15"/>
  <c r="K214" i="15"/>
  <c r="K203" i="15"/>
  <c r="K192" i="15"/>
  <c r="K181" i="15"/>
  <c r="K173" i="15"/>
  <c r="K162" i="15"/>
  <c r="K151" i="15"/>
  <c r="K140" i="15"/>
  <c r="K129" i="15"/>
  <c r="K121" i="15"/>
  <c r="K110" i="15"/>
  <c r="K99" i="15"/>
  <c r="K88" i="15"/>
  <c r="K77" i="15"/>
  <c r="K69" i="15"/>
  <c r="K58" i="15"/>
  <c r="K47" i="15"/>
  <c r="L33" i="15"/>
  <c r="L36" i="15"/>
  <c r="L331" i="15"/>
  <c r="L320" i="15"/>
  <c r="L309" i="15"/>
  <c r="L298" i="15"/>
  <c r="L290" i="15"/>
  <c r="L279" i="15"/>
  <c r="L268" i="15"/>
  <c r="L257" i="15"/>
  <c r="L246" i="15"/>
  <c r="L238" i="15"/>
  <c r="L227" i="15"/>
  <c r="L216" i="15"/>
  <c r="L205" i="15"/>
  <c r="L194" i="15"/>
  <c r="L186" i="15"/>
  <c r="L175" i="15"/>
  <c r="L164" i="15"/>
  <c r="L153" i="15"/>
  <c r="L142" i="15"/>
  <c r="L134" i="15"/>
  <c r="L123" i="15"/>
  <c r="L112" i="15"/>
  <c r="L101" i="15"/>
  <c r="L53" i="25"/>
  <c r="N49" i="25"/>
  <c r="M46" i="25"/>
  <c r="L44" i="25"/>
  <c r="L52" i="25"/>
  <c r="C9" i="25"/>
  <c r="C20" i="25"/>
  <c r="N45" i="25"/>
  <c r="D34" i="25"/>
  <c r="C11" i="25"/>
  <c r="L336" i="15"/>
  <c r="L328" i="15"/>
  <c r="L317" i="15"/>
  <c r="L306" i="15"/>
  <c r="L295" i="15"/>
  <c r="L284" i="15"/>
  <c r="L276" i="15"/>
  <c r="L265" i="15"/>
  <c r="L254" i="15"/>
  <c r="L243" i="15"/>
  <c r="L232" i="15"/>
  <c r="L224" i="15"/>
  <c r="L213" i="15"/>
  <c r="L202" i="15"/>
  <c r="L191" i="15"/>
  <c r="L180" i="15"/>
  <c r="L172" i="15"/>
  <c r="L161" i="15"/>
  <c r="L150" i="15"/>
  <c r="L139" i="15"/>
  <c r="L128" i="15"/>
  <c r="L120" i="15"/>
  <c r="L109" i="15"/>
  <c r="L98" i="15"/>
  <c r="L87" i="15"/>
  <c r="L76" i="15"/>
  <c r="L68" i="15"/>
  <c r="L57" i="15"/>
  <c r="L46" i="15"/>
  <c r="K34" i="15"/>
  <c r="K42" i="15"/>
  <c r="K330" i="15"/>
  <c r="K319" i="15"/>
  <c r="K308" i="15"/>
  <c r="K297" i="15"/>
  <c r="K289" i="15"/>
  <c r="K278" i="15"/>
  <c r="K267" i="15"/>
  <c r="K256" i="15"/>
  <c r="K245" i="15"/>
  <c r="K237" i="15"/>
  <c r="K226" i="15"/>
  <c r="K215" i="15"/>
  <c r="K204" i="15"/>
  <c r="K193" i="15"/>
  <c r="K185" i="15"/>
  <c r="K174" i="15"/>
  <c r="K163" i="15"/>
  <c r="K152" i="15"/>
  <c r="K141" i="15"/>
  <c r="K133" i="15"/>
  <c r="K115" i="15"/>
  <c r="K96" i="15"/>
  <c r="L84" i="15"/>
  <c r="L73" i="15"/>
  <c r="L62" i="15"/>
  <c r="L51" i="15"/>
  <c r="L43" i="15"/>
  <c r="K32" i="15"/>
  <c r="I38" i="8"/>
  <c r="J32" i="8"/>
  <c r="J29" i="8"/>
  <c r="C26" i="24"/>
  <c r="E59" i="23"/>
  <c r="I35" i="8"/>
  <c r="C17" i="24"/>
  <c r="C14" i="24"/>
  <c r="E46" i="23"/>
  <c r="D73" i="5"/>
  <c r="D85" i="5"/>
  <c r="P30" i="5"/>
  <c r="C91" i="5"/>
  <c r="E50" i="23"/>
  <c r="C82" i="5"/>
  <c r="C75" i="5"/>
  <c r="K124" i="15"/>
  <c r="K102" i="15"/>
  <c r="K87" i="15"/>
  <c r="K76" i="15"/>
  <c r="K68" i="15"/>
  <c r="K57" i="15"/>
  <c r="K46" i="15"/>
  <c r="L29" i="15"/>
  <c r="J45" i="8"/>
  <c r="J42" i="8"/>
  <c r="C20" i="24"/>
  <c r="E103" i="23"/>
  <c r="J44" i="8"/>
  <c r="D27" i="6"/>
  <c r="C27" i="24"/>
  <c r="E60" i="23"/>
  <c r="E57" i="23"/>
  <c r="D82" i="5"/>
  <c r="D90" i="5"/>
  <c r="C85" i="5"/>
  <c r="C74" i="5"/>
  <c r="C72" i="5"/>
  <c r="D72" i="5"/>
  <c r="M45" i="25"/>
  <c r="L51" i="25"/>
  <c r="C14" i="25"/>
  <c r="O53" i="25"/>
  <c r="C8" i="25"/>
  <c r="C7" i="25"/>
  <c r="K335" i="15"/>
  <c r="K324" i="15"/>
  <c r="K316" i="15"/>
  <c r="K305" i="15"/>
  <c r="K294" i="15"/>
  <c r="K283" i="15"/>
  <c r="K272" i="15"/>
  <c r="K264" i="15"/>
  <c r="K253" i="15"/>
  <c r="K242" i="15"/>
  <c r="K231" i="15"/>
  <c r="K220" i="15"/>
  <c r="K212" i="15"/>
  <c r="K201" i="15"/>
  <c r="K190" i="15"/>
  <c r="K179" i="15"/>
  <c r="K168" i="15"/>
  <c r="K160" i="15"/>
  <c r="K149" i="15"/>
  <c r="K138" i="15"/>
  <c r="K127" i="15"/>
  <c r="K116" i="15"/>
  <c r="K108" i="15"/>
  <c r="K97" i="15"/>
  <c r="K86" i="15"/>
  <c r="K75" i="15"/>
  <c r="K64" i="15"/>
  <c r="K56" i="15"/>
  <c r="K45" i="15"/>
  <c r="L35" i="15"/>
  <c r="L337" i="15"/>
  <c r="L329" i="15"/>
  <c r="L318" i="15"/>
  <c r="L307" i="15"/>
  <c r="L296" i="15"/>
  <c r="L285" i="15"/>
  <c r="L277" i="15"/>
  <c r="L266" i="15"/>
  <c r="L255" i="15"/>
  <c r="L244" i="15"/>
  <c r="L233" i="15"/>
  <c r="L225" i="15"/>
  <c r="L214" i="15"/>
  <c r="L203" i="15"/>
  <c r="L192" i="15"/>
  <c r="L181" i="15"/>
  <c r="L173" i="15"/>
  <c r="L162" i="15"/>
  <c r="L151" i="15"/>
  <c r="L140" i="15"/>
  <c r="L129" i="15"/>
  <c r="L121" i="15"/>
  <c r="L110" i="15"/>
  <c r="L99" i="15"/>
  <c r="O52" i="25"/>
  <c r="N52" i="25"/>
  <c r="M48" i="25"/>
  <c r="L46" i="25"/>
  <c r="K87" i="23"/>
  <c r="C23" i="25"/>
  <c r="C18" i="25"/>
  <c r="O51" i="25"/>
  <c r="C10" i="25"/>
  <c r="C15" i="25"/>
  <c r="L334" i="15"/>
  <c r="L323" i="15"/>
  <c r="L315" i="15"/>
  <c r="L304" i="15"/>
  <c r="L293" i="15"/>
  <c r="L282" i="15"/>
  <c r="L271" i="15"/>
  <c r="L263" i="15"/>
  <c r="L252" i="15"/>
  <c r="L241" i="15"/>
  <c r="L230" i="15"/>
  <c r="L219" i="15"/>
  <c r="L211" i="15"/>
  <c r="L200" i="15"/>
  <c r="L189" i="15"/>
  <c r="L178" i="15"/>
  <c r="L167" i="15"/>
  <c r="L159" i="15"/>
  <c r="L148" i="15"/>
  <c r="L137" i="15"/>
  <c r="L126" i="15"/>
  <c r="L115" i="15"/>
  <c r="L107" i="15"/>
  <c r="L96" i="15"/>
  <c r="L85" i="15"/>
  <c r="L74" i="15"/>
  <c r="L63" i="15"/>
  <c r="L55" i="15"/>
  <c r="L44" i="15"/>
  <c r="L37" i="15"/>
  <c r="K336" i="15"/>
  <c r="K328" i="15"/>
  <c r="K317" i="15"/>
  <c r="K306" i="15"/>
  <c r="K295" i="15"/>
  <c r="K284" i="15"/>
  <c r="K276" i="15"/>
  <c r="K265" i="15"/>
  <c r="K254" i="15"/>
  <c r="K243" i="15"/>
  <c r="K232" i="15"/>
  <c r="K224" i="15"/>
  <c r="K213" i="15"/>
  <c r="K202" i="15"/>
  <c r="K191" i="15"/>
  <c r="K180" i="15"/>
  <c r="K172" i="15"/>
  <c r="K161" i="15"/>
  <c r="K150" i="15"/>
  <c r="K139" i="15"/>
  <c r="K128" i="15"/>
  <c r="K111" i="15"/>
  <c r="L90" i="15"/>
  <c r="L82" i="15"/>
  <c r="L71" i="15"/>
  <c r="L60" i="15"/>
  <c r="L49" i="15"/>
  <c r="K33" i="15"/>
  <c r="I43" i="8"/>
  <c r="I34" i="8"/>
  <c r="J38" i="8"/>
  <c r="E37" i="6"/>
  <c r="C30" i="24"/>
  <c r="E35" i="10"/>
  <c r="J31" i="8"/>
  <c r="C21" i="24"/>
  <c r="E105" i="23"/>
  <c r="E51" i="23"/>
  <c r="D79" i="5"/>
  <c r="D87" i="5"/>
  <c r="C79" i="5"/>
  <c r="J29" i="5"/>
  <c r="E54" i="23"/>
  <c r="C86" i="5"/>
  <c r="R26" i="5"/>
  <c r="K120" i="15"/>
  <c r="K98" i="15"/>
  <c r="K85" i="15"/>
  <c r="K74" i="15"/>
  <c r="K63" i="15"/>
  <c r="K55" i="15"/>
  <c r="K44" i="15"/>
  <c r="L31" i="15"/>
  <c r="I36" i="8"/>
  <c r="I31" i="8"/>
  <c r="J34" i="8"/>
  <c r="C24" i="24"/>
  <c r="E61" i="23"/>
  <c r="I37" i="8"/>
  <c r="C12" i="24"/>
  <c r="C15" i="24"/>
  <c r="E43" i="23"/>
  <c r="D78" i="5"/>
  <c r="D84" i="5"/>
  <c r="R16" i="5"/>
  <c r="C89" i="5"/>
  <c r="E47" i="23"/>
  <c r="C80" i="5"/>
  <c r="C76" i="5"/>
  <c r="M49" i="25"/>
  <c r="D36" i="25"/>
  <c r="C34" i="23"/>
  <c r="O49" i="25"/>
  <c r="C22" i="25"/>
  <c r="C17" i="25"/>
  <c r="K333" i="15"/>
  <c r="K322" i="15"/>
  <c r="K311" i="15"/>
  <c r="K303" i="15"/>
  <c r="K292" i="15"/>
  <c r="K281" i="15"/>
  <c r="K270" i="15"/>
  <c r="K259" i="15"/>
  <c r="K251" i="15"/>
  <c r="K240" i="15"/>
  <c r="K229" i="15"/>
  <c r="K218" i="15"/>
  <c r="K207" i="15"/>
  <c r="K199" i="15"/>
  <c r="K188" i="15"/>
  <c r="K177" i="15"/>
  <c r="K166" i="15"/>
  <c r="K155" i="15"/>
  <c r="K147" i="15"/>
  <c r="K136" i="15"/>
  <c r="K125" i="15"/>
  <c r="K114" i="15"/>
  <c r="K103" i="15"/>
  <c r="K95" i="15"/>
  <c r="K84" i="15"/>
  <c r="K73" i="15"/>
  <c r="K62" i="15"/>
  <c r="K51" i="15"/>
  <c r="K43" i="15"/>
  <c r="K29" i="15"/>
  <c r="L335" i="15"/>
  <c r="L324" i="15"/>
  <c r="L316" i="15"/>
  <c r="L305" i="15"/>
  <c r="L294" i="15"/>
  <c r="L283" i="15"/>
  <c r="L272" i="15"/>
  <c r="L264" i="15"/>
  <c r="L253" i="15"/>
  <c r="L242" i="15"/>
  <c r="L231" i="15"/>
  <c r="L220" i="15"/>
  <c r="L212" i="15"/>
  <c r="L201" i="15"/>
  <c r="L190" i="15"/>
  <c r="L179" i="15"/>
  <c r="L168" i="15"/>
  <c r="L160" i="15"/>
  <c r="L149" i="15"/>
  <c r="L138" i="15"/>
  <c r="L127" i="15"/>
  <c r="L116" i="15"/>
  <c r="L108" i="15"/>
  <c r="L97" i="15"/>
  <c r="O48" i="25"/>
  <c r="N47" i="25"/>
  <c r="M50" i="25"/>
  <c r="L48" i="25"/>
  <c r="D37" i="25"/>
  <c r="C27" i="25"/>
  <c r="C36" i="23"/>
  <c r="O47" i="25"/>
  <c r="C24" i="25"/>
  <c r="C19" i="25"/>
  <c r="L332" i="15"/>
  <c r="L321" i="15"/>
  <c r="L310" i="15"/>
  <c r="L302" i="15"/>
  <c r="L291" i="15"/>
  <c r="L280" i="15"/>
  <c r="L269" i="15"/>
  <c r="L258" i="15"/>
  <c r="L250" i="15"/>
  <c r="L239" i="15"/>
  <c r="L228" i="15"/>
  <c r="L217" i="15"/>
  <c r="L206" i="15"/>
  <c r="L198" i="15"/>
  <c r="L187" i="15"/>
  <c r="L176" i="15"/>
  <c r="L165" i="15"/>
  <c r="L154" i="15"/>
  <c r="L146" i="15"/>
  <c r="L135" i="15"/>
  <c r="L124" i="15"/>
  <c r="L113" i="15"/>
  <c r="L102" i="15"/>
  <c r="L94" i="15"/>
  <c r="L83" i="15"/>
  <c r="L72" i="15"/>
  <c r="L61" i="15"/>
  <c r="L50" i="15"/>
  <c r="L42" i="15"/>
  <c r="L30" i="15"/>
  <c r="K334" i="15"/>
  <c r="K323" i="15"/>
  <c r="K315" i="15"/>
  <c r="K304" i="15"/>
  <c r="K293" i="15"/>
  <c r="K282" i="15"/>
  <c r="K271" i="15"/>
  <c r="K263" i="15"/>
  <c r="K252" i="15"/>
  <c r="K241" i="15"/>
  <c r="K230" i="15"/>
  <c r="K219" i="15"/>
  <c r="K211" i="15"/>
  <c r="K200" i="15"/>
  <c r="K189" i="15"/>
  <c r="K178" i="15"/>
  <c r="K167" i="15"/>
  <c r="K159" i="15"/>
  <c r="K148" i="15"/>
  <c r="K137" i="15"/>
  <c r="K126" i="15"/>
  <c r="K107" i="15"/>
  <c r="L88" i="15"/>
  <c r="L77" i="15"/>
  <c r="L69" i="15"/>
  <c r="L58" i="15"/>
  <c r="L47" i="15"/>
  <c r="K35" i="15"/>
  <c r="I46" i="8"/>
  <c r="J37" i="8"/>
  <c r="I45" i="8"/>
  <c r="C18" i="24"/>
  <c r="E44" i="23"/>
  <c r="I44" i="8"/>
  <c r="D30" i="6"/>
  <c r="C25" i="24"/>
  <c r="E62" i="23"/>
  <c r="E55" i="23"/>
  <c r="D81" i="5"/>
  <c r="D89" i="5"/>
  <c r="C83" i="5"/>
  <c r="D76" i="5"/>
  <c r="C33" i="23"/>
  <c r="C90" i="5"/>
  <c r="P28" i="5"/>
  <c r="K113" i="15"/>
  <c r="K94" i="15"/>
  <c r="K83" i="15"/>
  <c r="K72" i="15"/>
  <c r="K61" i="15"/>
  <c r="K50" i="15"/>
  <c r="K37" i="15"/>
  <c r="I42" i="8"/>
  <c r="J33" i="8"/>
  <c r="J36" i="8"/>
  <c r="I32" i="8"/>
  <c r="C28" i="24"/>
  <c r="E48" i="23"/>
  <c r="I30" i="8"/>
  <c r="C19" i="24"/>
  <c r="E104" i="23"/>
  <c r="E49" i="23"/>
  <c r="C78" i="5"/>
  <c r="D86" i="5"/>
  <c r="D77" i="5"/>
  <c r="R46" i="5"/>
  <c r="E52" i="23"/>
  <c r="C84" i="5"/>
  <c r="R30" i="5"/>
  <c r="N53" i="25"/>
  <c r="M43" i="25"/>
  <c r="K86" i="23"/>
  <c r="C73" i="5"/>
  <c r="O45" i="25"/>
  <c r="C26" i="25"/>
  <c r="C37" i="23"/>
  <c r="K331" i="15"/>
  <c r="K320" i="15"/>
  <c r="K309" i="15"/>
  <c r="K298" i="15"/>
  <c r="K290" i="15"/>
  <c r="K279" i="15"/>
  <c r="K268" i="15"/>
  <c r="K257" i="15"/>
  <c r="K246" i="15"/>
  <c r="K238" i="15"/>
  <c r="K227" i="15"/>
  <c r="K216" i="15"/>
  <c r="K205" i="15"/>
  <c r="K194" i="15"/>
  <c r="K186" i="15"/>
  <c r="K175" i="15"/>
  <c r="K164" i="15"/>
  <c r="K153" i="15"/>
  <c r="K142" i="15"/>
  <c r="K134" i="15"/>
  <c r="K123" i="15"/>
  <c r="K112" i="15"/>
  <c r="K101" i="15"/>
  <c r="K90" i="15"/>
  <c r="K82" i="15"/>
  <c r="K71" i="15"/>
  <c r="K60" i="15"/>
  <c r="K49" i="15"/>
  <c r="K36" i="15"/>
  <c r="K31" i="15"/>
  <c r="L333" i="15"/>
  <c r="L322" i="15"/>
  <c r="L311" i="15"/>
  <c r="L303" i="15"/>
  <c r="L292" i="15"/>
  <c r="L281" i="15"/>
  <c r="L270" i="15"/>
  <c r="L259" i="15"/>
  <c r="L251" i="15"/>
  <c r="L240" i="15"/>
  <c r="L229" i="15"/>
  <c r="L218" i="15"/>
  <c r="L207" i="15"/>
  <c r="L199" i="15"/>
  <c r="L188" i="15"/>
  <c r="L177" i="15"/>
  <c r="L166" i="15"/>
  <c r="L155" i="15"/>
  <c r="L147" i="15"/>
  <c r="L136" i="15"/>
  <c r="L125" i="15"/>
  <c r="L114" i="15"/>
  <c r="L103" i="15"/>
  <c r="L95" i="15"/>
  <c r="O44" i="25"/>
  <c r="M44" i="25"/>
  <c r="M52" i="25"/>
  <c r="L50" i="25"/>
  <c r="K85" i="23"/>
  <c r="C12" i="25"/>
  <c r="M53" i="25"/>
  <c r="O43" i="25"/>
  <c r="C28" i="25"/>
  <c r="C35" i="23"/>
  <c r="L330" i="15"/>
  <c r="L319" i="15"/>
  <c r="L308" i="15"/>
  <c r="L297" i="15"/>
  <c r="L289" i="15"/>
  <c r="L278" i="15"/>
  <c r="L267" i="15"/>
  <c r="L256" i="15"/>
  <c r="L245" i="15"/>
  <c r="L237" i="15"/>
  <c r="L226" i="15"/>
  <c r="L215" i="15"/>
  <c r="L204" i="15"/>
  <c r="L193" i="15"/>
  <c r="L185" i="15"/>
  <c r="L174" i="15"/>
  <c r="L163" i="15"/>
  <c r="L152" i="15"/>
  <c r="L141" i="15"/>
  <c r="L133" i="15"/>
  <c r="L122" i="15"/>
  <c r="L111" i="15"/>
  <c r="L100" i="15"/>
  <c r="L89" i="15"/>
  <c r="L81" i="15"/>
  <c r="L70" i="15"/>
  <c r="L59" i="15"/>
  <c r="L48" i="15"/>
  <c r="K38" i="15"/>
  <c r="L32" i="15"/>
  <c r="K332" i="15"/>
  <c r="K321" i="15"/>
  <c r="K310" i="15"/>
  <c r="K302" i="15"/>
  <c r="K291" i="15"/>
  <c r="K280" i="15"/>
  <c r="K269" i="15"/>
  <c r="K258" i="15"/>
  <c r="K250" i="15"/>
  <c r="K239" i="15"/>
  <c r="K228" i="15"/>
  <c r="K217" i="15"/>
  <c r="K206" i="15"/>
  <c r="K198" i="15"/>
  <c r="K187" i="15"/>
  <c r="K176" i="15"/>
  <c r="K165" i="15"/>
  <c r="K154" i="15"/>
  <c r="K146" i="15"/>
  <c r="K135" i="15"/>
  <c r="K122" i="15"/>
  <c r="K100" i="15"/>
  <c r="L86" i="15"/>
  <c r="L75" i="15"/>
  <c r="L64" i="15"/>
  <c r="L56" i="15"/>
  <c r="L45" i="15"/>
  <c r="K30" i="15"/>
  <c r="I41" i="8"/>
  <c r="J30" i="8"/>
  <c r="I33" i="8"/>
  <c r="C22" i="24"/>
  <c r="E106" i="23"/>
  <c r="J41" i="8"/>
  <c r="C11" i="24"/>
  <c r="C29" i="24"/>
  <c r="E58" i="23"/>
  <c r="E42" i="23"/>
  <c r="D83" i="5"/>
  <c r="D91" i="5"/>
  <c r="C87" i="5"/>
  <c r="E45" i="23"/>
  <c r="C77" i="5"/>
  <c r="D75" i="5"/>
  <c r="P26" i="5"/>
  <c r="K109" i="15"/>
  <c r="K89" i="15"/>
  <c r="K81" i="15"/>
  <c r="K70" i="15"/>
  <c r="K59" i="15"/>
  <c r="K48" i="15"/>
  <c r="L34" i="15"/>
  <c r="J43" i="8"/>
  <c r="J35" i="8"/>
  <c r="J46" i="8"/>
  <c r="C16" i="24"/>
  <c r="C13" i="24"/>
  <c r="L38" i="15"/>
  <c r="D33" i="6"/>
  <c r="C23" i="24"/>
  <c r="E53" i="23"/>
  <c r="D74" i="5"/>
  <c r="D80" i="5"/>
  <c r="E56" i="23"/>
  <c r="D88" i="5"/>
  <c r="C88" i="5"/>
  <c r="E107" i="23"/>
  <c r="C81" i="5"/>
  <c r="R28" i="5"/>
  <c r="H29" i="8"/>
  <c r="S28" i="5"/>
  <c r="E33" i="6"/>
  <c r="J48" i="15"/>
  <c r="J59" i="15"/>
  <c r="J70" i="15"/>
  <c r="J81" i="15"/>
  <c r="J89" i="15"/>
  <c r="J109" i="15"/>
  <c r="Q26" i="5"/>
  <c r="H33" i="8"/>
  <c r="H41" i="8"/>
  <c r="J30" i="15"/>
  <c r="J100" i="15"/>
  <c r="J122" i="15"/>
  <c r="J135" i="15"/>
  <c r="J146" i="15"/>
  <c r="J154" i="15"/>
  <c r="J165" i="15"/>
  <c r="J176" i="15"/>
  <c r="J187" i="15"/>
  <c r="J198" i="15"/>
  <c r="J206" i="15"/>
  <c r="J217" i="15"/>
  <c r="J228" i="15"/>
  <c r="J239" i="15"/>
  <c r="J250" i="15"/>
  <c r="J258" i="15"/>
  <c r="J269" i="15"/>
  <c r="J280" i="15"/>
  <c r="J291" i="15"/>
  <c r="J302" i="15"/>
  <c r="J310" i="15"/>
  <c r="J321" i="15"/>
  <c r="J332" i="15"/>
  <c r="J38" i="15"/>
  <c r="T43" i="25"/>
  <c r="Q50" i="25"/>
  <c r="T44" i="25"/>
  <c r="J31" i="15"/>
  <c r="J36" i="15"/>
  <c r="J49" i="15"/>
  <c r="J60" i="15"/>
  <c r="J71" i="15"/>
  <c r="J82" i="15"/>
  <c r="J90" i="15"/>
  <c r="J101" i="15"/>
  <c r="J112" i="15"/>
  <c r="J123" i="15"/>
  <c r="J134" i="15"/>
  <c r="J142" i="15"/>
  <c r="J153" i="15"/>
  <c r="J164" i="15"/>
  <c r="J175" i="15"/>
  <c r="J186" i="15"/>
  <c r="J194" i="15"/>
  <c r="J205" i="15"/>
  <c r="J216" i="15"/>
  <c r="J227" i="15"/>
  <c r="J238" i="15"/>
  <c r="J246" i="15"/>
  <c r="J257" i="15"/>
  <c r="J268" i="15"/>
  <c r="J279" i="15"/>
  <c r="J290" i="15"/>
  <c r="J298" i="15"/>
  <c r="J309" i="15"/>
  <c r="J320" i="15"/>
  <c r="J331" i="15"/>
  <c r="T45" i="25"/>
  <c r="S30" i="5"/>
  <c r="H30" i="8"/>
  <c r="H32" i="8"/>
  <c r="H42" i="8"/>
  <c r="J37" i="15"/>
  <c r="J50" i="15"/>
  <c r="J61" i="15"/>
  <c r="J72" i="15"/>
  <c r="J83" i="15"/>
  <c r="J94" i="15"/>
  <c r="J113" i="15"/>
  <c r="Q28" i="5"/>
  <c r="E30" i="6"/>
  <c r="K44" i="8"/>
  <c r="H44" i="8"/>
  <c r="H45" i="8"/>
  <c r="H46" i="8"/>
  <c r="J35" i="15"/>
  <c r="J107" i="15"/>
  <c r="J126" i="15"/>
  <c r="J137" i="15"/>
  <c r="J148" i="15"/>
  <c r="J159" i="15"/>
  <c r="J167" i="15"/>
  <c r="J178" i="15"/>
  <c r="J189" i="15"/>
  <c r="J200" i="15"/>
  <c r="J211" i="15"/>
  <c r="J219" i="15"/>
  <c r="J230" i="15"/>
  <c r="J241" i="15"/>
  <c r="J252" i="15"/>
  <c r="J263" i="15"/>
  <c r="J271" i="15"/>
  <c r="J282" i="15"/>
  <c r="J293" i="15"/>
  <c r="J304" i="15"/>
  <c r="J315" i="15"/>
  <c r="J323" i="15"/>
  <c r="J334" i="15"/>
  <c r="T47" i="25"/>
  <c r="Q48" i="25"/>
  <c r="T48" i="25"/>
  <c r="J29" i="15"/>
  <c r="J43" i="15"/>
  <c r="J51" i="15"/>
  <c r="J62" i="15"/>
  <c r="J73" i="15"/>
  <c r="J84" i="15"/>
  <c r="J95" i="15"/>
  <c r="J103" i="15"/>
  <c r="J114" i="15"/>
  <c r="J125" i="15"/>
  <c r="J136" i="15"/>
  <c r="J147" i="15"/>
  <c r="J155" i="15"/>
  <c r="J166" i="15"/>
  <c r="J177" i="15"/>
  <c r="J188" i="15"/>
  <c r="J199" i="15"/>
  <c r="J207" i="15"/>
  <c r="J218" i="15"/>
  <c r="J229" i="15"/>
  <c r="J240" i="15"/>
  <c r="J251" i="15"/>
  <c r="J259" i="15"/>
  <c r="J270" i="15"/>
  <c r="J281" i="15"/>
  <c r="J292" i="15"/>
  <c r="J303" i="15"/>
  <c r="J311" i="15"/>
  <c r="J322" i="15"/>
  <c r="J333" i="15"/>
  <c r="T49" i="25"/>
  <c r="H37" i="8"/>
  <c r="H31" i="8"/>
  <c r="H36" i="8"/>
  <c r="J44" i="15"/>
  <c r="J55" i="15"/>
  <c r="J63" i="15"/>
  <c r="J74" i="15"/>
  <c r="J85" i="15"/>
  <c r="J98" i="15"/>
  <c r="J120" i="15"/>
  <c r="S26" i="5"/>
  <c r="E36" i="10"/>
  <c r="E40" i="10"/>
  <c r="E58" i="10"/>
  <c r="H34" i="8"/>
  <c r="H43" i="8"/>
  <c r="J33" i="15"/>
  <c r="J111" i="15"/>
  <c r="J128" i="15"/>
  <c r="J139" i="15"/>
  <c r="J150" i="15"/>
  <c r="J161" i="15"/>
  <c r="J172" i="15"/>
  <c r="J180" i="15"/>
  <c r="J191" i="15"/>
  <c r="J202" i="15"/>
  <c r="J213" i="15"/>
  <c r="J224" i="15"/>
  <c r="J232" i="15"/>
  <c r="J243" i="15"/>
  <c r="J254" i="15"/>
  <c r="J265" i="15"/>
  <c r="J276" i="15"/>
  <c r="J284" i="15"/>
  <c r="J295" i="15"/>
  <c r="J306" i="15"/>
  <c r="J317" i="15"/>
  <c r="J328" i="15"/>
  <c r="J336" i="15"/>
  <c r="T51" i="25"/>
  <c r="Q46" i="25"/>
  <c r="T52" i="25"/>
  <c r="J45" i="15"/>
  <c r="J56" i="15"/>
  <c r="J64" i="15"/>
  <c r="J75" i="15"/>
  <c r="J86" i="15"/>
  <c r="J97" i="15"/>
  <c r="J108" i="15"/>
  <c r="J116" i="15"/>
  <c r="J127" i="15"/>
  <c r="J138" i="15"/>
  <c r="J149" i="15"/>
  <c r="J160" i="15"/>
  <c r="J168" i="15"/>
  <c r="J179" i="15"/>
  <c r="J190" i="15"/>
  <c r="J201" i="15"/>
  <c r="J212" i="15"/>
  <c r="J220" i="15"/>
  <c r="J231" i="15"/>
  <c r="J242" i="15"/>
  <c r="J253" i="15"/>
  <c r="J264" i="15"/>
  <c r="J272" i="15"/>
  <c r="J283" i="15"/>
  <c r="J294" i="15"/>
  <c r="J305" i="15"/>
  <c r="J316" i="15"/>
  <c r="J324" i="15"/>
  <c r="J335" i="15"/>
  <c r="T53" i="25"/>
  <c r="Q51" i="25"/>
  <c r="E27" i="6"/>
  <c r="J46" i="15"/>
  <c r="J57" i="15"/>
  <c r="J68" i="15"/>
  <c r="J76" i="15"/>
  <c r="J87" i="15"/>
  <c r="J102" i="15"/>
  <c r="J124" i="15"/>
  <c r="Q30" i="5"/>
  <c r="T30" i="5"/>
  <c r="H35" i="8"/>
  <c r="H38" i="8"/>
  <c r="J32" i="15"/>
  <c r="J96" i="15"/>
  <c r="J115" i="15"/>
  <c r="J133" i="15"/>
  <c r="J141" i="15"/>
  <c r="J152" i="15"/>
  <c r="J163" i="15"/>
  <c r="J174" i="15"/>
  <c r="J185" i="15"/>
  <c r="J193" i="15"/>
  <c r="J204" i="15"/>
  <c r="J215" i="15"/>
  <c r="J226" i="15"/>
  <c r="J237" i="15"/>
  <c r="J245" i="15"/>
  <c r="J256" i="15"/>
  <c r="J267" i="15"/>
  <c r="J278" i="15"/>
  <c r="J289" i="15"/>
  <c r="J297" i="15"/>
  <c r="J308" i="15"/>
  <c r="J319" i="15"/>
  <c r="J330" i="15"/>
  <c r="J42" i="15"/>
  <c r="J34" i="15"/>
  <c r="Q52" i="25"/>
  <c r="Q44" i="25"/>
  <c r="Q53" i="25"/>
  <c r="J47" i="15"/>
  <c r="J58" i="15"/>
  <c r="J69" i="15"/>
  <c r="J77" i="15"/>
  <c r="J88" i="15"/>
  <c r="J99" i="15"/>
  <c r="J110" i="15"/>
  <c r="J121" i="15"/>
  <c r="J129" i="15"/>
  <c r="J140" i="15"/>
  <c r="J151" i="15"/>
  <c r="J162" i="15"/>
  <c r="J173" i="15"/>
  <c r="J181" i="15"/>
  <c r="J192" i="15"/>
  <c r="J203" i="15"/>
  <c r="J214" i="15"/>
  <c r="J225" i="15"/>
  <c r="J233" i="15"/>
  <c r="J244" i="15"/>
  <c r="J255" i="15"/>
  <c r="J266" i="15"/>
  <c r="J277" i="15"/>
  <c r="J285" i="15"/>
  <c r="J296" i="15"/>
  <c r="J307" i="15"/>
  <c r="J318" i="15"/>
  <c r="J329" i="15"/>
  <c r="J337" i="15"/>
  <c r="E34" i="25"/>
  <c r="Q47" i="25"/>
  <c r="T50" i="25"/>
  <c r="Q43" i="25"/>
  <c r="Q45" i="25"/>
  <c r="Q49" i="25"/>
  <c r="T46" i="25"/>
  <c r="G87" i="13"/>
  <c r="G88" i="13" s="1"/>
  <c r="H88" i="13" s="1"/>
  <c r="H87" i="13"/>
  <c r="H64" i="13"/>
  <c r="G65" i="13"/>
  <c r="H65" i="13"/>
  <c r="H86" i="13"/>
  <c r="H63" i="13"/>
  <c r="D59" i="17"/>
  <c r="B58" i="17"/>
  <c r="C59" i="17"/>
  <c r="B10" i="17"/>
  <c r="B14" i="17"/>
  <c r="B18" i="17"/>
  <c r="B22" i="17"/>
  <c r="B26" i="17"/>
  <c r="B30" i="17"/>
  <c r="B34" i="17"/>
  <c r="B38" i="17"/>
  <c r="B42" i="17"/>
  <c r="B46" i="17"/>
  <c r="B50" i="17"/>
  <c r="B54" i="17"/>
  <c r="B11" i="17"/>
  <c r="B15" i="17"/>
  <c r="B19" i="17"/>
  <c r="B23" i="17"/>
  <c r="B27" i="17"/>
  <c r="B31" i="17"/>
  <c r="B35" i="17"/>
  <c r="B39" i="17"/>
  <c r="B43" i="17"/>
  <c r="B47" i="17"/>
  <c r="B51" i="17"/>
  <c r="B55" i="17"/>
  <c r="B12" i="17"/>
  <c r="B16" i="17"/>
  <c r="B20" i="17"/>
  <c r="B24" i="17"/>
  <c r="B28" i="17"/>
  <c r="B32" i="17"/>
  <c r="B36" i="17"/>
  <c r="B40" i="17"/>
  <c r="B44" i="17"/>
  <c r="B48" i="17"/>
  <c r="B52" i="17"/>
  <c r="B56" i="17"/>
  <c r="B9" i="17"/>
  <c r="B13" i="17"/>
  <c r="B17" i="17"/>
  <c r="B21" i="17"/>
  <c r="B25" i="17"/>
  <c r="B29" i="17"/>
  <c r="B33" i="17"/>
  <c r="B37" i="17"/>
  <c r="B41" i="17"/>
  <c r="B45" i="17"/>
  <c r="B49" i="17"/>
  <c r="B53" i="17"/>
  <c r="B57" i="17"/>
  <c r="J59" i="17"/>
  <c r="J40" i="17"/>
  <c r="J56" i="17"/>
  <c r="J49" i="17"/>
  <c r="I49" i="17"/>
  <c r="T9" i="17"/>
  <c r="T58" i="17"/>
  <c r="T54" i="17"/>
  <c r="T50" i="17"/>
  <c r="T46" i="17"/>
  <c r="T42" i="17"/>
  <c r="T38" i="17"/>
  <c r="T34" i="17"/>
  <c r="T30" i="17"/>
  <c r="T26" i="17"/>
  <c r="T55" i="17"/>
  <c r="T49" i="17"/>
  <c r="T44" i="17"/>
  <c r="T39" i="17"/>
  <c r="T33" i="17"/>
  <c r="T28" i="17"/>
  <c r="T23" i="17"/>
  <c r="T19" i="17"/>
  <c r="T15" i="17"/>
  <c r="T11" i="17"/>
  <c r="V59" i="17"/>
  <c r="T53" i="17"/>
  <c r="T48" i="17"/>
  <c r="T43" i="17"/>
  <c r="T37" i="17"/>
  <c r="T32" i="17"/>
  <c r="T27" i="17"/>
  <c r="T22" i="17"/>
  <c r="T18" i="17"/>
  <c r="T14" i="17"/>
  <c r="T10" i="17"/>
  <c r="U59" i="17"/>
  <c r="T57" i="17"/>
  <c r="T52" i="17"/>
  <c r="T47" i="17"/>
  <c r="T41" i="17"/>
  <c r="T36" i="17"/>
  <c r="T31" i="17"/>
  <c r="T25" i="17"/>
  <c r="T21" i="17"/>
  <c r="T17" i="17"/>
  <c r="T13" i="17"/>
  <c r="T56" i="17"/>
  <c r="T51" i="17"/>
  <c r="T45" i="17"/>
  <c r="T40" i="17"/>
  <c r="T35" i="17"/>
  <c r="T29" i="17"/>
  <c r="T24" i="17"/>
  <c r="T20" i="17"/>
  <c r="T16" i="17"/>
  <c r="T12" i="17"/>
  <c r="S59" i="17"/>
  <c r="Q58" i="17"/>
  <c r="R59" i="17"/>
  <c r="Q9" i="17"/>
  <c r="Q11" i="17"/>
  <c r="Q15" i="17"/>
  <c r="Q19" i="17"/>
  <c r="Q23" i="17"/>
  <c r="Q27" i="17"/>
  <c r="Q31" i="17"/>
  <c r="Q35" i="17"/>
  <c r="Q39" i="17"/>
  <c r="Q43" i="17"/>
  <c r="Q47" i="17"/>
  <c r="Q51" i="17"/>
  <c r="Q55" i="17"/>
  <c r="Q12" i="17"/>
  <c r="Q16" i="17"/>
  <c r="Q20" i="17"/>
  <c r="Q24" i="17"/>
  <c r="Q28" i="17"/>
  <c r="Q32" i="17"/>
  <c r="Q36" i="17"/>
  <c r="Q40" i="17"/>
  <c r="Q44" i="17"/>
  <c r="Q48" i="17"/>
  <c r="Q52" i="17"/>
  <c r="Q56" i="17"/>
  <c r="Q13" i="17"/>
  <c r="Q17" i="17"/>
  <c r="Q21" i="17"/>
  <c r="Q25" i="17"/>
  <c r="Q29" i="17"/>
  <c r="Q33" i="17"/>
  <c r="Q37" i="17"/>
  <c r="Q41" i="17"/>
  <c r="Q45" i="17"/>
  <c r="Q49" i="17"/>
  <c r="Q53" i="17"/>
  <c r="Q57" i="17"/>
  <c r="Q10" i="17"/>
  <c r="Q14" i="17"/>
  <c r="Q18" i="17"/>
  <c r="Q22" i="17"/>
  <c r="Q26" i="17"/>
  <c r="Q30" i="17"/>
  <c r="Q34" i="17"/>
  <c r="Q38" i="17"/>
  <c r="Q42" i="17"/>
  <c r="Q46" i="17"/>
  <c r="Q50" i="17"/>
  <c r="Q54" i="17"/>
  <c r="D93" i="13"/>
  <c r="F59" i="17"/>
  <c r="E55" i="17"/>
  <c r="E51" i="17"/>
  <c r="E47" i="17"/>
  <c r="E43" i="17"/>
  <c r="E39" i="17"/>
  <c r="E35" i="17"/>
  <c r="E31" i="17"/>
  <c r="E27" i="17"/>
  <c r="E23" i="17"/>
  <c r="E19" i="17"/>
  <c r="E15" i="17"/>
  <c r="E11" i="17"/>
  <c r="E58" i="17"/>
  <c r="E53" i="17"/>
  <c r="E48" i="17"/>
  <c r="E42" i="17"/>
  <c r="E37" i="17"/>
  <c r="E32" i="17"/>
  <c r="E26" i="17"/>
  <c r="E21" i="17"/>
  <c r="E16" i="17"/>
  <c r="E10" i="17"/>
  <c r="E57" i="17"/>
  <c r="E52" i="17"/>
  <c r="E46" i="17"/>
  <c r="E41" i="17"/>
  <c r="E36" i="17"/>
  <c r="E30" i="17"/>
  <c r="E25" i="17"/>
  <c r="E20" i="17"/>
  <c r="E14" i="17"/>
  <c r="G59" i="17"/>
  <c r="E56" i="17"/>
  <c r="E50" i="17"/>
  <c r="E45" i="17"/>
  <c r="E40" i="17"/>
  <c r="E34" i="17"/>
  <c r="E29" i="17"/>
  <c r="E24" i="17"/>
  <c r="E18" i="17"/>
  <c r="E13" i="17"/>
  <c r="E9" i="17"/>
  <c r="E54" i="17"/>
  <c r="E49" i="17"/>
  <c r="E44" i="17"/>
  <c r="E38" i="17"/>
  <c r="E33" i="17"/>
  <c r="E28" i="17"/>
  <c r="E22" i="17"/>
  <c r="E17" i="17"/>
  <c r="E12" i="17"/>
  <c r="K56" i="17"/>
  <c r="K52" i="17"/>
  <c r="K48" i="17"/>
  <c r="K44" i="17"/>
  <c r="K40" i="17"/>
  <c r="K36" i="17"/>
  <c r="K32" i="17"/>
  <c r="K28" i="17"/>
  <c r="K24" i="17"/>
  <c r="K20" i="17"/>
  <c r="K16" i="17"/>
  <c r="K12" i="17"/>
  <c r="K9" i="17"/>
  <c r="K58" i="17"/>
  <c r="K53" i="17"/>
  <c r="K47" i="17"/>
  <c r="K42" i="17"/>
  <c r="K37" i="17"/>
  <c r="K31" i="17"/>
  <c r="K26" i="17"/>
  <c r="K21" i="17"/>
  <c r="K15" i="17"/>
  <c r="K10" i="17"/>
  <c r="L59" i="17"/>
  <c r="K57" i="17"/>
  <c r="K51" i="17"/>
  <c r="K46" i="17"/>
  <c r="K41" i="17"/>
  <c r="K35" i="17"/>
  <c r="K30" i="17"/>
  <c r="K25" i="17"/>
  <c r="K19" i="17"/>
  <c r="K14" i="17"/>
  <c r="K55" i="17"/>
  <c r="K50" i="17"/>
  <c r="K45" i="17"/>
  <c r="K39" i="17"/>
  <c r="K34" i="17"/>
  <c r="K29" i="17"/>
  <c r="K23" i="17"/>
  <c r="K18" i="17"/>
  <c r="K13" i="17"/>
  <c r="M59" i="17"/>
  <c r="K54" i="17"/>
  <c r="K49" i="17"/>
  <c r="K43" i="17"/>
  <c r="K38" i="17"/>
  <c r="K33" i="17"/>
  <c r="K27" i="17"/>
  <c r="K22" i="17"/>
  <c r="K17" i="17"/>
  <c r="K11" i="17"/>
  <c r="O44" i="17"/>
  <c r="P44" i="17"/>
  <c r="H9" i="17"/>
  <c r="H13" i="17"/>
  <c r="H17" i="17"/>
  <c r="H21" i="17"/>
  <c r="H25" i="17"/>
  <c r="H36" i="17"/>
  <c r="H41" i="17"/>
  <c r="H52" i="17"/>
  <c r="H57" i="17"/>
  <c r="N12" i="17"/>
  <c r="N34" i="17"/>
  <c r="N56" i="17"/>
  <c r="F103" i="13"/>
  <c r="I59" i="17"/>
  <c r="H10" i="17"/>
  <c r="H14" i="17"/>
  <c r="H18" i="17"/>
  <c r="H22" i="17"/>
  <c r="H32" i="17"/>
  <c r="H37" i="17"/>
  <c r="H48" i="17"/>
  <c r="H53" i="17"/>
  <c r="N18" i="17"/>
  <c r="N40" i="17"/>
  <c r="N57" i="17"/>
  <c r="F114" i="13"/>
  <c r="J25" i="5"/>
  <c r="C28" i="5"/>
  <c r="C24" i="5"/>
  <c r="C26" i="5"/>
  <c r="E20" i="5"/>
  <c r="E26" i="5"/>
  <c r="E19" i="5"/>
  <c r="N9" i="17"/>
  <c r="H11" i="17"/>
  <c r="H15" i="17"/>
  <c r="H19" i="17"/>
  <c r="H23" i="17"/>
  <c r="H28" i="17"/>
  <c r="H33" i="17"/>
  <c r="H44" i="17"/>
  <c r="N24" i="17"/>
  <c r="E28" i="5"/>
  <c r="W55" i="17"/>
  <c r="W52" i="17"/>
  <c r="W33" i="17"/>
  <c r="W37" i="17"/>
  <c r="W41" i="17"/>
  <c r="W45" i="17"/>
  <c r="W49" i="17"/>
  <c r="W11" i="17"/>
  <c r="W15" i="17"/>
  <c r="W19" i="17"/>
  <c r="W23" i="17"/>
  <c r="W27" i="17"/>
  <c r="X59" i="17"/>
  <c r="I12" i="17"/>
  <c r="J12" i="17"/>
  <c r="I16" i="17"/>
  <c r="J16" i="17"/>
  <c r="I20" i="17"/>
  <c r="J20" i="17"/>
  <c r="I24" i="17"/>
  <c r="J24" i="17"/>
  <c r="J29" i="17"/>
  <c r="J45" i="17"/>
  <c r="H54" i="17"/>
  <c r="H51" i="17"/>
  <c r="H46" i="17"/>
  <c r="H43" i="17"/>
  <c r="H38" i="17"/>
  <c r="H35" i="17"/>
  <c r="H30" i="17"/>
  <c r="H27" i="17"/>
  <c r="H58" i="17"/>
  <c r="H55" i="17"/>
  <c r="H50" i="17"/>
  <c r="H47" i="17"/>
  <c r="H42" i="17"/>
  <c r="H39" i="17"/>
  <c r="H34" i="17"/>
  <c r="H31" i="17"/>
  <c r="H26" i="17"/>
  <c r="N54" i="17"/>
  <c r="N46" i="17"/>
  <c r="N38" i="17"/>
  <c r="N30" i="17"/>
  <c r="N22" i="17"/>
  <c r="N14" i="17"/>
  <c r="N52" i="17"/>
  <c r="N42" i="17"/>
  <c r="N32" i="17"/>
  <c r="N20" i="17"/>
  <c r="N10" i="17"/>
  <c r="N58" i="17"/>
  <c r="N48" i="17"/>
  <c r="N36" i="17"/>
  <c r="N26" i="17"/>
  <c r="N16" i="17"/>
  <c r="O59" i="17"/>
  <c r="D25" i="5"/>
  <c r="D21" i="5"/>
  <c r="D27" i="5"/>
  <c r="J26" i="5"/>
  <c r="D29" i="5"/>
  <c r="D23" i="5"/>
  <c r="B34" i="21"/>
  <c r="L28" i="15"/>
  <c r="K28" i="15"/>
  <c r="B66" i="23"/>
  <c r="C66" i="23"/>
  <c r="D66" i="23"/>
  <c r="B68" i="23"/>
  <c r="C68" i="23"/>
  <c r="D68" i="23"/>
  <c r="B76" i="23"/>
  <c r="C76" i="23"/>
  <c r="D76" i="23"/>
  <c r="B84" i="23"/>
  <c r="C84" i="23"/>
  <c r="D84" i="23"/>
  <c r="B92" i="23"/>
  <c r="C92" i="23"/>
  <c r="D92" i="23"/>
  <c r="Q18" i="21"/>
  <c r="B90" i="23"/>
  <c r="C90" i="23"/>
  <c r="D90" i="23"/>
  <c r="B86" i="23"/>
  <c r="C86" i="23"/>
  <c r="D86" i="23"/>
  <c r="B72" i="23"/>
  <c r="C72" i="23"/>
  <c r="D72" i="23"/>
  <c r="B65" i="23"/>
  <c r="C65" i="23"/>
  <c r="D65" i="23"/>
  <c r="B19" i="21"/>
  <c r="M75" i="24"/>
  <c r="F63" i="10"/>
  <c r="F64" i="10"/>
  <c r="F106" i="13"/>
  <c r="E123" i="13"/>
  <c r="F123" i="13"/>
  <c r="E127" i="13"/>
  <c r="F127" i="13"/>
  <c r="E131" i="13"/>
  <c r="F131" i="13"/>
  <c r="D104" i="13"/>
  <c r="F104" i="13"/>
  <c r="E105" i="13"/>
  <c r="F105" i="13"/>
  <c r="D108" i="13"/>
  <c r="F108" i="13"/>
  <c r="E109" i="13"/>
  <c r="F109" i="13"/>
  <c r="E112" i="13"/>
  <c r="F112" i="13"/>
  <c r="D115" i="13"/>
  <c r="F115" i="13"/>
  <c r="E116" i="13"/>
  <c r="F116" i="13"/>
  <c r="B82" i="23"/>
  <c r="C82" i="23"/>
  <c r="D82" i="23"/>
  <c r="B78" i="23"/>
  <c r="C78" i="23"/>
  <c r="D78" i="23"/>
  <c r="R8" i="21"/>
  <c r="D60" i="10"/>
  <c r="E60" i="10"/>
  <c r="E61" i="10"/>
  <c r="E62" i="10"/>
  <c r="E65" i="10"/>
  <c r="E66" i="10"/>
  <c r="C61" i="10"/>
  <c r="C62" i="10"/>
  <c r="H29" i="12"/>
  <c r="C40" i="12"/>
  <c r="C44" i="12"/>
  <c r="C48" i="12"/>
  <c r="M87" i="4"/>
  <c r="L87" i="4"/>
  <c r="L161" i="4"/>
  <c r="F17" i="11"/>
  <c r="F19" i="11"/>
  <c r="F20" i="11"/>
  <c r="D64" i="10"/>
  <c r="C63" i="10"/>
  <c r="E40" i="12"/>
  <c r="E44" i="12"/>
  <c r="E48" i="12"/>
  <c r="H29" i="11"/>
  <c r="C40" i="11"/>
  <c r="C44" i="11"/>
  <c r="C48" i="11"/>
  <c r="I29" i="11"/>
  <c r="E40" i="11"/>
  <c r="E44" i="11"/>
  <c r="E48" i="11"/>
  <c r="B32" i="21"/>
  <c r="R12" i="21"/>
  <c r="E64" i="10"/>
  <c r="H57" i="10"/>
  <c r="C71" i="12"/>
  <c r="C70" i="12"/>
  <c r="D71" i="12"/>
  <c r="H127" i="4"/>
  <c r="M127" i="4"/>
  <c r="H143" i="4"/>
  <c r="M143" i="4"/>
  <c r="H73" i="4"/>
  <c r="M73" i="4"/>
  <c r="J55" i="4"/>
  <c r="M95" i="4"/>
  <c r="L104" i="4"/>
  <c r="H118" i="4"/>
  <c r="M118" i="4"/>
  <c r="H141" i="4"/>
  <c r="M141" i="4"/>
  <c r="H157" i="4"/>
  <c r="M157" i="4"/>
  <c r="H102" i="4"/>
  <c r="M102" i="4"/>
  <c r="M161" i="4"/>
  <c r="H120" i="4"/>
  <c r="M120" i="4"/>
  <c r="H147" i="4"/>
  <c r="M147" i="4"/>
  <c r="H130" i="4"/>
  <c r="M130" i="4"/>
  <c r="H104" i="4"/>
  <c r="M104" i="4"/>
  <c r="L105" i="4"/>
  <c r="H105" i="4"/>
  <c r="M105" i="4"/>
  <c r="H122" i="4"/>
  <c r="M122" i="4"/>
  <c r="H126" i="4"/>
  <c r="M126" i="4"/>
  <c r="H139" i="4"/>
  <c r="M139" i="4"/>
  <c r="H159" i="4"/>
  <c r="M159" i="4"/>
  <c r="H155" i="4"/>
  <c r="M155" i="4"/>
  <c r="F108" i="10"/>
  <c r="E75" i="23"/>
  <c r="E70" i="23"/>
  <c r="E122" i="23"/>
  <c r="E112" i="23"/>
  <c r="E81" i="23"/>
  <c r="E117" i="23"/>
  <c r="E72" i="23"/>
  <c r="E65" i="23"/>
  <c r="E102" i="23"/>
  <c r="E95" i="23"/>
  <c r="E79" i="23"/>
  <c r="E94" i="23"/>
  <c r="E100" i="23"/>
  <c r="K89" i="23"/>
  <c r="K90" i="23"/>
  <c r="E66" i="23"/>
  <c r="E89" i="23"/>
  <c r="E77" i="23"/>
  <c r="E98" i="23"/>
  <c r="E68" i="23"/>
  <c r="E80" i="23"/>
  <c r="E63" i="23"/>
  <c r="E93" i="23"/>
  <c r="E86" i="23"/>
  <c r="E69" i="23"/>
  <c r="E120" i="23"/>
  <c r="E108" i="23"/>
  <c r="E113" i="23"/>
  <c r="E110" i="23"/>
  <c r="K91" i="23"/>
  <c r="K92" i="23"/>
  <c r="E78" i="23"/>
  <c r="E74" i="23"/>
  <c r="E118" i="23"/>
  <c r="E88" i="23"/>
  <c r="E82" i="23"/>
  <c r="E87" i="23"/>
  <c r="E92" i="23"/>
  <c r="E115" i="23"/>
  <c r="E91" i="23"/>
  <c r="E116" i="23"/>
  <c r="E97" i="23"/>
  <c r="E76" i="23"/>
  <c r="E119" i="23"/>
  <c r="E84" i="23"/>
  <c r="K93" i="23"/>
  <c r="E85" i="23"/>
  <c r="E114" i="23"/>
  <c r="E73" i="23"/>
  <c r="E96" i="23"/>
  <c r="E111" i="23"/>
  <c r="E101" i="23"/>
  <c r="E64" i="23"/>
  <c r="E109" i="23"/>
  <c r="E90" i="23"/>
  <c r="E83" i="23"/>
  <c r="E121" i="23"/>
  <c r="E71" i="23"/>
  <c r="E99" i="23"/>
  <c r="E67" i="23"/>
  <c r="K88" i="23"/>
  <c r="F120" i="13"/>
  <c r="E65" i="12"/>
  <c r="H65" i="12"/>
  <c r="H74" i="12"/>
  <c r="F60" i="10"/>
  <c r="F61" i="10"/>
  <c r="F62" i="10"/>
  <c r="F65" i="10"/>
  <c r="F67" i="10"/>
  <c r="D61" i="10"/>
  <c r="D62" i="10"/>
  <c r="D65" i="10"/>
  <c r="D66" i="10"/>
  <c r="R4" i="21"/>
  <c r="I19" i="21"/>
  <c r="G19" i="21"/>
  <c r="R6" i="21"/>
  <c r="K19" i="21"/>
  <c r="R16" i="21"/>
  <c r="C19" i="21"/>
  <c r="M19" i="21"/>
  <c r="R10" i="21"/>
  <c r="E19" i="21"/>
  <c r="O19" i="21"/>
  <c r="P19" i="21"/>
  <c r="H19" i="21"/>
  <c r="R5" i="21"/>
  <c r="R11" i="21"/>
  <c r="N19" i="21"/>
  <c r="F19" i="21"/>
  <c r="R7" i="21"/>
  <c r="R13" i="21"/>
  <c r="L19" i="21"/>
  <c r="D19" i="21"/>
  <c r="R15" i="21"/>
  <c r="J19" i="21"/>
  <c r="R9" i="21"/>
  <c r="R17" i="21"/>
  <c r="R14" i="21"/>
  <c r="O36" i="17"/>
  <c r="P36" i="17"/>
  <c r="O20" i="17"/>
  <c r="P20" i="17"/>
  <c r="P14" i="17"/>
  <c r="O14" i="17"/>
  <c r="P46" i="17"/>
  <c r="O46" i="17"/>
  <c r="I34" i="17"/>
  <c r="J34" i="17"/>
  <c r="I50" i="17"/>
  <c r="J50" i="17"/>
  <c r="I30" i="17"/>
  <c r="J30" i="17"/>
  <c r="I46" i="17"/>
  <c r="J46" i="17"/>
  <c r="Y19" i="17"/>
  <c r="X19" i="17"/>
  <c r="Y45" i="17"/>
  <c r="X45" i="17"/>
  <c r="X52" i="17"/>
  <c r="Y52" i="17"/>
  <c r="O24" i="17"/>
  <c r="P24" i="17"/>
  <c r="J23" i="17"/>
  <c r="I23" i="17"/>
  <c r="O9" i="17"/>
  <c r="P9" i="17"/>
  <c r="N63" i="17"/>
  <c r="P63" i="17"/>
  <c r="O18" i="17"/>
  <c r="P18" i="17"/>
  <c r="I32" i="17"/>
  <c r="J32" i="17"/>
  <c r="J10" i="17"/>
  <c r="I10" i="17"/>
  <c r="O34" i="17"/>
  <c r="P34" i="17"/>
  <c r="J41" i="17"/>
  <c r="I41" i="17"/>
  <c r="J17" i="17"/>
  <c r="I17" i="17"/>
  <c r="M27" i="17"/>
  <c r="L27" i="17"/>
  <c r="L49" i="17"/>
  <c r="M49" i="17"/>
  <c r="L18" i="17"/>
  <c r="M18" i="17"/>
  <c r="M39" i="17"/>
  <c r="L39" i="17"/>
  <c r="L14" i="17"/>
  <c r="M14" i="17"/>
  <c r="M35" i="17"/>
  <c r="L35" i="17"/>
  <c r="L57" i="17"/>
  <c r="M57" i="17"/>
  <c r="L21" i="17"/>
  <c r="M21" i="17"/>
  <c r="L42" i="17"/>
  <c r="M42" i="17"/>
  <c r="M9" i="17"/>
  <c r="K63" i="17"/>
  <c r="M63" i="17"/>
  <c r="L9" i="17"/>
  <c r="M24" i="17"/>
  <c r="L24" i="17"/>
  <c r="M40" i="17"/>
  <c r="L40" i="17"/>
  <c r="M56" i="17"/>
  <c r="L56" i="17"/>
  <c r="F28" i="17"/>
  <c r="G28" i="17"/>
  <c r="G49" i="17"/>
  <c r="F49" i="17"/>
  <c r="G18" i="17"/>
  <c r="F18" i="17"/>
  <c r="F40" i="17"/>
  <c r="G40" i="17"/>
  <c r="G30" i="17"/>
  <c r="F30" i="17"/>
  <c r="F52" i="17"/>
  <c r="G52" i="17"/>
  <c r="G21" i="17"/>
  <c r="F21" i="17"/>
  <c r="G42" i="17"/>
  <c r="F42" i="17"/>
  <c r="F11" i="17"/>
  <c r="G11" i="17"/>
  <c r="F27" i="17"/>
  <c r="G27" i="17"/>
  <c r="F43" i="17"/>
  <c r="G43" i="17"/>
  <c r="S50" i="17"/>
  <c r="R50" i="17"/>
  <c r="S34" i="17"/>
  <c r="R34" i="17"/>
  <c r="S18" i="17"/>
  <c r="R18" i="17"/>
  <c r="R53" i="17"/>
  <c r="S53" i="17"/>
  <c r="R37" i="17"/>
  <c r="S37" i="17"/>
  <c r="R21" i="17"/>
  <c r="S21" i="17"/>
  <c r="R52" i="17"/>
  <c r="S52" i="17"/>
  <c r="R36" i="17"/>
  <c r="S36" i="17"/>
  <c r="R20" i="17"/>
  <c r="S20" i="17"/>
  <c r="R51" i="17"/>
  <c r="S51" i="17"/>
  <c r="R35" i="17"/>
  <c r="S35" i="17"/>
  <c r="R19" i="17"/>
  <c r="S19" i="17"/>
  <c r="U12" i="17"/>
  <c r="V12" i="17"/>
  <c r="V29" i="17"/>
  <c r="U29" i="17"/>
  <c r="U51" i="17"/>
  <c r="V51" i="17"/>
  <c r="V21" i="17"/>
  <c r="U21" i="17"/>
  <c r="V41" i="17"/>
  <c r="U41" i="17"/>
  <c r="V22" i="17"/>
  <c r="U22" i="17"/>
  <c r="U43" i="17"/>
  <c r="V43" i="17"/>
  <c r="U11" i="17"/>
  <c r="V11" i="17"/>
  <c r="U28" i="17"/>
  <c r="V28" i="17"/>
  <c r="V49" i="17"/>
  <c r="U49" i="17"/>
  <c r="V34" i="17"/>
  <c r="U34" i="17"/>
  <c r="V50" i="17"/>
  <c r="U50" i="17"/>
  <c r="C53" i="17"/>
  <c r="D53" i="17"/>
  <c r="C37" i="17"/>
  <c r="D37" i="17"/>
  <c r="C21" i="17"/>
  <c r="D21" i="17"/>
  <c r="D56" i="17"/>
  <c r="C56" i="17"/>
  <c r="C40" i="17"/>
  <c r="D40" i="17"/>
  <c r="C24" i="17"/>
  <c r="D24" i="17"/>
  <c r="C55" i="17"/>
  <c r="D55" i="17"/>
  <c r="C39" i="17"/>
  <c r="D39" i="17"/>
  <c r="C23" i="17"/>
  <c r="D23" i="17"/>
  <c r="D54" i="17"/>
  <c r="C54" i="17"/>
  <c r="C38" i="17"/>
  <c r="D38" i="17"/>
  <c r="D22" i="17"/>
  <c r="C22" i="17"/>
  <c r="B38" i="21"/>
  <c r="C32" i="21"/>
  <c r="D32" i="21"/>
  <c r="G65" i="12"/>
  <c r="G74" i="12"/>
  <c r="G75" i="12"/>
  <c r="G76" i="12"/>
  <c r="C65" i="12"/>
  <c r="F66" i="10"/>
  <c r="C34" i="21"/>
  <c r="D34" i="21"/>
  <c r="O48" i="17"/>
  <c r="P48" i="17"/>
  <c r="O32" i="17"/>
  <c r="P32" i="17"/>
  <c r="P22" i="17"/>
  <c r="O22" i="17"/>
  <c r="P54" i="17"/>
  <c r="O54" i="17"/>
  <c r="I39" i="17"/>
  <c r="J39" i="17"/>
  <c r="I55" i="17"/>
  <c r="J55" i="17"/>
  <c r="J35" i="17"/>
  <c r="I35" i="17"/>
  <c r="J51" i="17"/>
  <c r="I51" i="17"/>
  <c r="Y15" i="17"/>
  <c r="X15" i="17"/>
  <c r="Y41" i="17"/>
  <c r="X41" i="17"/>
  <c r="X55" i="17"/>
  <c r="Y55" i="17"/>
  <c r="I44" i="17"/>
  <c r="J44" i="17"/>
  <c r="J19" i="17"/>
  <c r="I19" i="17"/>
  <c r="J53" i="17"/>
  <c r="I53" i="17"/>
  <c r="J22" i="17"/>
  <c r="I22" i="17"/>
  <c r="O12" i="17"/>
  <c r="P12" i="17"/>
  <c r="I36" i="17"/>
  <c r="J36" i="17"/>
  <c r="J13" i="17"/>
  <c r="I13" i="17"/>
  <c r="M11" i="17"/>
  <c r="L11" i="17"/>
  <c r="L33" i="17"/>
  <c r="M33" i="17"/>
  <c r="L54" i="17"/>
  <c r="M54" i="17"/>
  <c r="M23" i="17"/>
  <c r="L23" i="17"/>
  <c r="L45" i="17"/>
  <c r="M45" i="17"/>
  <c r="M19" i="17"/>
  <c r="L19" i="17"/>
  <c r="L41" i="17"/>
  <c r="M41" i="17"/>
  <c r="L26" i="17"/>
  <c r="M26" i="17"/>
  <c r="M47" i="17"/>
  <c r="L47" i="17"/>
  <c r="M12" i="17"/>
  <c r="L12" i="17"/>
  <c r="M28" i="17"/>
  <c r="L28" i="17"/>
  <c r="M44" i="17"/>
  <c r="L44" i="17"/>
  <c r="F12" i="17"/>
  <c r="G12" i="17"/>
  <c r="G33" i="17"/>
  <c r="F33" i="17"/>
  <c r="G54" i="17"/>
  <c r="F54" i="17"/>
  <c r="F24" i="17"/>
  <c r="G24" i="17"/>
  <c r="G45" i="17"/>
  <c r="F45" i="17"/>
  <c r="G14" i="17"/>
  <c r="F14" i="17"/>
  <c r="F36" i="17"/>
  <c r="G36" i="17"/>
  <c r="G57" i="17"/>
  <c r="F57" i="17"/>
  <c r="G26" i="17"/>
  <c r="F26" i="17"/>
  <c r="F48" i="17"/>
  <c r="G48" i="17"/>
  <c r="F15" i="17"/>
  <c r="G15" i="17"/>
  <c r="F31" i="17"/>
  <c r="G31" i="17"/>
  <c r="F47" i="17"/>
  <c r="G47" i="17"/>
  <c r="S46" i="17"/>
  <c r="R46" i="17"/>
  <c r="S30" i="17"/>
  <c r="R30" i="17"/>
  <c r="S14" i="17"/>
  <c r="R14" i="17"/>
  <c r="R49" i="17"/>
  <c r="S49" i="17"/>
  <c r="R33" i="17"/>
  <c r="S33" i="17"/>
  <c r="R17" i="17"/>
  <c r="S17" i="17"/>
  <c r="R48" i="17"/>
  <c r="S48" i="17"/>
  <c r="R32" i="17"/>
  <c r="S32" i="17"/>
  <c r="R16" i="17"/>
  <c r="S16" i="17"/>
  <c r="R47" i="17"/>
  <c r="S47" i="17"/>
  <c r="R31" i="17"/>
  <c r="S31" i="17"/>
  <c r="R15" i="17"/>
  <c r="S15" i="17"/>
  <c r="S58" i="17"/>
  <c r="R58" i="17"/>
  <c r="U16" i="17"/>
  <c r="V16" i="17"/>
  <c r="U35" i="17"/>
  <c r="V35" i="17"/>
  <c r="U56" i="17"/>
  <c r="V56" i="17"/>
  <c r="V25" i="17"/>
  <c r="U25" i="17"/>
  <c r="U47" i="17"/>
  <c r="V47" i="17"/>
  <c r="V10" i="17"/>
  <c r="U10" i="17"/>
  <c r="U27" i="17"/>
  <c r="V27" i="17"/>
  <c r="U48" i="17"/>
  <c r="V48" i="17"/>
  <c r="U15" i="17"/>
  <c r="V15" i="17"/>
  <c r="V33" i="17"/>
  <c r="U33" i="17"/>
  <c r="U55" i="17"/>
  <c r="V55" i="17"/>
  <c r="V38" i="17"/>
  <c r="U38" i="17"/>
  <c r="V54" i="17"/>
  <c r="U54" i="17"/>
  <c r="C49" i="17"/>
  <c r="D49" i="17"/>
  <c r="C33" i="17"/>
  <c r="D33" i="17"/>
  <c r="C17" i="17"/>
  <c r="D17" i="17"/>
  <c r="D52" i="17"/>
  <c r="C52" i="17"/>
  <c r="D36" i="17"/>
  <c r="C36" i="17"/>
  <c r="C20" i="17"/>
  <c r="D20" i="17"/>
  <c r="C51" i="17"/>
  <c r="D51" i="17"/>
  <c r="C35" i="17"/>
  <c r="D35" i="17"/>
  <c r="C19" i="17"/>
  <c r="D19" i="17"/>
  <c r="C50" i="17"/>
  <c r="D50" i="17"/>
  <c r="C34" i="17"/>
  <c r="D34" i="17"/>
  <c r="C18" i="17"/>
  <c r="D18" i="17"/>
  <c r="C58" i="17"/>
  <c r="D58" i="17"/>
  <c r="G89" i="13"/>
  <c r="R47" i="25"/>
  <c r="R44" i="25"/>
  <c r="R46" i="25"/>
  <c r="R53" i="25"/>
  <c r="R51" i="25"/>
  <c r="R52" i="25"/>
  <c r="R49" i="25"/>
  <c r="R43" i="25"/>
  <c r="R48" i="25"/>
  <c r="R45" i="25"/>
  <c r="R50" i="25"/>
  <c r="E68" i="11"/>
  <c r="H68" i="11"/>
  <c r="H77" i="11"/>
  <c r="C65" i="10"/>
  <c r="C66" i="10"/>
  <c r="C67" i="10"/>
  <c r="P87" i="24"/>
  <c r="P95" i="24"/>
  <c r="P84" i="24"/>
  <c r="P92" i="24"/>
  <c r="P100" i="24"/>
  <c r="P89" i="24"/>
  <c r="P97" i="24"/>
  <c r="P86" i="24"/>
  <c r="P94" i="24"/>
  <c r="P102" i="24"/>
  <c r="O75" i="24"/>
  <c r="P91" i="24"/>
  <c r="P99" i="24"/>
  <c r="P88" i="24"/>
  <c r="P96" i="24"/>
  <c r="P85" i="24"/>
  <c r="P93" i="24"/>
  <c r="P101" i="24"/>
  <c r="P90" i="24"/>
  <c r="P98" i="24"/>
  <c r="O16" i="17"/>
  <c r="P16" i="17"/>
  <c r="O58" i="17"/>
  <c r="P58" i="17"/>
  <c r="O42" i="17"/>
  <c r="P42" i="17"/>
  <c r="P30" i="17"/>
  <c r="O30" i="17"/>
  <c r="I26" i="17"/>
  <c r="J26" i="17"/>
  <c r="I42" i="17"/>
  <c r="J42" i="17"/>
  <c r="I58" i="17"/>
  <c r="J58" i="17"/>
  <c r="I38" i="17"/>
  <c r="J38" i="17"/>
  <c r="I54" i="17"/>
  <c r="J54" i="17"/>
  <c r="Y27" i="17"/>
  <c r="X27" i="17"/>
  <c r="Y11" i="17"/>
  <c r="X11" i="17"/>
  <c r="Y37" i="17"/>
  <c r="X37" i="17"/>
  <c r="J33" i="17"/>
  <c r="I33" i="17"/>
  <c r="J15" i="17"/>
  <c r="I15" i="17"/>
  <c r="P57" i="17"/>
  <c r="O57" i="17"/>
  <c r="I48" i="17"/>
  <c r="J48" i="17"/>
  <c r="J18" i="17"/>
  <c r="I18" i="17"/>
  <c r="J57" i="17"/>
  <c r="I57" i="17"/>
  <c r="J25" i="17"/>
  <c r="I25" i="17"/>
  <c r="J9" i="17"/>
  <c r="H63" i="17"/>
  <c r="J63" i="17"/>
  <c r="I9" i="17"/>
  <c r="L17" i="17"/>
  <c r="M17" i="17"/>
  <c r="L38" i="17"/>
  <c r="M38" i="17"/>
  <c r="L29" i="17"/>
  <c r="M29" i="17"/>
  <c r="L50" i="17"/>
  <c r="M50" i="17"/>
  <c r="L25" i="17"/>
  <c r="M25" i="17"/>
  <c r="L46" i="17"/>
  <c r="M46" i="17"/>
  <c r="L10" i="17"/>
  <c r="M10" i="17"/>
  <c r="M31" i="17"/>
  <c r="L31" i="17"/>
  <c r="L53" i="17"/>
  <c r="M53" i="17"/>
  <c r="M16" i="17"/>
  <c r="L16" i="17"/>
  <c r="M32" i="17"/>
  <c r="L32" i="17"/>
  <c r="M48" i="17"/>
  <c r="L48" i="17"/>
  <c r="G17" i="17"/>
  <c r="F17" i="17"/>
  <c r="G38" i="17"/>
  <c r="F38" i="17"/>
  <c r="F9" i="17"/>
  <c r="G9" i="17"/>
  <c r="E63" i="17"/>
  <c r="G63" i="17"/>
  <c r="G29" i="17"/>
  <c r="F29" i="17"/>
  <c r="G50" i="17"/>
  <c r="F50" i="17"/>
  <c r="F20" i="17"/>
  <c r="G20" i="17"/>
  <c r="G41" i="17"/>
  <c r="F41" i="17"/>
  <c r="G10" i="17"/>
  <c r="F10" i="17"/>
  <c r="F32" i="17"/>
  <c r="G32" i="17"/>
  <c r="G53" i="17"/>
  <c r="F53" i="17"/>
  <c r="F19" i="17"/>
  <c r="G19" i="17"/>
  <c r="F35" i="17"/>
  <c r="G35" i="17"/>
  <c r="F51" i="17"/>
  <c r="G51" i="17"/>
  <c r="S42" i="17"/>
  <c r="R42" i="17"/>
  <c r="S26" i="17"/>
  <c r="R26" i="17"/>
  <c r="S10" i="17"/>
  <c r="R10" i="17"/>
  <c r="R45" i="17"/>
  <c r="S45" i="17"/>
  <c r="R29" i="17"/>
  <c r="S29" i="17"/>
  <c r="R13" i="17"/>
  <c r="S13" i="17"/>
  <c r="R44" i="17"/>
  <c r="S44" i="17"/>
  <c r="R28" i="17"/>
  <c r="S28" i="17"/>
  <c r="R12" i="17"/>
  <c r="S12" i="17"/>
  <c r="R43" i="17"/>
  <c r="S43" i="17"/>
  <c r="R27" i="17"/>
  <c r="S27" i="17"/>
  <c r="R11" i="17"/>
  <c r="S11" i="17"/>
  <c r="U20" i="17"/>
  <c r="V20" i="17"/>
  <c r="U40" i="17"/>
  <c r="V40" i="17"/>
  <c r="V13" i="17"/>
  <c r="U13" i="17"/>
  <c r="U31" i="17"/>
  <c r="V31" i="17"/>
  <c r="U52" i="17"/>
  <c r="V52" i="17"/>
  <c r="V14" i="17"/>
  <c r="U14" i="17"/>
  <c r="U32" i="17"/>
  <c r="V32" i="17"/>
  <c r="V53" i="17"/>
  <c r="U53" i="17"/>
  <c r="U19" i="17"/>
  <c r="V19" i="17"/>
  <c r="U39" i="17"/>
  <c r="V39" i="17"/>
  <c r="U26" i="17"/>
  <c r="V26" i="17"/>
  <c r="V42" i="17"/>
  <c r="U42" i="17"/>
  <c r="V58" i="17"/>
  <c r="U58" i="17"/>
  <c r="C45" i="17"/>
  <c r="D45" i="17"/>
  <c r="C29" i="17"/>
  <c r="D29" i="17"/>
  <c r="C13" i="17"/>
  <c r="D13" i="17"/>
  <c r="C48" i="17"/>
  <c r="D48" i="17"/>
  <c r="C32" i="17"/>
  <c r="D32" i="17"/>
  <c r="C16" i="17"/>
  <c r="D16" i="17"/>
  <c r="C47" i="17"/>
  <c r="D47" i="17"/>
  <c r="C31" i="17"/>
  <c r="D31" i="17"/>
  <c r="C15" i="17"/>
  <c r="D15" i="17"/>
  <c r="C46" i="17"/>
  <c r="D46" i="17"/>
  <c r="C30" i="17"/>
  <c r="D30" i="17"/>
  <c r="C14" i="17"/>
  <c r="D14" i="17"/>
  <c r="K88" i="13"/>
  <c r="H58" i="10"/>
  <c r="H68" i="10"/>
  <c r="G69" i="10"/>
  <c r="G70" i="10"/>
  <c r="E67" i="10"/>
  <c r="G68" i="11"/>
  <c r="G77" i="11"/>
  <c r="G78" i="11"/>
  <c r="G79" i="11"/>
  <c r="C68" i="11"/>
  <c r="Q19" i="21"/>
  <c r="O26" i="17"/>
  <c r="P26" i="17"/>
  <c r="O10" i="17"/>
  <c r="P10" i="17"/>
  <c r="O52" i="17"/>
  <c r="P52" i="17"/>
  <c r="P38" i="17"/>
  <c r="O38" i="17"/>
  <c r="I31" i="17"/>
  <c r="J31" i="17"/>
  <c r="I47" i="17"/>
  <c r="J47" i="17"/>
  <c r="J27" i="17"/>
  <c r="I27" i="17"/>
  <c r="J43" i="17"/>
  <c r="I43" i="17"/>
  <c r="Y23" i="17"/>
  <c r="X23" i="17"/>
  <c r="Y49" i="17"/>
  <c r="X49" i="17"/>
  <c r="Y33" i="17"/>
  <c r="X33" i="17"/>
  <c r="I28" i="17"/>
  <c r="J28" i="17"/>
  <c r="J11" i="17"/>
  <c r="I11" i="17"/>
  <c r="J27" i="5"/>
  <c r="O40" i="17"/>
  <c r="P40" i="17"/>
  <c r="J37" i="17"/>
  <c r="I37" i="17"/>
  <c r="J14" i="17"/>
  <c r="I14" i="17"/>
  <c r="O56" i="17"/>
  <c r="P56" i="17"/>
  <c r="I52" i="17"/>
  <c r="J52" i="17"/>
  <c r="J21" i="17"/>
  <c r="I21" i="17"/>
  <c r="L22" i="17"/>
  <c r="M22" i="17"/>
  <c r="M43" i="17"/>
  <c r="L43" i="17"/>
  <c r="L13" i="17"/>
  <c r="M13" i="17"/>
  <c r="L34" i="17"/>
  <c r="M34" i="17"/>
  <c r="M55" i="17"/>
  <c r="L55" i="17"/>
  <c r="L30" i="17"/>
  <c r="M30" i="17"/>
  <c r="M51" i="17"/>
  <c r="L51" i="17"/>
  <c r="M15" i="17"/>
  <c r="L15" i="17"/>
  <c r="L37" i="17"/>
  <c r="M37" i="17"/>
  <c r="L58" i="17"/>
  <c r="M58" i="17"/>
  <c r="M20" i="17"/>
  <c r="L20" i="17"/>
  <c r="M36" i="17"/>
  <c r="L36" i="17"/>
  <c r="M52" i="17"/>
  <c r="L52" i="17"/>
  <c r="G22" i="17"/>
  <c r="F22" i="17"/>
  <c r="F44" i="17"/>
  <c r="G44" i="17"/>
  <c r="G13" i="17"/>
  <c r="F13" i="17"/>
  <c r="G34" i="17"/>
  <c r="F34" i="17"/>
  <c r="F56" i="17"/>
  <c r="G56" i="17"/>
  <c r="G25" i="17"/>
  <c r="F25" i="17"/>
  <c r="G46" i="17"/>
  <c r="F46" i="17"/>
  <c r="F16" i="17"/>
  <c r="G16" i="17"/>
  <c r="G37" i="17"/>
  <c r="F37" i="17"/>
  <c r="G58" i="17"/>
  <c r="F58" i="17"/>
  <c r="F23" i="17"/>
  <c r="G23" i="17"/>
  <c r="F39" i="17"/>
  <c r="G39" i="17"/>
  <c r="F55" i="17"/>
  <c r="G55" i="17"/>
  <c r="S54" i="17"/>
  <c r="R54" i="17"/>
  <c r="S38" i="17"/>
  <c r="R38" i="17"/>
  <c r="S22" i="17"/>
  <c r="R22" i="17"/>
  <c r="R57" i="17"/>
  <c r="S57" i="17"/>
  <c r="R41" i="17"/>
  <c r="S41" i="17"/>
  <c r="R25" i="17"/>
  <c r="S25" i="17"/>
  <c r="R56" i="17"/>
  <c r="S56" i="17"/>
  <c r="R40" i="17"/>
  <c r="S40" i="17"/>
  <c r="R24" i="17"/>
  <c r="S24" i="17"/>
  <c r="R55" i="17"/>
  <c r="S55" i="17"/>
  <c r="R39" i="17"/>
  <c r="S39" i="17"/>
  <c r="R23" i="17"/>
  <c r="S23" i="17"/>
  <c r="S9" i="17"/>
  <c r="Q63" i="17"/>
  <c r="S63" i="17"/>
  <c r="R9" i="17"/>
  <c r="U24" i="17"/>
  <c r="V24" i="17"/>
  <c r="V45" i="17"/>
  <c r="U45" i="17"/>
  <c r="V17" i="17"/>
  <c r="U17" i="17"/>
  <c r="U36" i="17"/>
  <c r="V36" i="17"/>
  <c r="V57" i="17"/>
  <c r="U57" i="17"/>
  <c r="V18" i="17"/>
  <c r="U18" i="17"/>
  <c r="V37" i="17"/>
  <c r="U37" i="17"/>
  <c r="U23" i="17"/>
  <c r="V23" i="17"/>
  <c r="U44" i="17"/>
  <c r="V44" i="17"/>
  <c r="V30" i="17"/>
  <c r="U30" i="17"/>
  <c r="V46" i="17"/>
  <c r="U46" i="17"/>
  <c r="U9" i="17"/>
  <c r="V9" i="17"/>
  <c r="C57" i="17"/>
  <c r="D57" i="17"/>
  <c r="C41" i="17"/>
  <c r="D41" i="17"/>
  <c r="C25" i="17"/>
  <c r="D25" i="17"/>
  <c r="C9" i="17"/>
  <c r="D9" i="17"/>
  <c r="B63" i="17"/>
  <c r="D63" i="17"/>
  <c r="C44" i="17"/>
  <c r="D44" i="17"/>
  <c r="D28" i="17"/>
  <c r="C28" i="17"/>
  <c r="C12" i="17"/>
  <c r="D12" i="17"/>
  <c r="C43" i="17"/>
  <c r="D43" i="17"/>
  <c r="C27" i="17"/>
  <c r="D27" i="17"/>
  <c r="C11" i="17"/>
  <c r="D11" i="17"/>
  <c r="C42" i="17"/>
  <c r="D42" i="17"/>
  <c r="C26" i="17"/>
  <c r="D26" i="17"/>
  <c r="C10" i="17"/>
  <c r="D10" i="17"/>
  <c r="I63" i="13"/>
  <c r="K86" i="13"/>
  <c r="G66" i="13"/>
  <c r="K87" i="13"/>
  <c r="K94" i="23"/>
  <c r="K95" i="23"/>
  <c r="H89" i="13"/>
  <c r="G90" i="13"/>
  <c r="D69" i="12"/>
  <c r="D72" i="12"/>
  <c r="C69" i="12"/>
  <c r="C72" i="12"/>
  <c r="C73" i="12"/>
  <c r="C74" i="12"/>
  <c r="C30" i="21"/>
  <c r="D30" i="21"/>
  <c r="C37" i="21"/>
  <c r="D37" i="21"/>
  <c r="C26" i="21"/>
  <c r="D26" i="21"/>
  <c r="C27" i="21"/>
  <c r="D27" i="21"/>
  <c r="C35" i="21"/>
  <c r="D35" i="21"/>
  <c r="C25" i="21"/>
  <c r="D25" i="21"/>
  <c r="C33" i="21"/>
  <c r="D33" i="21"/>
  <c r="C28" i="21"/>
  <c r="D28" i="21"/>
  <c r="C36" i="21"/>
  <c r="D36" i="21"/>
  <c r="C31" i="21"/>
  <c r="D31" i="21"/>
  <c r="C29" i="21"/>
  <c r="D29" i="21"/>
  <c r="C24" i="21"/>
  <c r="D67" i="10"/>
  <c r="C68" i="10"/>
  <c r="E69" i="12"/>
  <c r="E72" i="12"/>
  <c r="F69" i="12"/>
  <c r="F72" i="12"/>
  <c r="E73" i="12" s="1"/>
  <c r="E74" i="12"/>
  <c r="C75" i="12" s="1"/>
  <c r="C76" i="12" s="1"/>
  <c r="C72" i="11"/>
  <c r="C75" i="11"/>
  <c r="D72" i="11"/>
  <c r="D75" i="11"/>
  <c r="F72" i="11"/>
  <c r="F75" i="11"/>
  <c r="E72" i="11"/>
  <c r="E75" i="11"/>
  <c r="S49" i="25"/>
  <c r="S53" i="25"/>
  <c r="S51" i="25"/>
  <c r="S45" i="25"/>
  <c r="S47" i="25"/>
  <c r="S44" i="25"/>
  <c r="S48" i="25"/>
  <c r="S43" i="25"/>
  <c r="S50" i="25"/>
  <c r="S52" i="25"/>
  <c r="S46" i="25"/>
  <c r="H66" i="13"/>
  <c r="G67" i="13"/>
  <c r="H67" i="13"/>
  <c r="E68" i="10"/>
  <c r="R18" i="21"/>
  <c r="C69" i="10"/>
  <c r="C70" i="10"/>
  <c r="D24" i="21"/>
  <c r="D38" i="21"/>
  <c r="C38" i="21"/>
  <c r="E76" i="11"/>
  <c r="E77" i="11"/>
  <c r="C76" i="11"/>
  <c r="C77" i="11"/>
  <c r="K89" i="13"/>
  <c r="H90" i="13"/>
  <c r="G91" i="13"/>
  <c r="H91" i="13"/>
  <c r="G68" i="13"/>
  <c r="H68" i="13"/>
  <c r="G69" i="13"/>
  <c r="K90" i="13"/>
  <c r="C78" i="11"/>
  <c r="C79" i="11"/>
  <c r="K91" i="13"/>
  <c r="G92" i="13"/>
  <c r="G93" i="13"/>
  <c r="H93" i="13"/>
  <c r="G94" i="13"/>
  <c r="H69" i="13"/>
  <c r="G70" i="13"/>
  <c r="H92" i="13"/>
  <c r="K92" i="13"/>
  <c r="G71" i="13"/>
  <c r="H94" i="13"/>
  <c r="G95" i="13"/>
  <c r="H70" i="13"/>
  <c r="G72" i="13"/>
  <c r="G73" i="13" s="1"/>
  <c r="H72" i="13"/>
  <c r="K93" i="13"/>
  <c r="K94" i="13"/>
  <c r="H95" i="13"/>
  <c r="G96" i="13"/>
  <c r="H96" i="13"/>
  <c r="H97" i="13"/>
  <c r="H73" i="13"/>
  <c r="G74" i="13"/>
  <c r="H71" i="13"/>
  <c r="I88" i="13"/>
  <c r="J88" i="13"/>
  <c r="I87" i="13"/>
  <c r="J87" i="13"/>
  <c r="I86" i="13"/>
  <c r="J86" i="13"/>
  <c r="I89" i="13"/>
  <c r="J89" i="13"/>
  <c r="I91" i="13"/>
  <c r="J91" i="13"/>
  <c r="I90" i="13"/>
  <c r="J90" i="13"/>
  <c r="I93" i="13"/>
  <c r="J93" i="13"/>
  <c r="I92" i="13"/>
  <c r="J92" i="13"/>
  <c r="I94" i="13"/>
  <c r="J94" i="13"/>
  <c r="H74" i="13"/>
  <c r="G75" i="13"/>
  <c r="K95" i="13"/>
  <c r="I95" i="13"/>
  <c r="J95" i="13"/>
  <c r="I96" i="13"/>
  <c r="J96" i="13"/>
  <c r="K96" i="13"/>
  <c r="H75" i="13"/>
  <c r="G76" i="13"/>
  <c r="K97" i="13"/>
  <c r="J97" i="13"/>
  <c r="H76" i="13"/>
  <c r="G77" i="13"/>
  <c r="H77" i="13"/>
  <c r="G78" i="13"/>
  <c r="H78" i="13"/>
  <c r="G79" i="13"/>
  <c r="H79" i="13"/>
  <c r="G80" i="13"/>
  <c r="H80" i="13"/>
  <c r="G81" i="13"/>
  <c r="H81" i="13"/>
  <c r="G82" i="13"/>
  <c r="H82" i="13"/>
  <c r="H83" i="13"/>
  <c r="F133" i="13" l="1"/>
  <c r="F111" i="10"/>
</calcChain>
</file>

<file path=xl/sharedStrings.xml><?xml version="1.0" encoding="utf-8"?>
<sst xmlns="http://schemas.openxmlformats.org/spreadsheetml/2006/main" count="1488" uniqueCount="618">
  <si>
    <t>Design Stress-Life (S-N) Curve</t>
    <phoneticPr fontId="2" type="noConversion"/>
  </si>
  <si>
    <t xml:space="preserve">Standard Formulation </t>
    <phoneticPr fontId="3" type="noConversion"/>
  </si>
  <si>
    <t>Servival Probability :</t>
    <phoneticPr fontId="2" type="noConversion"/>
  </si>
  <si>
    <t>Type :</t>
    <phoneticPr fontId="2" type="noConversion"/>
  </si>
  <si>
    <t>Class</t>
    <phoneticPr fontId="3" type="noConversion"/>
  </si>
  <si>
    <r>
      <t xml:space="preserve">N </t>
    </r>
    <r>
      <rPr>
        <sz val="10"/>
        <color indexed="9"/>
        <rFont val="바탕"/>
        <family val="1"/>
        <charset val="129"/>
      </rPr>
      <t>≤</t>
    </r>
    <r>
      <rPr>
        <sz val="10"/>
        <color indexed="9"/>
        <rFont val="Times New Roman"/>
        <family val="1"/>
      </rPr>
      <t xml:space="preserve"> T.Life</t>
    </r>
    <phoneticPr fontId="2" type="noConversion"/>
  </si>
  <si>
    <t>N &gt; T.Life</t>
    <phoneticPr fontId="2" type="noConversion"/>
  </si>
  <si>
    <t>S.D</t>
    <phoneticPr fontId="3" type="noConversion"/>
  </si>
  <si>
    <t>Transition Life</t>
    <phoneticPr fontId="2" type="noConversion"/>
  </si>
  <si>
    <t>log K</t>
    <phoneticPr fontId="3" type="noConversion"/>
  </si>
  <si>
    <t>m</t>
    <phoneticPr fontId="3" type="noConversion"/>
  </si>
  <si>
    <t>log K'</t>
    <phoneticPr fontId="3" type="noConversion"/>
  </si>
  <si>
    <t>m'</t>
    <phoneticPr fontId="3" type="noConversion"/>
  </si>
  <si>
    <t>log K</t>
    <phoneticPr fontId="2" type="noConversion"/>
  </si>
  <si>
    <t>m</t>
    <phoneticPr fontId="2" type="noConversion"/>
  </si>
  <si>
    <t>m'</t>
    <phoneticPr fontId="2" type="noConversion"/>
  </si>
  <si>
    <t>S.D</t>
    <phoneticPr fontId="2" type="noConversion"/>
  </si>
  <si>
    <t>T.Life</t>
    <phoneticPr fontId="2" type="noConversion"/>
  </si>
  <si>
    <r>
      <t>Ds</t>
    </r>
    <r>
      <rPr>
        <vertAlign val="subscript"/>
        <sz val="10"/>
        <color indexed="9"/>
        <rFont val="Times New Roman"/>
        <family val="1"/>
      </rPr>
      <t>T.L</t>
    </r>
    <phoneticPr fontId="2" type="noConversion"/>
  </si>
  <si>
    <t>log K</t>
  </si>
  <si>
    <t>m</t>
  </si>
  <si>
    <t>log K'</t>
  </si>
  <si>
    <t>m'</t>
  </si>
  <si>
    <t>N</t>
  </si>
  <si>
    <t>Ds</t>
    <phoneticPr fontId="2" type="noConversion"/>
  </si>
  <si>
    <t>N</t>
    <phoneticPr fontId="3" type="noConversion"/>
  </si>
  <si>
    <t>Ds/2</t>
    <phoneticPr fontId="2" type="noConversion"/>
  </si>
  <si>
    <t>N</t>
    <phoneticPr fontId="2" type="noConversion"/>
  </si>
  <si>
    <t>Kf</t>
    <phoneticPr fontId="2" type="noConversion"/>
  </si>
  <si>
    <t>Type  :</t>
    <phoneticPr fontId="2" type="noConversion"/>
  </si>
  <si>
    <t>for Base Metal</t>
    <phoneticPr fontId="2" type="noConversion"/>
  </si>
  <si>
    <t>for Welded Joint</t>
    <phoneticPr fontId="2" type="noConversion"/>
  </si>
  <si>
    <t>ID</t>
    <phoneticPr fontId="2" type="noConversion"/>
  </si>
  <si>
    <t>CLASS</t>
    <phoneticPr fontId="2" type="noConversion"/>
  </si>
  <si>
    <t>log K50</t>
    <phoneticPr fontId="2" type="noConversion"/>
  </si>
  <si>
    <t>log K'50</t>
    <phoneticPr fontId="2" type="noConversion"/>
  </si>
  <si>
    <t>log K'</t>
    <phoneticPr fontId="2" type="noConversion"/>
  </si>
  <si>
    <t>SD</t>
    <phoneticPr fontId="2" type="noConversion"/>
  </si>
  <si>
    <r>
      <t>Ds</t>
    </r>
    <r>
      <rPr>
        <sz val="10"/>
        <color indexed="9"/>
        <rFont val="Times New Roman"/>
        <family val="1"/>
      </rPr>
      <t>'</t>
    </r>
    <phoneticPr fontId="2" type="noConversion"/>
  </si>
  <si>
    <t>BS7608:1993 - B</t>
    <phoneticPr fontId="2" type="noConversion"/>
  </si>
  <si>
    <t>Joint in air and seawater with adequate corrosion protection</t>
    <phoneticPr fontId="2" type="noConversion"/>
  </si>
  <si>
    <t>BS7608:1993 - C</t>
    <phoneticPr fontId="2" type="noConversion"/>
  </si>
  <si>
    <t>BS7608:1993 - D</t>
    <phoneticPr fontId="2" type="noConversion"/>
  </si>
  <si>
    <t>BS7608:1993 - E</t>
    <phoneticPr fontId="2" type="noConversion"/>
  </si>
  <si>
    <t>BS7608:1993 - F</t>
    <phoneticPr fontId="2" type="noConversion"/>
  </si>
  <si>
    <t>BS7608:1993 - F2</t>
    <phoneticPr fontId="2" type="noConversion"/>
  </si>
  <si>
    <t>BS7608:1993 - G</t>
    <phoneticPr fontId="2" type="noConversion"/>
  </si>
  <si>
    <t>BS7608:1993 - W</t>
    <phoneticPr fontId="2" type="noConversion"/>
  </si>
  <si>
    <t>BS7608:1993 - S</t>
    <phoneticPr fontId="2" type="noConversion"/>
  </si>
  <si>
    <t>BS7608:1993 - T</t>
    <phoneticPr fontId="2" type="noConversion"/>
  </si>
  <si>
    <t>HSE GNs -0.64P</t>
    <phoneticPr fontId="2" type="noConversion"/>
  </si>
  <si>
    <t>Joint in Air</t>
    <phoneticPr fontId="2" type="noConversion"/>
  </si>
  <si>
    <t>HSE GNs -0.76P</t>
    <phoneticPr fontId="2" type="noConversion"/>
  </si>
  <si>
    <t>HSE GNs -1.00P</t>
    <phoneticPr fontId="2" type="noConversion"/>
  </si>
  <si>
    <t>HSE GNs -1.14P</t>
    <phoneticPr fontId="2" type="noConversion"/>
  </si>
  <si>
    <t>HSE GNs -1.34P</t>
    <phoneticPr fontId="2" type="noConversion"/>
  </si>
  <si>
    <t>HSE GNs -1.52P</t>
    <phoneticPr fontId="2" type="noConversion"/>
  </si>
  <si>
    <t>HSE GNs -1.83P</t>
    <phoneticPr fontId="2" type="noConversion"/>
  </si>
  <si>
    <t>HSE GNs -2.54P</t>
    <phoneticPr fontId="2" type="noConversion"/>
  </si>
  <si>
    <t>HSE GNs -T'</t>
    <phoneticPr fontId="2" type="noConversion"/>
  </si>
  <si>
    <t>HSE GNs -CS</t>
    <phoneticPr fontId="2" type="noConversion"/>
  </si>
  <si>
    <t>DNV - I</t>
    <phoneticPr fontId="2" type="noConversion"/>
  </si>
  <si>
    <t>DNV - III</t>
    <phoneticPr fontId="2" type="noConversion"/>
  </si>
  <si>
    <t>-</t>
    <phoneticPr fontId="2" type="noConversion"/>
  </si>
  <si>
    <t>DNV - II</t>
    <phoneticPr fontId="2" type="noConversion"/>
  </si>
  <si>
    <t>DNV - IV</t>
    <phoneticPr fontId="2" type="noConversion"/>
  </si>
  <si>
    <t>DNV - Ib</t>
    <phoneticPr fontId="2" type="noConversion"/>
  </si>
  <si>
    <t>DNV - IIIb</t>
    <phoneticPr fontId="2" type="noConversion"/>
  </si>
  <si>
    <t>IIW-225</t>
    <phoneticPr fontId="2" type="noConversion"/>
  </si>
  <si>
    <t>IIW-200</t>
    <phoneticPr fontId="2" type="noConversion"/>
  </si>
  <si>
    <t>IIW-180</t>
    <phoneticPr fontId="2" type="noConversion"/>
  </si>
  <si>
    <t>IIW - 160</t>
    <phoneticPr fontId="2" type="noConversion"/>
  </si>
  <si>
    <t>IIW - 140</t>
    <phoneticPr fontId="2" type="noConversion"/>
  </si>
  <si>
    <t>IIW - 125</t>
    <phoneticPr fontId="2" type="noConversion"/>
  </si>
  <si>
    <t>IIW - 112</t>
    <phoneticPr fontId="2" type="noConversion"/>
  </si>
  <si>
    <t>IIW - 100</t>
    <phoneticPr fontId="2" type="noConversion"/>
  </si>
  <si>
    <t>IIW - 90</t>
    <phoneticPr fontId="2" type="noConversion"/>
  </si>
  <si>
    <t>IIW - 80</t>
    <phoneticPr fontId="2" type="noConversion"/>
  </si>
  <si>
    <t>IIW - 71</t>
    <phoneticPr fontId="2" type="noConversion"/>
  </si>
  <si>
    <t>IIW - 63</t>
    <phoneticPr fontId="2" type="noConversion"/>
  </si>
  <si>
    <t>IIW - 56</t>
    <phoneticPr fontId="2" type="noConversion"/>
  </si>
  <si>
    <t>IIW - 50</t>
    <phoneticPr fontId="2" type="noConversion"/>
  </si>
  <si>
    <t>IIW - 45</t>
    <phoneticPr fontId="2" type="noConversion"/>
  </si>
  <si>
    <t>IIW - 40</t>
    <phoneticPr fontId="2" type="noConversion"/>
  </si>
  <si>
    <t>IIW - 36</t>
    <phoneticPr fontId="2" type="noConversion"/>
  </si>
  <si>
    <t>IIW - 32</t>
    <phoneticPr fontId="2" type="noConversion"/>
  </si>
  <si>
    <t>IIW - 28</t>
    <phoneticPr fontId="2" type="noConversion"/>
  </si>
  <si>
    <t>IIW - 25</t>
    <phoneticPr fontId="2" type="noConversion"/>
  </si>
  <si>
    <t>IIW - 22</t>
    <phoneticPr fontId="2" type="noConversion"/>
  </si>
  <si>
    <t>IIW - 20</t>
    <phoneticPr fontId="2" type="noConversion"/>
  </si>
  <si>
    <t>IIW - 18</t>
    <phoneticPr fontId="2" type="noConversion"/>
  </si>
  <si>
    <t>IIW - 16</t>
    <phoneticPr fontId="2" type="noConversion"/>
  </si>
  <si>
    <t>IIW - 14</t>
    <phoneticPr fontId="2" type="noConversion"/>
  </si>
  <si>
    <t>NORSOK -  B1</t>
    <phoneticPr fontId="2" type="noConversion"/>
  </si>
  <si>
    <t>NORSOK N004 - B2</t>
    <phoneticPr fontId="2" type="noConversion"/>
  </si>
  <si>
    <t>NORSOK N004 - C</t>
    <phoneticPr fontId="2" type="noConversion"/>
  </si>
  <si>
    <t>NORSOK N004 - C1</t>
    <phoneticPr fontId="2" type="noConversion"/>
  </si>
  <si>
    <t>NORSOK N004 - C2</t>
    <phoneticPr fontId="2" type="noConversion"/>
  </si>
  <si>
    <t>NORSOK N004 - D</t>
    <phoneticPr fontId="2" type="noConversion"/>
  </si>
  <si>
    <t>NORSOK N004 - E</t>
    <phoneticPr fontId="2" type="noConversion"/>
  </si>
  <si>
    <t>NORSOK - F</t>
    <phoneticPr fontId="2" type="noConversion"/>
  </si>
  <si>
    <t>NORSOK N004 - F1</t>
    <phoneticPr fontId="2" type="noConversion"/>
  </si>
  <si>
    <t>NORSOK N004 - F3</t>
    <phoneticPr fontId="2" type="noConversion"/>
  </si>
  <si>
    <t>NORSOK - G</t>
    <phoneticPr fontId="2" type="noConversion"/>
  </si>
  <si>
    <t>NORSOK N004 - W1</t>
    <phoneticPr fontId="2" type="noConversion"/>
  </si>
  <si>
    <t>NORSOK N004 - W2</t>
  </si>
  <si>
    <t>NORSOK - W3</t>
    <phoneticPr fontId="2" type="noConversion"/>
  </si>
  <si>
    <t>NORSOK N004 - T</t>
    <phoneticPr fontId="2" type="noConversion"/>
  </si>
  <si>
    <t>EuroCode 3 -160</t>
    <phoneticPr fontId="2" type="noConversion"/>
  </si>
  <si>
    <t>EUROCODE 3 -140</t>
    <phoneticPr fontId="2" type="noConversion"/>
  </si>
  <si>
    <t>EUROCODE 3 -125</t>
    <phoneticPr fontId="2" type="noConversion"/>
  </si>
  <si>
    <t>EUROCODE 3 -112</t>
    <phoneticPr fontId="2" type="noConversion"/>
  </si>
  <si>
    <t>EUROCODE 3 -100</t>
    <phoneticPr fontId="2" type="noConversion"/>
  </si>
  <si>
    <t>EUROCODE 3 -90</t>
    <phoneticPr fontId="2" type="noConversion"/>
  </si>
  <si>
    <t>EUROCODE 3 -80</t>
    <phoneticPr fontId="2" type="noConversion"/>
  </si>
  <si>
    <t>EuroCode 3 -71</t>
    <phoneticPr fontId="2" type="noConversion"/>
  </si>
  <si>
    <t>EuroCode 3 -63</t>
    <phoneticPr fontId="2" type="noConversion"/>
  </si>
  <si>
    <t>Eurocode 3 -56</t>
    <phoneticPr fontId="2" type="noConversion"/>
  </si>
  <si>
    <t>Eurocode 3 -50</t>
    <phoneticPr fontId="2" type="noConversion"/>
  </si>
  <si>
    <t>Eurocode 3 -45</t>
    <phoneticPr fontId="2" type="noConversion"/>
  </si>
  <si>
    <t>Eurocode 3 -40</t>
    <phoneticPr fontId="2" type="noConversion"/>
  </si>
  <si>
    <t>EuroCode 3 -36</t>
    <phoneticPr fontId="2" type="noConversion"/>
  </si>
  <si>
    <t>ISO 13819-2 -B</t>
    <phoneticPr fontId="2" type="noConversion"/>
  </si>
  <si>
    <t>ISO 13819-2 -C</t>
    <phoneticPr fontId="2" type="noConversion"/>
  </si>
  <si>
    <t>ISO 13819-2 -D</t>
    <phoneticPr fontId="2" type="noConversion"/>
  </si>
  <si>
    <t>ISO 13819-2 -E</t>
    <phoneticPr fontId="2" type="noConversion"/>
  </si>
  <si>
    <t>ISO 13819-2 -F</t>
    <phoneticPr fontId="2" type="noConversion"/>
  </si>
  <si>
    <t>ISO 13819-2 -F2</t>
    <phoneticPr fontId="2" type="noConversion"/>
  </si>
  <si>
    <t>ISO 13819-2 -W'</t>
    <phoneticPr fontId="2" type="noConversion"/>
  </si>
  <si>
    <t>ISO 13819-2 -TJ</t>
    <phoneticPr fontId="2" type="noConversion"/>
  </si>
  <si>
    <t>ISO 13819-2 -CJ</t>
    <phoneticPr fontId="2" type="noConversion"/>
  </si>
  <si>
    <t>NK-Unweled Part</t>
    <phoneticPr fontId="2" type="noConversion"/>
  </si>
  <si>
    <t>NK-Weled Part</t>
    <phoneticPr fontId="2" type="noConversion"/>
  </si>
  <si>
    <t>Stress-Strain Behavior</t>
    <phoneticPr fontId="2" type="noConversion"/>
  </si>
  <si>
    <t>Monotonic Stress-Strain Behavior (Ramberg-Osgood)</t>
    <phoneticPr fontId="2" type="noConversion"/>
  </si>
  <si>
    <r>
      <t>e</t>
    </r>
    <r>
      <rPr>
        <sz val="10"/>
        <rFont val="Times New Roman"/>
        <family val="1"/>
      </rPr>
      <t>a, mono</t>
    </r>
    <phoneticPr fontId="3" type="noConversion"/>
  </si>
  <si>
    <t>Monotonic</t>
    <phoneticPr fontId="3" type="noConversion"/>
  </si>
  <si>
    <t>Material</t>
    <phoneticPr fontId="2" type="noConversion"/>
  </si>
  <si>
    <t>HT32</t>
    <phoneticPr fontId="2" type="noConversion"/>
  </si>
  <si>
    <t>E.M</t>
    <phoneticPr fontId="2" type="noConversion"/>
  </si>
  <si>
    <t>Min. sf</t>
    <phoneticPr fontId="2" type="noConversion"/>
  </si>
  <si>
    <t>Min. su</t>
    <phoneticPr fontId="2" type="noConversion"/>
  </si>
  <si>
    <t>K</t>
    <phoneticPr fontId="2" type="noConversion"/>
  </si>
  <si>
    <t>a</t>
    <phoneticPr fontId="2" type="noConversion"/>
  </si>
  <si>
    <t>n</t>
    <phoneticPr fontId="2" type="noConversion"/>
  </si>
  <si>
    <t>s</t>
    <phoneticPr fontId="2" type="noConversion"/>
  </si>
  <si>
    <r>
      <t>e</t>
    </r>
    <r>
      <rPr>
        <sz val="10"/>
        <rFont val="Times New Roman"/>
        <family val="1"/>
      </rPr>
      <t>e</t>
    </r>
    <phoneticPr fontId="2" type="noConversion"/>
  </si>
  <si>
    <r>
      <t>e</t>
    </r>
    <r>
      <rPr>
        <sz val="10"/>
        <rFont val="Times New Roman"/>
        <family val="1"/>
      </rPr>
      <t>p</t>
    </r>
    <phoneticPr fontId="2" type="noConversion"/>
  </si>
  <si>
    <r>
      <t>e</t>
    </r>
    <r>
      <rPr>
        <sz val="10"/>
        <rFont val="Times New Roman"/>
        <family val="1"/>
      </rPr>
      <t>t</t>
    </r>
    <phoneticPr fontId="2" type="noConversion"/>
  </si>
  <si>
    <r>
      <t xml:space="preserve">Monotonic Stress-Strain Behavior (Ramberg-Osgood) </t>
    </r>
    <r>
      <rPr>
        <b/>
        <sz val="14"/>
        <rFont val="굴림체"/>
        <family val="3"/>
        <charset val="129"/>
      </rPr>
      <t>추정값</t>
    </r>
    <phoneticPr fontId="2" type="noConversion"/>
  </si>
  <si>
    <t>E</t>
    <phoneticPr fontId="2" type="noConversion"/>
  </si>
  <si>
    <t>NS</t>
    <phoneticPr fontId="2" type="noConversion"/>
  </si>
  <si>
    <t>HT27</t>
    <phoneticPr fontId="2" type="noConversion"/>
  </si>
  <si>
    <t>HT36</t>
    <phoneticPr fontId="2" type="noConversion"/>
  </si>
  <si>
    <r>
      <t>L</t>
    </r>
    <r>
      <rPr>
        <sz val="10"/>
        <rFont val="Times New Roman"/>
        <family val="1"/>
      </rPr>
      <t>f = (EL+1)*L0</t>
    </r>
    <phoneticPr fontId="2" type="noConversion"/>
  </si>
  <si>
    <r>
      <t>e</t>
    </r>
    <r>
      <rPr>
        <sz val="10"/>
        <rFont val="Times New Roman"/>
        <family val="1"/>
      </rPr>
      <t>y</t>
    </r>
    <phoneticPr fontId="2" type="noConversion"/>
  </si>
  <si>
    <r>
      <t>S</t>
    </r>
    <r>
      <rPr>
        <sz val="10"/>
        <rFont val="Times New Roman"/>
        <family val="1"/>
      </rPr>
      <t>y</t>
    </r>
    <phoneticPr fontId="2" type="noConversion"/>
  </si>
  <si>
    <t>Su</t>
    <phoneticPr fontId="2" type="noConversion"/>
  </si>
  <si>
    <r>
      <t>%</t>
    </r>
    <r>
      <rPr>
        <sz val="10"/>
        <rFont val="Times New Roman"/>
        <family val="1"/>
      </rPr>
      <t>EL</t>
    </r>
    <phoneticPr fontId="2" type="noConversion"/>
  </si>
  <si>
    <r>
      <t>e</t>
    </r>
    <r>
      <rPr>
        <sz val="10"/>
        <rFont val="Times New Roman"/>
        <family val="1"/>
      </rPr>
      <t>f</t>
    </r>
    <phoneticPr fontId="2" type="noConversion"/>
  </si>
  <si>
    <r>
      <t>s</t>
    </r>
    <r>
      <rPr>
        <sz val="10"/>
        <rFont val="Times New Roman"/>
        <family val="1"/>
      </rPr>
      <t>u</t>
    </r>
    <phoneticPr fontId="2" type="noConversion"/>
  </si>
  <si>
    <r>
      <t>s</t>
    </r>
    <r>
      <rPr>
        <sz val="10"/>
        <rFont val="Times New Roman"/>
        <family val="1"/>
      </rPr>
      <t>igma</t>
    </r>
    <phoneticPr fontId="2" type="noConversion"/>
  </si>
  <si>
    <r>
      <t>N</t>
    </r>
    <r>
      <rPr>
        <sz val="10"/>
        <rFont val="Times New Roman"/>
        <family val="1"/>
      </rPr>
      <t>S24</t>
    </r>
    <phoneticPr fontId="2" type="noConversion"/>
  </si>
  <si>
    <r>
      <t>A</t>
    </r>
    <r>
      <rPr>
        <sz val="10"/>
        <rFont val="Times New Roman"/>
        <family val="1"/>
      </rPr>
      <t>H27</t>
    </r>
    <phoneticPr fontId="2" type="noConversion"/>
  </si>
  <si>
    <r>
      <t>A</t>
    </r>
    <r>
      <rPr>
        <sz val="10"/>
        <rFont val="Times New Roman"/>
        <family val="1"/>
      </rPr>
      <t>H32</t>
    </r>
    <phoneticPr fontId="2" type="noConversion"/>
  </si>
  <si>
    <t>AH36</t>
    <phoneticPr fontId="2" type="noConversion"/>
  </si>
  <si>
    <t>t</t>
  </si>
  <si>
    <t>:</t>
  </si>
  <si>
    <t>thickness of the considered flat material, in mm</t>
  </si>
  <si>
    <t>b, R</t>
  </si>
  <si>
    <t>both equal to 25 mm</t>
  </si>
  <si>
    <r>
      <t>L</t>
    </r>
    <r>
      <rPr>
        <vertAlign val="subscript"/>
        <sz val="10"/>
        <rFont val="Arial"/>
        <family val="2"/>
      </rPr>
      <t>0</t>
    </r>
  </si>
  <si>
    <t>gauge length, in mm, equal to:</t>
  </si>
  <si>
    <r>
      <t>where So is the specimen cross-section, in mm</t>
    </r>
    <r>
      <rPr>
        <vertAlign val="superscript"/>
        <sz val="10"/>
        <rFont val="Arial"/>
        <family val="2"/>
      </rPr>
      <t>2</t>
    </r>
  </si>
  <si>
    <r>
      <t>L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may be rounded off the nearest 5 mm provided that the difference between the calculated and the rounded values is less than 10% of L</t>
    </r>
    <r>
      <rPr>
        <vertAlign val="subscript"/>
        <sz val="10"/>
        <rFont val="Arial"/>
        <family val="2"/>
      </rPr>
      <t>0</t>
    </r>
  </si>
  <si>
    <r>
      <t>L</t>
    </r>
    <r>
      <rPr>
        <vertAlign val="subscript"/>
        <sz val="10"/>
        <rFont val="Arial"/>
        <family val="2"/>
      </rPr>
      <t>C</t>
    </r>
  </si>
  <si>
    <t>parallel test length, in mm, equal to:</t>
    <phoneticPr fontId="2" type="noConversion"/>
  </si>
  <si>
    <t>Elongation (%) on a gauge length of 200 mm for thickness t (mm)</t>
    <phoneticPr fontId="2" type="noConversion"/>
  </si>
  <si>
    <t>Strength grade</t>
  </si>
  <si>
    <r>
      <t xml:space="preserve">t </t>
    </r>
    <r>
      <rPr>
        <b/>
        <sz val="8"/>
        <rFont val="Symbol"/>
        <family val="1"/>
        <charset val="2"/>
      </rPr>
      <t>£</t>
    </r>
    <r>
      <rPr>
        <b/>
        <sz val="8"/>
        <rFont val="Arial"/>
        <family val="2"/>
      </rPr>
      <t xml:space="preserve"> 5</t>
    </r>
  </si>
  <si>
    <r>
      <t xml:space="preserve">5 &lt; t </t>
    </r>
    <r>
      <rPr>
        <b/>
        <sz val="8"/>
        <rFont val="Symbol"/>
        <family val="1"/>
        <charset val="2"/>
      </rPr>
      <t>£</t>
    </r>
    <r>
      <rPr>
        <b/>
        <sz val="8"/>
        <rFont val="Arial"/>
        <family val="2"/>
      </rPr>
      <t xml:space="preserve"> 10</t>
    </r>
  </si>
  <si>
    <r>
      <t xml:space="preserve">10 &lt; t </t>
    </r>
    <r>
      <rPr>
        <b/>
        <sz val="8"/>
        <rFont val="Symbol"/>
        <family val="1"/>
        <charset val="2"/>
      </rPr>
      <t>£</t>
    </r>
    <r>
      <rPr>
        <b/>
        <sz val="8"/>
        <rFont val="Arial"/>
        <family val="2"/>
      </rPr>
      <t xml:space="preserve"> 15</t>
    </r>
  </si>
  <si>
    <r>
      <t xml:space="preserve">15 &lt; t </t>
    </r>
    <r>
      <rPr>
        <b/>
        <sz val="8"/>
        <rFont val="Symbol"/>
        <family val="1"/>
        <charset val="2"/>
      </rPr>
      <t>£</t>
    </r>
    <r>
      <rPr>
        <b/>
        <sz val="8"/>
        <rFont val="Arial"/>
        <family val="2"/>
      </rPr>
      <t xml:space="preserve"> 20</t>
    </r>
  </si>
  <si>
    <r>
      <t xml:space="preserve">20 &lt; t </t>
    </r>
    <r>
      <rPr>
        <b/>
        <sz val="8"/>
        <rFont val="Symbol"/>
        <family val="1"/>
        <charset val="2"/>
      </rPr>
      <t>£</t>
    </r>
    <r>
      <rPr>
        <b/>
        <sz val="8"/>
        <rFont val="Arial"/>
        <family val="2"/>
      </rPr>
      <t xml:space="preserve"> 25</t>
    </r>
  </si>
  <si>
    <r>
      <t xml:space="preserve">25 &lt; t </t>
    </r>
    <r>
      <rPr>
        <b/>
        <sz val="8"/>
        <rFont val="Symbol"/>
        <family val="1"/>
        <charset val="2"/>
      </rPr>
      <t>£</t>
    </r>
    <r>
      <rPr>
        <b/>
        <sz val="8"/>
        <rFont val="Arial"/>
        <family val="2"/>
      </rPr>
      <t xml:space="preserve"> 30</t>
    </r>
  </si>
  <si>
    <r>
      <t xml:space="preserve">30 &lt; t </t>
    </r>
    <r>
      <rPr>
        <b/>
        <sz val="8"/>
        <rFont val="Symbol"/>
        <family val="1"/>
        <charset val="2"/>
      </rPr>
      <t>£</t>
    </r>
    <r>
      <rPr>
        <b/>
        <sz val="8"/>
        <rFont val="Arial"/>
        <family val="2"/>
      </rPr>
      <t xml:space="preserve"> 40</t>
    </r>
  </si>
  <si>
    <r>
      <t xml:space="preserve">40 &lt; t </t>
    </r>
    <r>
      <rPr>
        <b/>
        <sz val="8"/>
        <rFont val="Symbol"/>
        <family val="1"/>
        <charset val="2"/>
      </rPr>
      <t>£</t>
    </r>
    <r>
      <rPr>
        <b/>
        <sz val="8"/>
        <rFont val="Arial"/>
        <family val="2"/>
      </rPr>
      <t xml:space="preserve"> 50</t>
    </r>
  </si>
  <si>
    <r>
      <t>s</t>
    </r>
    <r>
      <rPr>
        <sz val="10"/>
        <rFont val="Times New Roman"/>
        <family val="1"/>
      </rPr>
      <t>f '</t>
    </r>
    <phoneticPr fontId="2" type="noConversion"/>
  </si>
  <si>
    <r>
      <t>1</t>
    </r>
    <r>
      <rPr>
        <sz val="10"/>
        <rFont val="Times New Roman"/>
        <family val="1"/>
      </rPr>
      <t>.5su</t>
    </r>
    <phoneticPr fontId="2" type="noConversion"/>
  </si>
  <si>
    <t>b</t>
    <phoneticPr fontId="2" type="noConversion"/>
  </si>
  <si>
    <r>
      <t>e</t>
    </r>
    <r>
      <rPr>
        <sz val="10"/>
        <rFont val="Times New Roman"/>
        <family val="1"/>
      </rPr>
      <t>f '</t>
    </r>
    <phoneticPr fontId="2" type="noConversion"/>
  </si>
  <si>
    <r>
      <t>0</t>
    </r>
    <r>
      <rPr>
        <sz val="10"/>
        <rFont val="Times New Roman"/>
        <family val="1"/>
      </rPr>
      <t>.59p</t>
    </r>
    <phoneticPr fontId="2" type="noConversion"/>
  </si>
  <si>
    <t>c</t>
    <phoneticPr fontId="2" type="noConversion"/>
  </si>
  <si>
    <t>t</t>
    <phoneticPr fontId="2" type="noConversion"/>
  </si>
  <si>
    <r>
      <t>S</t>
    </r>
    <r>
      <rPr>
        <sz val="10"/>
        <rFont val="Times New Roman"/>
        <family val="1"/>
      </rPr>
      <t>o</t>
    </r>
    <phoneticPr fontId="2" type="noConversion"/>
  </si>
  <si>
    <r>
      <t>L</t>
    </r>
    <r>
      <rPr>
        <sz val="10"/>
        <rFont val="Times New Roman"/>
        <family val="1"/>
      </rPr>
      <t>o</t>
    </r>
    <phoneticPr fontId="2" type="noConversion"/>
  </si>
  <si>
    <r>
      <t>L</t>
    </r>
    <r>
      <rPr>
        <sz val="10"/>
        <rFont val="Times New Roman"/>
        <family val="1"/>
      </rPr>
      <t>c</t>
    </r>
    <phoneticPr fontId="2" type="noConversion"/>
  </si>
  <si>
    <r>
      <t>A</t>
    </r>
    <r>
      <rPr>
        <sz val="10"/>
        <rFont val="Times New Roman"/>
        <family val="1"/>
      </rPr>
      <t>5</t>
    </r>
    <phoneticPr fontId="2" type="noConversion"/>
  </si>
  <si>
    <r>
      <t>A</t>
    </r>
    <r>
      <rPr>
        <sz val="10"/>
        <rFont val="Times New Roman"/>
        <family val="1"/>
      </rPr>
      <t>o</t>
    </r>
    <phoneticPr fontId="2" type="noConversion"/>
  </si>
  <si>
    <t>V</t>
    <phoneticPr fontId="2" type="noConversion"/>
  </si>
  <si>
    <r>
      <t>L</t>
    </r>
    <r>
      <rPr>
        <sz val="10"/>
        <rFont val="Times New Roman"/>
        <family val="1"/>
      </rPr>
      <t>f</t>
    </r>
    <phoneticPr fontId="2" type="noConversion"/>
  </si>
  <si>
    <r>
      <t>S</t>
    </r>
    <r>
      <rPr>
        <sz val="10"/>
        <rFont val="Times New Roman"/>
        <family val="1"/>
      </rPr>
      <t>f</t>
    </r>
    <phoneticPr fontId="2" type="noConversion"/>
  </si>
  <si>
    <r>
      <t>s</t>
    </r>
    <r>
      <rPr>
        <sz val="10"/>
        <rFont val="Times New Roman"/>
        <family val="1"/>
      </rPr>
      <t>e^b</t>
    </r>
    <phoneticPr fontId="2" type="noConversion"/>
  </si>
  <si>
    <r>
      <t>e</t>
    </r>
    <r>
      <rPr>
        <sz val="10"/>
        <rFont val="Times New Roman"/>
        <family val="1"/>
      </rPr>
      <t>e^b</t>
    </r>
    <phoneticPr fontId="2" type="noConversion"/>
  </si>
  <si>
    <t>Ne</t>
    <phoneticPr fontId="2" type="noConversion"/>
  </si>
  <si>
    <t>K'</t>
    <phoneticPr fontId="2" type="noConversion"/>
  </si>
  <si>
    <r>
      <t>1</t>
    </r>
    <r>
      <rPr>
        <sz val="10"/>
        <rFont val="Times New Roman"/>
        <family val="1"/>
      </rPr>
      <t>.65su</t>
    </r>
    <phoneticPr fontId="2" type="noConversion"/>
  </si>
  <si>
    <t>n'</t>
    <phoneticPr fontId="2" type="noConversion"/>
  </si>
  <si>
    <r>
      <t>E</t>
    </r>
    <r>
      <rPr>
        <sz val="10"/>
        <rFont val="Times New Roman"/>
        <family val="1"/>
      </rPr>
      <t>lastic modulus</t>
    </r>
    <phoneticPr fontId="2" type="noConversion"/>
  </si>
  <si>
    <t>E</t>
    <phoneticPr fontId="3" type="noConversion"/>
  </si>
  <si>
    <r>
      <t>Cyclic</t>
    </r>
    <r>
      <rPr>
        <sz val="10"/>
        <rFont val="Times New Roman"/>
        <family val="1"/>
      </rPr>
      <t xml:space="preserve"> Strain hardening coefficient</t>
    </r>
    <phoneticPr fontId="2" type="noConversion"/>
  </si>
  <si>
    <r>
      <t>K</t>
    </r>
    <r>
      <rPr>
        <sz val="10"/>
        <rFont val="Times New Roman"/>
        <family val="1"/>
      </rPr>
      <t>'</t>
    </r>
    <phoneticPr fontId="2" type="noConversion"/>
  </si>
  <si>
    <r>
      <t>Y</t>
    </r>
    <r>
      <rPr>
        <sz val="10"/>
        <rFont val="Times New Roman"/>
        <family val="1"/>
      </rPr>
      <t>ield Stress</t>
    </r>
    <phoneticPr fontId="2" type="noConversion"/>
  </si>
  <si>
    <r>
      <t>s</t>
    </r>
    <r>
      <rPr>
        <sz val="10"/>
        <rFont val="Times New Roman"/>
        <family val="1"/>
      </rPr>
      <t>y</t>
    </r>
    <phoneticPr fontId="3" type="noConversion"/>
  </si>
  <si>
    <r>
      <t>Cyclic</t>
    </r>
    <r>
      <rPr>
        <sz val="10"/>
        <rFont val="Times New Roman"/>
        <family val="1"/>
      </rPr>
      <t xml:space="preserve"> Strain hardening </t>
    </r>
    <r>
      <rPr>
        <sz val="10"/>
        <rFont val="Times New Roman"/>
        <family val="1"/>
      </rPr>
      <t>exponent</t>
    </r>
    <phoneticPr fontId="2" type="noConversion"/>
  </si>
  <si>
    <r>
      <t>n</t>
    </r>
    <r>
      <rPr>
        <sz val="10"/>
        <rFont val="Times New Roman"/>
        <family val="1"/>
      </rPr>
      <t>'</t>
    </r>
    <phoneticPr fontId="2" type="noConversion"/>
  </si>
  <si>
    <r>
      <t>S</t>
    </r>
    <r>
      <rPr>
        <sz val="10"/>
        <rFont val="Times New Roman"/>
        <family val="1"/>
      </rPr>
      <t>u</t>
    </r>
    <phoneticPr fontId="2" type="noConversion"/>
  </si>
  <si>
    <r>
      <t>s</t>
    </r>
    <r>
      <rPr>
        <sz val="10"/>
        <rFont val="Times New Roman"/>
        <family val="1"/>
      </rPr>
      <t>'f</t>
    </r>
    <phoneticPr fontId="3" type="noConversion"/>
  </si>
  <si>
    <t>b</t>
    <phoneticPr fontId="3" type="noConversion"/>
  </si>
  <si>
    <r>
      <t>e</t>
    </r>
    <r>
      <rPr>
        <sz val="10"/>
        <rFont val="Times New Roman"/>
        <family val="1"/>
      </rPr>
      <t>'f</t>
    </r>
    <phoneticPr fontId="3" type="noConversion"/>
  </si>
  <si>
    <t>c</t>
    <phoneticPr fontId="3" type="noConversion"/>
  </si>
  <si>
    <r>
      <t>P</t>
    </r>
    <r>
      <rPr>
        <sz val="10"/>
        <rFont val="Times New Roman"/>
        <family val="1"/>
      </rPr>
      <t>swtC</t>
    </r>
    <r>
      <rPr>
        <sz val="10"/>
        <rFont val="Times New Roman"/>
        <family val="1"/>
      </rPr>
      <t>1</t>
    </r>
    <phoneticPr fontId="2" type="noConversion"/>
  </si>
  <si>
    <r>
      <t>P</t>
    </r>
    <r>
      <rPr>
        <sz val="10"/>
        <rFont val="Times New Roman"/>
        <family val="1"/>
      </rPr>
      <t>swtE</t>
    </r>
    <r>
      <rPr>
        <sz val="10"/>
        <rFont val="Times New Roman"/>
        <family val="1"/>
      </rPr>
      <t>1</t>
    </r>
    <phoneticPr fontId="2" type="noConversion"/>
  </si>
  <si>
    <r>
      <t>U</t>
    </r>
    <r>
      <rPr>
        <sz val="10"/>
        <rFont val="Times New Roman"/>
        <family val="1"/>
      </rPr>
      <t>ltimate Stress</t>
    </r>
    <phoneticPr fontId="2" type="noConversion"/>
  </si>
  <si>
    <r>
      <t>s</t>
    </r>
    <r>
      <rPr>
        <sz val="10"/>
        <rFont val="Times New Roman"/>
        <family val="1"/>
      </rPr>
      <t>u</t>
    </r>
    <phoneticPr fontId="3" type="noConversion"/>
  </si>
  <si>
    <r>
      <t>P</t>
    </r>
    <r>
      <rPr>
        <sz val="10"/>
        <rFont val="Times New Roman"/>
        <family val="1"/>
      </rPr>
      <t xml:space="preserve">olak(1991), </t>
    </r>
    <r>
      <rPr>
        <b/>
        <sz val="10"/>
        <rFont val="Times New Roman"/>
        <family val="1"/>
      </rPr>
      <t>E36</t>
    </r>
    <phoneticPr fontId="2" type="noConversion"/>
  </si>
  <si>
    <r>
      <t>F</t>
    </r>
    <r>
      <rPr>
        <sz val="10"/>
        <rFont val="Times New Roman"/>
        <family val="1"/>
      </rPr>
      <t>atigue strength coefficient</t>
    </r>
    <phoneticPr fontId="2" type="noConversion"/>
  </si>
  <si>
    <r>
      <t>T</t>
    </r>
    <r>
      <rPr>
        <sz val="10"/>
        <rFont val="Times New Roman"/>
        <family val="1"/>
      </rPr>
      <t xml:space="preserve">ruchon(1980), </t>
    </r>
    <r>
      <rPr>
        <b/>
        <sz val="10"/>
        <rFont val="Times New Roman"/>
        <family val="1"/>
      </rPr>
      <t>E36</t>
    </r>
    <phoneticPr fontId="2" type="noConversion"/>
  </si>
  <si>
    <r>
      <t xml:space="preserve">Fatigue </t>
    </r>
    <r>
      <rPr>
        <sz val="10"/>
        <rFont val="Times New Roman"/>
        <family val="1"/>
      </rPr>
      <t>s</t>
    </r>
    <r>
      <rPr>
        <sz val="10"/>
        <rFont val="Times New Roman"/>
        <family val="1"/>
      </rPr>
      <t xml:space="preserve">trength </t>
    </r>
    <r>
      <rPr>
        <sz val="10"/>
        <rFont val="Times New Roman"/>
        <family val="1"/>
      </rPr>
      <t>exponent</t>
    </r>
    <phoneticPr fontId="2" type="noConversion"/>
  </si>
  <si>
    <r>
      <t>P</t>
    </r>
    <r>
      <rPr>
        <sz val="10"/>
        <rFont val="Times New Roman"/>
        <family val="1"/>
      </rPr>
      <t xml:space="preserve">aetzold, 1990, </t>
    </r>
    <r>
      <rPr>
        <b/>
        <sz val="10"/>
        <rFont val="Times New Roman"/>
        <family val="1"/>
      </rPr>
      <t>Frame cut edge(N.S)</t>
    </r>
    <r>
      <rPr>
        <sz val="10"/>
        <rFont val="Times New Roman"/>
        <family val="1"/>
      </rPr>
      <t>, GL-Tech. Fratigue Stength of Ship Structure, Part-I 5.2.2</t>
    </r>
    <phoneticPr fontId="2" type="noConversion"/>
  </si>
  <si>
    <r>
      <t>M</t>
    </r>
    <r>
      <rPr>
        <sz val="10"/>
        <rFont val="Times New Roman"/>
        <family val="1"/>
      </rPr>
      <t>onotonic Strain hardening coefficient</t>
    </r>
    <phoneticPr fontId="2" type="noConversion"/>
  </si>
  <si>
    <r>
      <t>F</t>
    </r>
    <r>
      <rPr>
        <sz val="10"/>
        <rFont val="Times New Roman"/>
        <family val="1"/>
      </rPr>
      <t xml:space="preserve">atigue </t>
    </r>
    <r>
      <rPr>
        <sz val="10"/>
        <rFont val="Times New Roman"/>
        <family val="1"/>
      </rPr>
      <t>d</t>
    </r>
    <r>
      <rPr>
        <sz val="10"/>
        <rFont val="Times New Roman"/>
        <family val="1"/>
      </rPr>
      <t xml:space="preserve">uctility </t>
    </r>
    <r>
      <rPr>
        <sz val="10"/>
        <rFont val="Times New Roman"/>
        <family val="1"/>
      </rPr>
      <t>c</t>
    </r>
    <r>
      <rPr>
        <sz val="10"/>
        <rFont val="Times New Roman"/>
        <family val="1"/>
      </rPr>
      <t>oefficient</t>
    </r>
    <phoneticPr fontId="2" type="noConversion"/>
  </si>
  <si>
    <r>
      <t>P</t>
    </r>
    <r>
      <rPr>
        <sz val="10"/>
        <rFont val="Times New Roman"/>
        <family val="1"/>
      </rPr>
      <t xml:space="preserve">aetzold, 1990, </t>
    </r>
    <r>
      <rPr>
        <b/>
        <sz val="10"/>
        <rFont val="Times New Roman"/>
        <family val="1"/>
      </rPr>
      <t>DH36</t>
    </r>
    <r>
      <rPr>
        <sz val="10"/>
        <rFont val="Times New Roman"/>
        <family val="1"/>
      </rPr>
      <t>, GL-Tech. Fratigue Stength of Ship Structure, Part-II 4.3.4</t>
    </r>
    <phoneticPr fontId="2" type="noConversion"/>
  </si>
  <si>
    <r>
      <t>M</t>
    </r>
    <r>
      <rPr>
        <sz val="10"/>
        <rFont val="Times New Roman"/>
        <family val="1"/>
      </rPr>
      <t xml:space="preserve">onotonic Strain hardening </t>
    </r>
    <r>
      <rPr>
        <sz val="10"/>
        <rFont val="Times New Roman"/>
        <family val="1"/>
      </rPr>
      <t>exponent</t>
    </r>
    <phoneticPr fontId="2" type="noConversion"/>
  </si>
  <si>
    <r>
      <t>F</t>
    </r>
    <r>
      <rPr>
        <sz val="10"/>
        <rFont val="Times New Roman"/>
        <family val="1"/>
      </rPr>
      <t xml:space="preserve">atigue </t>
    </r>
    <r>
      <rPr>
        <sz val="10"/>
        <rFont val="Times New Roman"/>
        <family val="1"/>
      </rPr>
      <t>d</t>
    </r>
    <r>
      <rPr>
        <sz val="10"/>
        <rFont val="Times New Roman"/>
        <family val="1"/>
      </rPr>
      <t xml:space="preserve">uctility </t>
    </r>
    <r>
      <rPr>
        <sz val="10"/>
        <rFont val="Times New Roman"/>
        <family val="1"/>
      </rPr>
      <t>exponent</t>
    </r>
    <phoneticPr fontId="2" type="noConversion"/>
  </si>
  <si>
    <t>test</t>
    <phoneticPr fontId="2" type="noConversion"/>
  </si>
  <si>
    <t>Strain -Life Curve</t>
    <phoneticPr fontId="2" type="noConversion"/>
  </si>
  <si>
    <t>Strain - Life Analysis</t>
    <phoneticPr fontId="2" type="noConversion"/>
  </si>
  <si>
    <t>Neuber's Rules</t>
    <phoneticPr fontId="2" type="noConversion"/>
  </si>
  <si>
    <r>
      <t>E</t>
    </r>
    <r>
      <rPr>
        <sz val="10"/>
        <rFont val="Times New Roman"/>
        <family val="1"/>
      </rPr>
      <t>lastic Local Stress Amplitude</t>
    </r>
    <phoneticPr fontId="2" type="noConversion"/>
  </si>
  <si>
    <r>
      <t>P</t>
    </r>
    <r>
      <rPr>
        <sz val="10"/>
        <rFont val="Times New Roman"/>
        <family val="1"/>
      </rPr>
      <t>lastic Local Stress Amplitude</t>
    </r>
    <phoneticPr fontId="2" type="noConversion"/>
  </si>
  <si>
    <r>
      <t>e</t>
    </r>
    <r>
      <rPr>
        <sz val="10"/>
        <rFont val="Times New Roman"/>
        <family val="1"/>
      </rPr>
      <t>e</t>
    </r>
    <phoneticPr fontId="3" type="noConversion"/>
  </si>
  <si>
    <r>
      <t>e</t>
    </r>
    <r>
      <rPr>
        <sz val="10"/>
        <rFont val="Times New Roman"/>
        <family val="1"/>
      </rPr>
      <t>p</t>
    </r>
    <phoneticPr fontId="3" type="noConversion"/>
  </si>
  <si>
    <r>
      <t>e</t>
    </r>
    <r>
      <rPr>
        <sz val="10"/>
        <rFont val="Times New Roman"/>
        <family val="1"/>
      </rPr>
      <t>t</t>
    </r>
    <phoneticPr fontId="3" type="noConversion"/>
  </si>
  <si>
    <t>Stress/Strain   : Upper</t>
    <phoneticPr fontId="2" type="noConversion"/>
  </si>
  <si>
    <r>
      <t>Transition Life (</t>
    </r>
    <r>
      <rPr>
        <sz val="10"/>
        <rFont val="Times New Roman"/>
        <family val="1"/>
      </rPr>
      <t>Nt) =</t>
    </r>
    <phoneticPr fontId="3" type="noConversion"/>
  </si>
  <si>
    <r>
      <t xml:space="preserve"> </t>
    </r>
    <r>
      <rPr>
        <sz val="10"/>
        <rFont val="Times New Roman"/>
        <family val="1"/>
      </rPr>
      <t xml:space="preserve">                         : Lower</t>
    </r>
    <phoneticPr fontId="2" type="noConversion"/>
  </si>
  <si>
    <r>
      <t>Elastic Strain (</t>
    </r>
    <r>
      <rPr>
        <sz val="10"/>
        <rFont val="Symbol"/>
        <family val="1"/>
        <charset val="2"/>
      </rPr>
      <t>e</t>
    </r>
    <r>
      <rPr>
        <sz val="10"/>
        <rFont val="Times New Roman"/>
        <family val="1"/>
      </rPr>
      <t>e) =</t>
    </r>
    <phoneticPr fontId="2" type="noConversion"/>
  </si>
  <si>
    <r>
      <t>Stress</t>
    </r>
    <r>
      <rPr>
        <sz val="10"/>
        <rFont val="Times New Roman"/>
        <family val="1"/>
      </rPr>
      <t>/Srain Range</t>
    </r>
    <phoneticPr fontId="2" type="noConversion"/>
  </si>
  <si>
    <r>
      <t xml:space="preserve">Plastic Strain ( </t>
    </r>
    <r>
      <rPr>
        <sz val="10"/>
        <rFont val="Symbol"/>
        <family val="1"/>
        <charset val="2"/>
      </rPr>
      <t>e</t>
    </r>
    <r>
      <rPr>
        <sz val="10"/>
        <rFont val="Times New Roman"/>
        <family val="1"/>
      </rPr>
      <t>p)  =</t>
    </r>
    <phoneticPr fontId="3" type="noConversion"/>
  </si>
  <si>
    <t>Mean Stress / Strain</t>
    <phoneticPr fontId="2" type="noConversion"/>
  </si>
  <si>
    <r>
      <t xml:space="preserve">Total Strain ( </t>
    </r>
    <r>
      <rPr>
        <sz val="10"/>
        <rFont val="Symbol"/>
        <family val="1"/>
        <charset val="2"/>
      </rPr>
      <t>e</t>
    </r>
    <r>
      <rPr>
        <sz val="10"/>
        <rFont val="Times New Roman"/>
        <family val="1"/>
      </rPr>
      <t>t ) =</t>
    </r>
    <phoneticPr fontId="3" type="noConversion"/>
  </si>
  <si>
    <t>Maximum Stress / Strain</t>
    <phoneticPr fontId="2" type="noConversion"/>
  </si>
  <si>
    <t>Number of cycle - N  =</t>
    <phoneticPr fontId="2" type="noConversion"/>
  </si>
  <si>
    <r>
      <t>S</t>
    </r>
    <r>
      <rPr>
        <sz val="10"/>
        <rFont val="Times New Roman"/>
        <family val="1"/>
      </rPr>
      <t>rain-Life</t>
    </r>
    <phoneticPr fontId="2" type="noConversion"/>
  </si>
  <si>
    <t>D</t>
    <phoneticPr fontId="2" type="noConversion"/>
  </si>
  <si>
    <r>
      <t>M</t>
    </r>
    <r>
      <rPr>
        <sz val="10"/>
        <rFont val="Times New Roman"/>
        <family val="1"/>
      </rPr>
      <t>orrow</t>
    </r>
    <r>
      <rPr>
        <sz val="10"/>
        <rFont val="Times New Roman"/>
        <family val="1"/>
      </rPr>
      <t xml:space="preserve"> Method</t>
    </r>
    <phoneticPr fontId="2" type="noConversion"/>
  </si>
  <si>
    <r>
      <t>Total Strain ( Et</t>
    </r>
    <r>
      <rPr>
        <sz val="10"/>
        <rFont val="Times New Roman"/>
        <family val="1"/>
      </rPr>
      <t>,a</t>
    </r>
    <r>
      <rPr>
        <sz val="10"/>
        <rFont val="Times New Roman"/>
        <family val="1"/>
      </rPr>
      <t xml:space="preserve"> ) =</t>
    </r>
    <phoneticPr fontId="3" type="noConversion"/>
  </si>
  <si>
    <r>
      <t>S</t>
    </r>
    <r>
      <rPr>
        <sz val="10"/>
        <rFont val="Times New Roman"/>
        <family val="1"/>
      </rPr>
      <t>WT Method</t>
    </r>
    <phoneticPr fontId="2" type="noConversion"/>
  </si>
  <si>
    <t>from Pswt-N Curve</t>
    <phoneticPr fontId="2" type="noConversion"/>
  </si>
  <si>
    <r>
      <t>P</t>
    </r>
    <r>
      <rPr>
        <sz val="10"/>
        <rFont val="Times New Roman"/>
        <family val="1"/>
      </rPr>
      <t>swt</t>
    </r>
    <phoneticPr fontId="2" type="noConversion"/>
  </si>
  <si>
    <r>
      <t>P</t>
    </r>
    <r>
      <rPr>
        <sz val="10"/>
        <rFont val="Times New Roman"/>
        <family val="1"/>
      </rPr>
      <t>swt_coef</t>
    </r>
    <phoneticPr fontId="2" type="noConversion"/>
  </si>
  <si>
    <r>
      <t>P</t>
    </r>
    <r>
      <rPr>
        <sz val="10"/>
        <rFont val="Times New Roman"/>
        <family val="1"/>
      </rPr>
      <t>swt_exp</t>
    </r>
    <phoneticPr fontId="2" type="noConversion"/>
  </si>
  <si>
    <r>
      <t>P</t>
    </r>
    <r>
      <rPr>
        <sz val="10"/>
        <rFont val="Times New Roman"/>
        <family val="1"/>
      </rPr>
      <t>swt_Cof</t>
    </r>
    <phoneticPr fontId="2" type="noConversion"/>
  </si>
  <si>
    <r>
      <t>P</t>
    </r>
    <r>
      <rPr>
        <sz val="10"/>
        <rFont val="Times New Roman"/>
        <family val="1"/>
      </rPr>
      <t>swt_Exp</t>
    </r>
    <phoneticPr fontId="2" type="noConversion"/>
  </si>
  <si>
    <r>
      <t xml:space="preserve">1. </t>
    </r>
    <r>
      <rPr>
        <sz val="10"/>
        <rFont val="Times New Roman"/>
        <family val="1"/>
      </rPr>
      <t>P</t>
    </r>
    <r>
      <rPr>
        <sz val="10"/>
        <rFont val="Times New Roman"/>
        <family val="1"/>
      </rPr>
      <t xml:space="preserve">aetzold, 1990, </t>
    </r>
    <r>
      <rPr>
        <b/>
        <sz val="10"/>
        <rFont val="Times New Roman"/>
        <family val="1"/>
      </rPr>
      <t>Frame cut edge</t>
    </r>
    <r>
      <rPr>
        <sz val="10"/>
        <rFont val="Times New Roman"/>
        <family val="1"/>
      </rPr>
      <t>, GL-Tech. Fratigue Stength of Ship Structure, Part-I 5.2.2</t>
    </r>
    <phoneticPr fontId="2" type="noConversion"/>
  </si>
  <si>
    <r>
      <t xml:space="preserve">2. </t>
    </r>
    <r>
      <rPr>
        <sz val="10"/>
        <rFont val="Times New Roman"/>
        <family val="1"/>
      </rPr>
      <t>P</t>
    </r>
    <r>
      <rPr>
        <sz val="10"/>
        <rFont val="Times New Roman"/>
        <family val="1"/>
      </rPr>
      <t xml:space="preserve">aetzold, 1990, </t>
    </r>
    <r>
      <rPr>
        <b/>
        <sz val="10"/>
        <rFont val="Times New Roman"/>
        <family val="1"/>
      </rPr>
      <t>DH36</t>
    </r>
    <r>
      <rPr>
        <sz val="10"/>
        <rFont val="Times New Roman"/>
        <family val="1"/>
      </rPr>
      <t>, GL-Tech. Part-II Fratigue Stength of Ship Structure, Part-II 4.3.4</t>
    </r>
    <phoneticPr fontId="2" type="noConversion"/>
  </si>
  <si>
    <r>
      <t>S</t>
    </r>
    <r>
      <rPr>
        <sz val="10"/>
        <rFont val="Times New Roman"/>
        <family val="1"/>
      </rPr>
      <t>a</t>
    </r>
    <phoneticPr fontId="2" type="noConversion"/>
  </si>
  <si>
    <r>
      <t>K</t>
    </r>
    <r>
      <rPr>
        <sz val="10"/>
        <rFont val="Times New Roman"/>
        <family val="1"/>
      </rPr>
      <t>t</t>
    </r>
    <phoneticPr fontId="2" type="noConversion"/>
  </si>
  <si>
    <r>
      <t>R</t>
    </r>
    <r>
      <rPr>
        <sz val="10"/>
        <rFont val="Times New Roman"/>
        <family val="1"/>
      </rPr>
      <t>esult</t>
    </r>
    <phoneticPr fontId="2" type="noConversion"/>
  </si>
  <si>
    <t>Estimation of Merial Cycle Properties</t>
    <phoneticPr fontId="2" type="noConversion"/>
  </si>
  <si>
    <r>
      <t>R</t>
    </r>
    <r>
      <rPr>
        <sz val="10"/>
        <rFont val="Times New Roman"/>
        <family val="1"/>
      </rPr>
      <t xml:space="preserve">m </t>
    </r>
    <phoneticPr fontId="2" type="noConversion"/>
  </si>
  <si>
    <r>
      <t>s</t>
    </r>
    <r>
      <rPr>
        <sz val="10"/>
        <rFont val="Times New Roman"/>
        <family val="1"/>
      </rPr>
      <t>f</t>
    </r>
    <phoneticPr fontId="2" type="noConversion"/>
  </si>
  <si>
    <r>
      <t>a</t>
    </r>
    <r>
      <rPr>
        <sz val="10"/>
        <rFont val="Times New Roman"/>
        <family val="1"/>
      </rPr>
      <t>lpha</t>
    </r>
    <phoneticPr fontId="2" type="noConversion"/>
  </si>
  <si>
    <t>Monotonic</t>
    <phoneticPr fontId="2" type="noConversion"/>
  </si>
  <si>
    <t>Cyclic</t>
    <phoneticPr fontId="2" type="noConversion"/>
  </si>
  <si>
    <t xml:space="preserve"> </t>
    <phoneticPr fontId="2" type="noConversion"/>
  </si>
  <si>
    <t>Cyclic</t>
    <phoneticPr fontId="3" type="noConversion"/>
  </si>
  <si>
    <t>e</t>
    <phoneticPr fontId="2" type="noConversion"/>
  </si>
  <si>
    <r>
      <t>s</t>
    </r>
    <r>
      <rPr>
        <sz val="10"/>
        <rFont val="Times New Roman"/>
        <family val="1"/>
      </rPr>
      <t>y</t>
    </r>
    <phoneticPr fontId="2" type="noConversion"/>
  </si>
  <si>
    <r>
      <t>T</t>
    </r>
    <r>
      <rPr>
        <sz val="10"/>
        <rFont val="Times New Roman"/>
        <family val="1"/>
      </rPr>
      <t>. Life(2N)</t>
    </r>
    <phoneticPr fontId="2" type="noConversion"/>
  </si>
  <si>
    <r>
      <t>S</t>
    </r>
    <r>
      <rPr>
        <sz val="10"/>
        <rFont val="Times New Roman"/>
        <family val="1"/>
      </rPr>
      <t>tress &amp; Strain</t>
    </r>
    <phoneticPr fontId="2" type="noConversion"/>
  </si>
  <si>
    <r>
      <t>U</t>
    </r>
    <r>
      <rPr>
        <sz val="10"/>
        <rFont val="Times New Roman"/>
        <family val="1"/>
      </rPr>
      <t>pper</t>
    </r>
    <phoneticPr fontId="2" type="noConversion"/>
  </si>
  <si>
    <r>
      <t>L</t>
    </r>
    <r>
      <rPr>
        <sz val="10"/>
        <rFont val="Times New Roman"/>
        <family val="1"/>
      </rPr>
      <t>ower</t>
    </r>
    <phoneticPr fontId="2" type="noConversion"/>
  </si>
  <si>
    <r>
      <t>S</t>
    </r>
    <r>
      <rPr>
        <sz val="10"/>
        <rFont val="Times New Roman"/>
        <family val="1"/>
      </rPr>
      <t>R</t>
    </r>
    <phoneticPr fontId="2" type="noConversion"/>
  </si>
  <si>
    <r>
      <t>S</t>
    </r>
    <r>
      <rPr>
        <sz val="10"/>
        <rFont val="Times New Roman"/>
        <family val="1"/>
      </rPr>
      <t>m</t>
    </r>
    <phoneticPr fontId="2" type="noConversion"/>
  </si>
  <si>
    <r>
      <t>S</t>
    </r>
    <r>
      <rPr>
        <sz val="10"/>
        <rFont val="Times New Roman"/>
        <family val="1"/>
      </rPr>
      <t>max</t>
    </r>
    <phoneticPr fontId="2" type="noConversion"/>
  </si>
  <si>
    <r>
      <t>e</t>
    </r>
    <r>
      <rPr>
        <sz val="10"/>
        <rFont val="Times New Roman"/>
        <family val="1"/>
      </rPr>
      <t>R</t>
    </r>
    <r>
      <rPr>
        <sz val="10"/>
        <rFont val="Times New Roman"/>
        <family val="1"/>
      </rPr>
      <t>/2</t>
    </r>
    <phoneticPr fontId="2" type="noConversion"/>
  </si>
  <si>
    <r>
      <t>M</t>
    </r>
    <r>
      <rPr>
        <sz val="10"/>
        <rFont val="Times New Roman"/>
        <family val="1"/>
      </rPr>
      <t>orrow</t>
    </r>
    <phoneticPr fontId="2" type="noConversion"/>
  </si>
  <si>
    <r>
      <t>S</t>
    </r>
    <r>
      <rPr>
        <sz val="10"/>
        <rFont val="Times New Roman"/>
        <family val="1"/>
      </rPr>
      <t>WT</t>
    </r>
    <phoneticPr fontId="2" type="noConversion"/>
  </si>
  <si>
    <t>공칭 응력 (NOMINAL STRESS) 의 계산</t>
    <phoneticPr fontId="3" type="noConversion"/>
  </si>
  <si>
    <t>x</t>
    <phoneticPr fontId="3" type="noConversion"/>
  </si>
  <si>
    <t>SF</t>
    <phoneticPr fontId="3" type="noConversion"/>
  </si>
  <si>
    <t>BM</t>
    <phoneticPr fontId="3" type="noConversion"/>
  </si>
  <si>
    <t>M</t>
    <phoneticPr fontId="3" type="noConversion"/>
  </si>
  <si>
    <t>q</t>
    <phoneticPr fontId="3" type="noConversion"/>
  </si>
  <si>
    <t>L</t>
    <phoneticPr fontId="3" type="noConversion"/>
  </si>
  <si>
    <t>a</t>
    <phoneticPr fontId="3" type="noConversion"/>
  </si>
  <si>
    <t>I</t>
    <phoneticPr fontId="3" type="noConversion"/>
  </si>
  <si>
    <t>h</t>
    <phoneticPr fontId="3" type="noConversion"/>
  </si>
  <si>
    <t>Ny</t>
    <phoneticPr fontId="3" type="noConversion"/>
  </si>
  <si>
    <t>S_nom</t>
    <phoneticPr fontId="3" type="noConversion"/>
  </si>
  <si>
    <t xml:space="preserve">      P</t>
    <phoneticPr fontId="3" type="noConversion"/>
  </si>
  <si>
    <t xml:space="preserve">    a</t>
    <phoneticPr fontId="3" type="noConversion"/>
  </si>
  <si>
    <t xml:space="preserve">          b</t>
    <phoneticPr fontId="3" type="noConversion"/>
  </si>
  <si>
    <t xml:space="preserve">   L</t>
    <phoneticPr fontId="3" type="noConversion"/>
  </si>
  <si>
    <t>P</t>
    <phoneticPr fontId="3" type="noConversion"/>
  </si>
  <si>
    <t>X</t>
    <phoneticPr fontId="3" type="noConversion"/>
  </si>
  <si>
    <t>Hot Spot Stress Calculation</t>
  </si>
  <si>
    <t>The thickness of base plate  :</t>
  </si>
  <si>
    <t>mm</t>
    <phoneticPr fontId="3" type="noConversion"/>
  </si>
  <si>
    <t>Welding Leg Length            :</t>
  </si>
  <si>
    <t>Mesh Size :</t>
    <phoneticPr fontId="3" type="noConversion"/>
  </si>
  <si>
    <t>Identification</t>
    <phoneticPr fontId="3" type="noConversion"/>
  </si>
  <si>
    <t>x1</t>
  </si>
  <si>
    <t>x2</t>
  </si>
  <si>
    <t>x3</t>
  </si>
  <si>
    <t>x4</t>
  </si>
  <si>
    <t>Hot Spot</t>
  </si>
  <si>
    <t>0.5t</t>
    <phoneticPr fontId="3" type="noConversion"/>
  </si>
  <si>
    <t>1.5t</t>
  </si>
  <si>
    <r>
      <t>V</t>
    </r>
    <r>
      <rPr>
        <sz val="10"/>
        <rFont val="Times New Roman"/>
        <family val="1"/>
      </rPr>
      <t>WBS, HOG</t>
    </r>
    <phoneticPr fontId="3" type="noConversion"/>
  </si>
  <si>
    <r>
      <t>V</t>
    </r>
    <r>
      <rPr>
        <sz val="10"/>
        <rFont val="Times New Roman"/>
        <family val="1"/>
      </rPr>
      <t>WBS, SAG</t>
    </r>
    <phoneticPr fontId="3" type="noConversion"/>
  </si>
  <si>
    <r>
      <t>H</t>
    </r>
    <r>
      <rPr>
        <sz val="10"/>
        <rFont val="Times New Roman"/>
        <family val="1"/>
      </rPr>
      <t>WBS, FULL</t>
    </r>
    <phoneticPr fontId="3" type="noConversion"/>
  </si>
  <si>
    <r>
      <t>H</t>
    </r>
    <r>
      <rPr>
        <sz val="10"/>
        <rFont val="Times New Roman"/>
        <family val="1"/>
      </rPr>
      <t>WBS, BALLAST</t>
    </r>
    <phoneticPr fontId="3" type="noConversion"/>
  </si>
  <si>
    <r>
      <t>L</t>
    </r>
    <r>
      <rPr>
        <sz val="10"/>
        <rFont val="Times New Roman"/>
        <family val="1"/>
      </rPr>
      <t>C.1 FLC ED</t>
    </r>
    <phoneticPr fontId="3" type="noConversion"/>
  </si>
  <si>
    <r>
      <t>L</t>
    </r>
    <r>
      <rPr>
        <sz val="10"/>
        <rFont val="Times New Roman"/>
        <family val="1"/>
      </rPr>
      <t>C.2 FLC ID</t>
    </r>
    <phoneticPr fontId="3" type="noConversion"/>
  </si>
  <si>
    <r>
      <t>LC.3</t>
    </r>
    <r>
      <rPr>
        <sz val="10"/>
        <rFont val="Times New Roman"/>
        <family val="1"/>
      </rPr>
      <t xml:space="preserve"> </t>
    </r>
    <r>
      <rPr>
        <sz val="10"/>
        <rFont val="Times New Roman"/>
        <family val="1"/>
      </rPr>
      <t>FLC</t>
    </r>
    <r>
      <rPr>
        <sz val="10"/>
        <rFont val="Times New Roman"/>
        <family val="1"/>
      </rPr>
      <t xml:space="preserve"> </t>
    </r>
    <r>
      <rPr>
        <sz val="10"/>
        <rFont val="Times New Roman"/>
        <family val="1"/>
      </rPr>
      <t>ES</t>
    </r>
    <r>
      <rPr>
        <sz val="10"/>
        <rFont val="Times New Roman"/>
        <family val="1"/>
      </rPr>
      <t>-</t>
    </r>
    <r>
      <rPr>
        <sz val="10"/>
        <rFont val="Times New Roman"/>
        <family val="1"/>
      </rPr>
      <t>IS</t>
    </r>
    <phoneticPr fontId="3" type="noConversion"/>
  </si>
  <si>
    <r>
      <t>LC.</t>
    </r>
    <r>
      <rPr>
        <sz val="10"/>
        <rFont val="Times New Roman"/>
        <family val="1"/>
      </rPr>
      <t xml:space="preserve">4 </t>
    </r>
    <r>
      <rPr>
        <sz val="10"/>
        <rFont val="Times New Roman"/>
        <family val="1"/>
      </rPr>
      <t>BLC</t>
    </r>
    <r>
      <rPr>
        <sz val="10"/>
        <rFont val="Times New Roman"/>
        <family val="1"/>
      </rPr>
      <t xml:space="preserve"> ED</t>
    </r>
    <phoneticPr fontId="3" type="noConversion"/>
  </si>
  <si>
    <r>
      <t>L</t>
    </r>
    <r>
      <rPr>
        <sz val="10"/>
        <rFont val="Times New Roman"/>
        <family val="1"/>
      </rPr>
      <t>C.5 BLC ID</t>
    </r>
    <phoneticPr fontId="3" type="noConversion"/>
  </si>
  <si>
    <r>
      <t>L</t>
    </r>
    <r>
      <rPr>
        <sz val="10"/>
        <rFont val="Times New Roman"/>
        <family val="1"/>
      </rPr>
      <t>C.6 BLC ES-IS</t>
    </r>
    <phoneticPr fontId="3" type="noConversion"/>
  </si>
  <si>
    <r>
      <t>L</t>
    </r>
    <r>
      <rPr>
        <sz val="10"/>
        <rFont val="Times New Roman"/>
        <family val="1"/>
      </rPr>
      <t>C.6 ALT ES-IS</t>
    </r>
    <phoneticPr fontId="3" type="noConversion"/>
  </si>
  <si>
    <r>
      <t>L</t>
    </r>
    <r>
      <rPr>
        <sz val="10"/>
        <rFont val="Times New Roman"/>
        <family val="1"/>
      </rPr>
      <t>C.6 ZIG-ZAG ES-IS</t>
    </r>
    <phoneticPr fontId="3" type="noConversion"/>
  </si>
  <si>
    <r>
      <t>L</t>
    </r>
    <r>
      <rPr>
        <sz val="10"/>
        <rFont val="Times New Roman"/>
        <family val="1"/>
      </rPr>
      <t>C.6 SWBH</t>
    </r>
    <phoneticPr fontId="3" type="noConversion"/>
  </si>
  <si>
    <r>
      <t>L</t>
    </r>
    <r>
      <rPr>
        <sz val="10"/>
        <rFont val="Times New Roman"/>
        <family val="1"/>
      </rPr>
      <t>C.6 SWBS</t>
    </r>
    <phoneticPr fontId="3" type="noConversion"/>
  </si>
  <si>
    <t>Location No. 1 - Layer : Z1, X- direction</t>
    <phoneticPr fontId="3" type="noConversion"/>
  </si>
  <si>
    <r>
      <t>L</t>
    </r>
    <r>
      <rPr>
        <sz val="10"/>
        <rFont val="Times New Roman"/>
        <family val="1"/>
      </rPr>
      <t>C.1 Full loaded cond'n - External dynamic</t>
    </r>
    <phoneticPr fontId="3" type="noConversion"/>
  </si>
  <si>
    <r>
      <t>L</t>
    </r>
    <r>
      <rPr>
        <sz val="10"/>
        <rFont val="Times New Roman"/>
        <family val="1"/>
      </rPr>
      <t>C.2 Full loaded cond'n - Internal dynamic</t>
    </r>
    <phoneticPr fontId="3" type="noConversion"/>
  </si>
  <si>
    <r>
      <t>L</t>
    </r>
    <r>
      <rPr>
        <sz val="10"/>
        <rFont val="Times New Roman"/>
        <family val="1"/>
      </rPr>
      <t>C.3 Full loaded cond'n - External + Internal Static</t>
    </r>
    <phoneticPr fontId="3" type="noConversion"/>
  </si>
  <si>
    <r>
      <t>L</t>
    </r>
    <r>
      <rPr>
        <sz val="10"/>
        <rFont val="Times New Roman"/>
        <family val="1"/>
      </rPr>
      <t>C.4 Ballast cond'n - External dynamic</t>
    </r>
    <phoneticPr fontId="3" type="noConversion"/>
  </si>
  <si>
    <r>
      <t>L</t>
    </r>
    <r>
      <rPr>
        <sz val="10"/>
        <rFont val="Times New Roman"/>
        <family val="1"/>
      </rPr>
      <t>C.5 Ballast cond'n - Internal dynamic</t>
    </r>
    <phoneticPr fontId="3" type="noConversion"/>
  </si>
  <si>
    <r>
      <t>L</t>
    </r>
    <r>
      <rPr>
        <sz val="10"/>
        <rFont val="Times New Roman"/>
        <family val="1"/>
      </rPr>
      <t>C.6 Ballast cond'n - External + Internal Static</t>
    </r>
    <phoneticPr fontId="3" type="noConversion"/>
  </si>
  <si>
    <r>
      <t>Ver. Wave Bending Stress for hogging cond'n</t>
    </r>
    <r>
      <rPr>
        <sz val="10"/>
        <rFont val="Times New Roman"/>
        <family val="1"/>
      </rPr>
      <t/>
    </r>
    <phoneticPr fontId="3" type="noConversion"/>
  </si>
  <si>
    <r>
      <t xml:space="preserve">Ver. Wave Bending Stress for </t>
    </r>
    <r>
      <rPr>
        <sz val="10"/>
        <rFont val="Times New Roman"/>
        <family val="1"/>
      </rPr>
      <t>sag</t>
    </r>
    <r>
      <rPr>
        <sz val="10"/>
        <rFont val="Times New Roman"/>
        <family val="1"/>
      </rPr>
      <t>gin</t>
    </r>
    <r>
      <rPr>
        <sz val="10"/>
        <rFont val="Times New Roman"/>
        <family val="1"/>
      </rPr>
      <t>g</t>
    </r>
    <r>
      <rPr>
        <sz val="10"/>
        <rFont val="Times New Roman"/>
        <family val="1"/>
      </rPr>
      <t xml:space="preserve"> cond'n</t>
    </r>
    <phoneticPr fontId="3" type="noConversion"/>
  </si>
  <si>
    <r>
      <t>H</t>
    </r>
    <r>
      <rPr>
        <sz val="10"/>
        <rFont val="Times New Roman"/>
        <family val="1"/>
      </rPr>
      <t>or. Wave Bending Stress - Full loaded cond'n</t>
    </r>
    <phoneticPr fontId="3" type="noConversion"/>
  </si>
  <si>
    <r>
      <t>H</t>
    </r>
    <r>
      <rPr>
        <sz val="10"/>
        <rFont val="Times New Roman"/>
        <family val="1"/>
      </rPr>
      <t>or. Wave Bending Stress - Ballast cond'n</t>
    </r>
    <phoneticPr fontId="3" type="noConversion"/>
  </si>
  <si>
    <t>Location No. 1 - Layer : Z1, Y-direction</t>
    <phoneticPr fontId="3" type="noConversion"/>
  </si>
  <si>
    <t>Location No. 1 - Layer : Z1, Principal</t>
    <phoneticPr fontId="3" type="noConversion"/>
  </si>
  <si>
    <t>Location No. 1 - Layer : Z2, X-direction</t>
    <phoneticPr fontId="3" type="noConversion"/>
  </si>
  <si>
    <t>Location No. 1 - Layer : Z2, Y-direction</t>
    <phoneticPr fontId="3" type="noConversion"/>
  </si>
  <si>
    <t>Location No. 1 - Layer : Z2, Principal</t>
    <phoneticPr fontId="3" type="noConversion"/>
  </si>
  <si>
    <t>Location No. 2 - Layer : Z1, X- direction</t>
    <phoneticPr fontId="3" type="noConversion"/>
  </si>
  <si>
    <t>Location No. 2 - Layer : Z1, Y-direction</t>
    <phoneticPr fontId="3" type="noConversion"/>
  </si>
  <si>
    <t>Location No. 2 - Layer : Z1, Principal</t>
    <phoneticPr fontId="3" type="noConversion"/>
  </si>
  <si>
    <t>Location No. 2 - Layer : Z2, X-direction</t>
    <phoneticPr fontId="3" type="noConversion"/>
  </si>
  <si>
    <t>Location No. 2 - Layer : Z2, Y-direction</t>
    <phoneticPr fontId="3" type="noConversion"/>
  </si>
  <si>
    <t>Location No. 2 - Layer : Z2, Principal</t>
    <phoneticPr fontId="3" type="noConversion"/>
  </si>
  <si>
    <t>Location No. 3 - Layer : Z1, X- direction</t>
    <phoneticPr fontId="3" type="noConversion"/>
  </si>
  <si>
    <t>Location No. 3 - Layer : Z1, Y-direction</t>
    <phoneticPr fontId="3" type="noConversion"/>
  </si>
  <si>
    <t>Location No. 3 - Layer : Z1, Principal</t>
    <phoneticPr fontId="3" type="noConversion"/>
  </si>
  <si>
    <t>Location No. 3 - Layer : Z2, X-direction</t>
    <phoneticPr fontId="3" type="noConversion"/>
  </si>
  <si>
    <t>Fatigue Life Estimation (  Dnv )</t>
    <phoneticPr fontId="2" type="noConversion"/>
  </si>
  <si>
    <t>Main Dimension</t>
    <phoneticPr fontId="2" type="noConversion"/>
  </si>
  <si>
    <t>Rule length</t>
    <phoneticPr fontId="2" type="noConversion"/>
  </si>
  <si>
    <t>L</t>
    <phoneticPr fontId="2" type="noConversion"/>
  </si>
  <si>
    <t>M</t>
    <phoneticPr fontId="2" type="noConversion"/>
  </si>
  <si>
    <t>Breadth, moulded</t>
    <phoneticPr fontId="2" type="noConversion"/>
  </si>
  <si>
    <t>B</t>
    <phoneticPr fontId="2" type="noConversion"/>
  </si>
  <si>
    <t>Depth, moulded</t>
    <phoneticPr fontId="2" type="noConversion"/>
  </si>
  <si>
    <t>Block Coefficient</t>
    <phoneticPr fontId="2" type="noConversion"/>
  </si>
  <si>
    <t>Cb</t>
    <phoneticPr fontId="2" type="noConversion"/>
  </si>
  <si>
    <t>Draft, Full loaded</t>
    <phoneticPr fontId="2" type="noConversion"/>
  </si>
  <si>
    <t>Tfull</t>
    <phoneticPr fontId="2" type="noConversion"/>
  </si>
  <si>
    <t>Draft, Ballast</t>
    <phoneticPr fontId="2" type="noConversion"/>
  </si>
  <si>
    <t>Tballast</t>
    <phoneticPr fontId="2" type="noConversion"/>
  </si>
  <si>
    <t>Wave Coefficient</t>
    <phoneticPr fontId="2" type="noConversion"/>
  </si>
  <si>
    <t>Cw</t>
    <phoneticPr fontId="2" type="noConversion"/>
  </si>
  <si>
    <t>Basic weibull Parameter</t>
    <phoneticPr fontId="2" type="noConversion"/>
  </si>
  <si>
    <t>h0</t>
    <phoneticPr fontId="2" type="noConversion"/>
  </si>
  <si>
    <t>Fatigue Stress Range</t>
    <phoneticPr fontId="2" type="noConversion"/>
  </si>
  <si>
    <t>Loaded Point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</si>
  <si>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</si>
  <si>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</si>
  <si>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</si>
  <si>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Combined Global Stress Range</t>
    <phoneticPr fontId="2" type="noConversion"/>
  </si>
  <si>
    <t>VWBSH</t>
    <phoneticPr fontId="2" type="noConversion"/>
  </si>
  <si>
    <t>VWBSS</t>
    <phoneticPr fontId="2" type="noConversion"/>
  </si>
  <si>
    <t>VWBSR</t>
    <phoneticPr fontId="2" type="noConversion"/>
  </si>
  <si>
    <t>HWBSRF</t>
    <phoneticPr fontId="2" type="noConversion"/>
  </si>
  <si>
    <t>HWBSRB</t>
    <phoneticPr fontId="2" type="noConversion"/>
  </si>
  <si>
    <r>
      <t>r</t>
    </r>
    <r>
      <rPr>
        <sz val="10"/>
        <rFont val="Times New Roman"/>
        <family val="1"/>
      </rPr>
      <t>vh</t>
    </r>
    <phoneticPr fontId="2" type="noConversion"/>
  </si>
  <si>
    <r>
      <t>s</t>
    </r>
    <r>
      <rPr>
        <sz val="10"/>
        <rFont val="Times New Roman"/>
        <family val="1"/>
      </rPr>
      <t>gF</t>
    </r>
    <phoneticPr fontId="2" type="noConversion"/>
  </si>
  <si>
    <r>
      <t>s</t>
    </r>
    <r>
      <rPr>
        <sz val="10"/>
        <rFont val="Times New Roman"/>
        <family val="1"/>
      </rPr>
      <t>gB</t>
    </r>
    <phoneticPr fontId="2" type="noConversion"/>
  </si>
  <si>
    <t>Combined Local Stress Range</t>
    <phoneticPr fontId="2" type="noConversion"/>
  </si>
  <si>
    <t>Full Loaded</t>
    <phoneticPr fontId="2" type="noConversion"/>
  </si>
  <si>
    <t>Ballast</t>
    <phoneticPr fontId="2" type="noConversion"/>
  </si>
  <si>
    <t>Tact</t>
    <phoneticPr fontId="2" type="noConversion"/>
  </si>
  <si>
    <r>
      <t>Ds</t>
    </r>
    <r>
      <rPr>
        <sz val="10"/>
        <rFont val="Times New Roman"/>
        <family val="1"/>
      </rPr>
      <t>e/</t>
    </r>
    <r>
      <rPr>
        <sz val="10"/>
        <rFont val="Symbol"/>
        <family val="1"/>
        <charset val="2"/>
      </rPr>
      <t>Ds</t>
    </r>
    <r>
      <rPr>
        <sz val="10"/>
        <rFont val="Times New Roman"/>
        <family val="1"/>
      </rPr>
      <t>i</t>
    </r>
    <phoneticPr fontId="2" type="noConversion"/>
  </si>
  <si>
    <r>
      <t>r</t>
    </r>
    <r>
      <rPr>
        <sz val="10"/>
        <rFont val="Times New Roman"/>
        <family val="1"/>
      </rPr>
      <t>p</t>
    </r>
    <phoneticPr fontId="2" type="noConversion"/>
  </si>
  <si>
    <t>sl</t>
    <phoneticPr fontId="2" type="noConversion"/>
  </si>
  <si>
    <t>Combined Global &amp; Local Stress Range</t>
    <phoneticPr fontId="2" type="noConversion"/>
  </si>
  <si>
    <t>fe</t>
    <phoneticPr fontId="2" type="noConversion"/>
  </si>
  <si>
    <r>
      <t>Ds</t>
    </r>
    <r>
      <rPr>
        <sz val="10"/>
        <rFont val="Times New Roman"/>
        <family val="1"/>
      </rPr>
      <t>(</t>
    </r>
    <r>
      <rPr>
        <sz val="10"/>
        <rFont val="Times New Roman"/>
        <family val="1"/>
      </rPr>
      <t>hot)</t>
    </r>
    <phoneticPr fontId="2" type="noConversion"/>
  </si>
  <si>
    <t>Mean Stress Effect</t>
    <phoneticPr fontId="2" type="noConversion"/>
  </si>
  <si>
    <r>
      <t>s</t>
    </r>
    <r>
      <rPr>
        <sz val="10"/>
        <rFont val="Times New Roman"/>
        <family val="1"/>
      </rPr>
      <t>m</t>
    </r>
    <phoneticPr fontId="2" type="noConversion"/>
  </si>
  <si>
    <t>fm</t>
    <phoneticPr fontId="2" type="noConversion"/>
  </si>
  <si>
    <r>
      <t>Ds</t>
    </r>
    <r>
      <rPr>
        <sz val="10"/>
        <rFont val="Times New Roman"/>
        <family val="1"/>
      </rPr>
      <t>0</t>
    </r>
    <phoneticPr fontId="2" type="noConversion"/>
  </si>
  <si>
    <r>
      <t>Stress Range</t>
    </r>
    <r>
      <rPr>
        <sz val="10"/>
        <rFont val="Times New Roman"/>
        <family val="1"/>
      </rPr>
      <t xml:space="preserve"> for 10</t>
    </r>
    <r>
      <rPr>
        <vertAlign val="superscript"/>
        <sz val="10"/>
        <rFont val="Times New Roman"/>
        <family val="1"/>
      </rPr>
      <t>-4</t>
    </r>
    <r>
      <rPr>
        <sz val="10"/>
        <rFont val="Times New Roman"/>
        <family val="1"/>
      </rPr>
      <t xml:space="preserve"> Probability Level</t>
    </r>
    <phoneticPr fontId="2" type="noConversion"/>
  </si>
  <si>
    <t>Kw</t>
    <phoneticPr fontId="2" type="noConversion"/>
  </si>
  <si>
    <r>
      <t>Ds</t>
    </r>
    <r>
      <rPr>
        <sz val="10"/>
        <rFont val="Times New Roman"/>
        <family val="1"/>
      </rPr>
      <t>(notch)</t>
    </r>
    <phoneticPr fontId="2" type="noConversion"/>
  </si>
  <si>
    <t>Damage &amp; Fatigue Life Estimate</t>
    <phoneticPr fontId="2" type="noConversion"/>
  </si>
  <si>
    <t>Design Life (years)</t>
    <phoneticPr fontId="2" type="noConversion"/>
  </si>
  <si>
    <t>Design Life (sec)</t>
    <phoneticPr fontId="2" type="noConversion"/>
  </si>
  <si>
    <t>Average zero crossing frequency</t>
    <phoneticPr fontId="2" type="noConversion"/>
  </si>
  <si>
    <t>The number of cycles during design life</t>
    <phoneticPr fontId="2" type="noConversion"/>
  </si>
  <si>
    <t>Weibull shape parameter</t>
    <phoneticPr fontId="2" type="noConversion"/>
  </si>
  <si>
    <t>Design S-N Curve</t>
    <phoneticPr fontId="2" type="noConversion"/>
  </si>
  <si>
    <t>Thickness Effect</t>
    <phoneticPr fontId="2" type="noConversion"/>
  </si>
  <si>
    <t>Two Slope S-N</t>
    <phoneticPr fontId="2" type="noConversion"/>
  </si>
  <si>
    <t>One Slope S-N</t>
    <phoneticPr fontId="2" type="noConversion"/>
  </si>
  <si>
    <t>Load Case</t>
    <phoneticPr fontId="2" type="noConversion"/>
  </si>
  <si>
    <t>Full Load</t>
    <phoneticPr fontId="2" type="noConversion"/>
  </si>
  <si>
    <t>pn</t>
    <phoneticPr fontId="2" type="noConversion"/>
  </si>
  <si>
    <t>hn</t>
    <phoneticPr fontId="2" type="noConversion"/>
  </si>
  <si>
    <t>qn</t>
    <phoneticPr fontId="2" type="noConversion"/>
  </si>
  <si>
    <t>log a</t>
    <phoneticPr fontId="2" type="noConversion"/>
  </si>
  <si>
    <t>s0</t>
    <phoneticPr fontId="2" type="noConversion"/>
  </si>
  <si>
    <t>X</t>
    <phoneticPr fontId="2" type="noConversion"/>
  </si>
  <si>
    <r>
      <t xml:space="preserve">a </t>
    </r>
    <r>
      <rPr>
        <sz val="10"/>
        <rFont val="Times New Roman"/>
        <family val="1"/>
      </rPr>
      <t>:</t>
    </r>
    <r>
      <rPr>
        <sz val="10"/>
        <rFont val="Times New Roman"/>
        <family val="1"/>
      </rPr>
      <t xml:space="preserve"> 1+m/h</t>
    </r>
    <phoneticPr fontId="2" type="noConversion"/>
  </si>
  <si>
    <r>
      <t>G</t>
    </r>
    <r>
      <rPr>
        <sz val="10"/>
        <rFont val="Times New Roman"/>
        <family val="1"/>
      </rPr>
      <t xml:space="preserve">(1+m/h) </t>
    </r>
    <phoneticPr fontId="2" type="noConversion"/>
  </si>
  <si>
    <r>
      <t>g</t>
    </r>
    <r>
      <rPr>
        <sz val="10"/>
        <rFont val="Times New Roman"/>
        <family val="1"/>
      </rPr>
      <t xml:space="preserve"> ( , )</t>
    </r>
    <phoneticPr fontId="2" type="noConversion"/>
  </si>
  <si>
    <r>
      <t>G</t>
    </r>
    <r>
      <rPr>
        <sz val="10"/>
        <rFont val="Times New Roman"/>
        <family val="1"/>
      </rPr>
      <t xml:space="preserve"> ( ; )</t>
    </r>
    <phoneticPr fontId="2" type="noConversion"/>
  </si>
  <si>
    <r>
      <t>D</t>
    </r>
    <r>
      <rPr>
        <vertAlign val="subscript"/>
        <sz val="10"/>
        <rFont val="Times New Roman"/>
        <family val="1"/>
      </rPr>
      <t>SLOPE</t>
    </r>
    <phoneticPr fontId="2" type="noConversion"/>
  </si>
  <si>
    <r>
      <t>D</t>
    </r>
    <r>
      <rPr>
        <vertAlign val="subscript"/>
        <sz val="10"/>
        <rFont val="Times New Roman"/>
        <family val="1"/>
      </rPr>
      <t>n</t>
    </r>
    <phoneticPr fontId="2" type="noConversion"/>
  </si>
  <si>
    <r>
      <t>D</t>
    </r>
    <r>
      <rPr>
        <vertAlign val="subscript"/>
        <sz val="10"/>
        <rFont val="Times New Roman"/>
        <family val="1"/>
      </rPr>
      <t>TOTAL</t>
    </r>
    <phoneticPr fontId="2" type="noConversion"/>
  </si>
  <si>
    <t>Fat. Life</t>
    <phoneticPr fontId="2" type="noConversion"/>
  </si>
  <si>
    <t>Deck longitudinals</t>
    <phoneticPr fontId="2" type="noConversion"/>
  </si>
  <si>
    <t>Ship side</t>
    <phoneticPr fontId="2" type="noConversion"/>
  </si>
  <si>
    <t>Bottom longitudinals</t>
    <phoneticPr fontId="2" type="noConversion"/>
  </si>
  <si>
    <t>Longitudinal &amp; Tansverse bulkheads</t>
    <phoneticPr fontId="2" type="noConversion"/>
  </si>
  <si>
    <t>Description )</t>
    <phoneticPr fontId="2" type="noConversion"/>
  </si>
  <si>
    <t>Hull Girder Strength</t>
    <phoneticPr fontId="2" type="noConversion"/>
  </si>
  <si>
    <t>Considered Point</t>
    <phoneticPr fontId="2" type="noConversion"/>
  </si>
  <si>
    <t>Section Property</t>
    <phoneticPr fontId="2" type="noConversion"/>
  </si>
  <si>
    <t>NA</t>
    <phoneticPr fontId="2" type="noConversion"/>
  </si>
  <si>
    <t>Iy</t>
    <phoneticPr fontId="2" type="noConversion"/>
  </si>
  <si>
    <t>Iz</t>
    <phoneticPr fontId="2" type="noConversion"/>
  </si>
  <si>
    <t>ZB</t>
    <phoneticPr fontId="2" type="noConversion"/>
  </si>
  <si>
    <t>ZH</t>
    <phoneticPr fontId="2" type="noConversion"/>
  </si>
  <si>
    <t>Hull Girder Bending Moment</t>
    <phoneticPr fontId="2" type="noConversion"/>
  </si>
  <si>
    <t>Load transfer factor</t>
    <phoneticPr fontId="2" type="noConversion"/>
  </si>
  <si>
    <t>fr</t>
    <phoneticPr fontId="2" type="noConversion"/>
  </si>
  <si>
    <t>Still water bending, sagging</t>
    <phoneticPr fontId="2" type="noConversion"/>
  </si>
  <si>
    <t>Mso,s</t>
    <phoneticPr fontId="2" type="noConversion"/>
  </si>
  <si>
    <t>kN-m</t>
    <phoneticPr fontId="2" type="noConversion"/>
  </si>
  <si>
    <t>Still water bending, hogging</t>
    <phoneticPr fontId="2" type="noConversion"/>
  </si>
  <si>
    <t>Mso,h</t>
    <phoneticPr fontId="2" type="noConversion"/>
  </si>
  <si>
    <t>Vertical wave bending, sagging</t>
    <phoneticPr fontId="2" type="noConversion"/>
  </si>
  <si>
    <t>Mwo,s</t>
    <phoneticPr fontId="2" type="noConversion"/>
  </si>
  <si>
    <t>Vertical wave bending, hogging</t>
    <phoneticPr fontId="2" type="noConversion"/>
  </si>
  <si>
    <t>Mwo,h</t>
    <phoneticPr fontId="2" type="noConversion"/>
  </si>
  <si>
    <t>Horizontal wave bending, full</t>
    <phoneticPr fontId="2" type="noConversion"/>
  </si>
  <si>
    <t>Mwh,Full</t>
    <phoneticPr fontId="2" type="noConversion"/>
  </si>
  <si>
    <t>Horizontal wave bending, ballast</t>
    <phoneticPr fontId="2" type="noConversion"/>
  </si>
  <si>
    <t>Mwh,Bal</t>
    <phoneticPr fontId="2" type="noConversion"/>
  </si>
  <si>
    <t>Hull Girder Bending Stress</t>
    <phoneticPr fontId="2" type="noConversion"/>
  </si>
  <si>
    <r>
      <t>N/mm</t>
    </r>
    <r>
      <rPr>
        <vertAlign val="superscript"/>
        <sz val="10"/>
        <rFont val="Times New Roman"/>
        <family val="1"/>
      </rPr>
      <t>2</t>
    </r>
    <phoneticPr fontId="2" type="noConversion"/>
  </si>
  <si>
    <t>Stress Concentration Factor</t>
    <phoneticPr fontId="2" type="noConversion"/>
  </si>
  <si>
    <t>Weld Toes</t>
    <phoneticPr fontId="2" type="noConversion"/>
  </si>
  <si>
    <t>10.6.b</t>
    <phoneticPr fontId="2" type="noConversion"/>
  </si>
  <si>
    <t>Full</t>
    <phoneticPr fontId="2" type="noConversion"/>
  </si>
  <si>
    <t>theta</t>
    <phoneticPr fontId="2" type="noConversion"/>
  </si>
  <si>
    <t>Kt</t>
    <phoneticPr fontId="2" type="noConversion"/>
  </si>
  <si>
    <t>Load Carrying</t>
    <phoneticPr fontId="2" type="noConversion"/>
  </si>
  <si>
    <t>10.6.c</t>
    <phoneticPr fontId="2" type="noConversion"/>
  </si>
  <si>
    <t>Full, Partial, Fillet</t>
    <phoneticPr fontId="2" type="noConversion"/>
  </si>
  <si>
    <t>Non-Load Carrying</t>
    <phoneticPr fontId="2" type="noConversion"/>
  </si>
  <si>
    <t>10.6.d</t>
    <phoneticPr fontId="2" type="noConversion"/>
  </si>
  <si>
    <t>Fillet</t>
    <phoneticPr fontId="2" type="noConversion"/>
  </si>
  <si>
    <t>Weld Root</t>
    <phoneticPr fontId="2" type="noConversion"/>
  </si>
  <si>
    <t>10.6c,e</t>
    <phoneticPr fontId="2" type="noConversion"/>
  </si>
  <si>
    <t>Partial, Fillet</t>
    <phoneticPr fontId="2" type="noConversion"/>
  </si>
  <si>
    <t>Leg Length</t>
    <phoneticPr fontId="2" type="noConversion"/>
  </si>
  <si>
    <t>rho</t>
    <phoneticPr fontId="2" type="noConversion"/>
  </si>
  <si>
    <t>10.6 c</t>
    <phoneticPr fontId="2" type="noConversion"/>
  </si>
  <si>
    <t>Fatigue Life Estimation (  ABS )</t>
    <phoneticPr fontId="2" type="noConversion"/>
  </si>
  <si>
    <t>Main Dimension</t>
  </si>
  <si>
    <t>Rule length</t>
  </si>
  <si>
    <t>L</t>
  </si>
  <si>
    <t>M</t>
  </si>
  <si>
    <t>Breadth, moulded</t>
  </si>
  <si>
    <t>B</t>
  </si>
  <si>
    <t>Depth, moulded</t>
  </si>
  <si>
    <t>D</t>
  </si>
  <si>
    <t>Block Coefficient</t>
  </si>
  <si>
    <t>Cb</t>
  </si>
  <si>
    <t>Draft, Full loaded</t>
  </si>
  <si>
    <t>Tfull</t>
  </si>
  <si>
    <t>Draft, Ballast</t>
  </si>
  <si>
    <t>Tballast</t>
  </si>
  <si>
    <t>Wave Coefficient</t>
  </si>
  <si>
    <t>Cw</t>
  </si>
  <si>
    <t>Basic weibull Parameter</t>
  </si>
  <si>
    <t>h0</t>
  </si>
  <si>
    <t>Hull Girder Bending</t>
  </si>
  <si>
    <t>Load transfer factor</t>
  </si>
  <si>
    <t>fr</t>
  </si>
  <si>
    <t>Still water bending, sagging</t>
  </si>
  <si>
    <t>Mso,s</t>
  </si>
  <si>
    <t>kN-m</t>
  </si>
  <si>
    <t>Still water bending, hogging</t>
  </si>
  <si>
    <t>Mso,h</t>
  </si>
  <si>
    <t>Vertical wave bending, sagging</t>
  </si>
  <si>
    <t>Mwo,s</t>
  </si>
  <si>
    <t>Vertical wave bending, hogging</t>
  </si>
  <si>
    <t>Mwo,h</t>
  </si>
  <si>
    <t>Horizontal wave bending, full</t>
  </si>
  <si>
    <t>Mwh,Full</t>
  </si>
  <si>
    <t>Horizontal wave bending, ballast</t>
  </si>
  <si>
    <t>Mwh,Bal</t>
  </si>
  <si>
    <t>Fatigue Stress Range</t>
  </si>
  <si>
    <t>Loaded Point</t>
  </si>
  <si>
    <t>x</t>
  </si>
  <si>
    <t>y</t>
  </si>
  <si>
    <t>z</t>
  </si>
  <si>
    <t>Combined Global Stress Range</t>
  </si>
  <si>
    <t>VWBSH</t>
  </si>
  <si>
    <t>VWBSS</t>
  </si>
  <si>
    <t>VWBSR</t>
  </si>
  <si>
    <t>HWBSRF</t>
  </si>
  <si>
    <t>HWBSRB</t>
  </si>
  <si>
    <t>Combined Local Stress Range</t>
  </si>
  <si>
    <t>Full Loaded</t>
  </si>
  <si>
    <t>Ballast</t>
  </si>
  <si>
    <t>Tact</t>
  </si>
  <si>
    <t>sl</t>
  </si>
  <si>
    <t>Combined Global &amp; Local Stress Range</t>
  </si>
  <si>
    <t>fe</t>
  </si>
  <si>
    <t>Mean Stress Effect</t>
  </si>
  <si>
    <t>fm</t>
  </si>
  <si>
    <t>10^-4 Probability Level Stress Range</t>
  </si>
  <si>
    <t>Kw</t>
  </si>
  <si>
    <t>Damage &amp; Fatigue Life Estimate</t>
  </si>
  <si>
    <t>Design Life (years)</t>
  </si>
  <si>
    <t>Design Life (sec)</t>
  </si>
  <si>
    <t>Average zero crossing frequency</t>
  </si>
  <si>
    <t>The number of cycles during design life</t>
  </si>
  <si>
    <t>alpha</t>
    <phoneticPr fontId="2" type="noConversion"/>
  </si>
  <si>
    <t>gamma</t>
    <phoneticPr fontId="2" type="noConversion"/>
  </si>
  <si>
    <t>Two Slope S-N</t>
  </si>
  <si>
    <t>One Slope S-N</t>
  </si>
  <si>
    <t>Load Case</t>
  </si>
  <si>
    <t>Full Load</t>
  </si>
  <si>
    <t>pn</t>
  </si>
  <si>
    <t>hn</t>
  </si>
  <si>
    <t>qn</t>
  </si>
  <si>
    <t>a</t>
  </si>
  <si>
    <t>s0</t>
  </si>
  <si>
    <t>-</t>
  </si>
  <si>
    <r>
      <t xml:space="preserve">u </t>
    </r>
    <r>
      <rPr>
        <sz val="10"/>
        <rFont val="Times New Roman"/>
        <family val="1"/>
      </rPr>
      <t>(x)</t>
    </r>
    <phoneticPr fontId="2" type="noConversion"/>
  </si>
  <si>
    <r>
      <t>1+</t>
    </r>
    <r>
      <rPr>
        <sz val="10"/>
        <rFont val="Times New Roman"/>
        <family val="1"/>
      </rPr>
      <t xml:space="preserve">m/h </t>
    </r>
    <r>
      <rPr>
        <sz val="10"/>
        <rFont val="Symbol"/>
        <family val="1"/>
        <charset val="2"/>
      </rPr>
      <t>(a)</t>
    </r>
    <phoneticPr fontId="2" type="noConversion"/>
  </si>
  <si>
    <r>
      <t>D</t>
    </r>
    <r>
      <rPr>
        <vertAlign val="subscript"/>
        <sz val="10"/>
        <rFont val="Times New Roman"/>
        <family val="1"/>
      </rPr>
      <t>LC</t>
    </r>
    <phoneticPr fontId="2" type="noConversion"/>
  </si>
  <si>
    <t>Fat. Life</t>
  </si>
  <si>
    <t>ref.)</t>
    <phoneticPr fontId="2" type="noConversion"/>
  </si>
  <si>
    <r>
      <t>α</t>
    </r>
    <r>
      <rPr>
        <sz val="10"/>
        <rFont val="Times New Roman"/>
        <family val="1"/>
      </rPr>
      <t xml:space="preserve"> = 1.0 for deck structures, including side shell and longitudinal bulkhead structures within 0.1D </t>
    </r>
    <phoneticPr fontId="2" type="noConversion"/>
  </si>
  <si>
    <t xml:space="preserve">     from the deck</t>
    <phoneticPr fontId="2" type="noConversion"/>
  </si>
  <si>
    <t xml:space="preserve">   = 0.93 for bottom structures, including inner bottom, and side shell and longitudinal bulkhead </t>
    <phoneticPr fontId="2" type="noConversion"/>
  </si>
  <si>
    <r>
      <t xml:space="preserve"> </t>
    </r>
    <r>
      <rPr>
        <sz val="10"/>
        <rFont val="Times New Roman"/>
        <family val="1"/>
      </rPr>
      <t xml:space="preserve">     structures within 0.1D from the bottom</t>
    </r>
    <phoneticPr fontId="2" type="noConversion"/>
  </si>
  <si>
    <t xml:space="preserve">   = 0.86 for side shell and longitudinal bulkhead structures within the region of 0.25D upward and </t>
    <phoneticPr fontId="2" type="noConversion"/>
  </si>
  <si>
    <r>
      <t xml:space="preserve"> </t>
    </r>
    <r>
      <rPr>
        <sz val="10"/>
        <rFont val="Times New Roman"/>
        <family val="1"/>
      </rPr>
      <t xml:space="preserve">     0.3D downward from the mid-depth</t>
    </r>
    <phoneticPr fontId="2" type="noConversion"/>
  </si>
  <si>
    <t xml:space="preserve">   = 0.80 for transverse bulkhead structures</t>
    <phoneticPr fontId="2" type="noConversion"/>
  </si>
  <si>
    <r>
      <t>α</t>
    </r>
    <r>
      <rPr>
        <sz val="10"/>
        <rFont val="Times New Roman"/>
        <family val="1"/>
      </rPr>
      <t xml:space="preserve"> may be linearly interpolated for side shell and longitudinal bulkhead structures between 0.1D and</t>
    </r>
  </si>
  <si>
    <t>0.25D (0.2D) from the deck (bottom).</t>
  </si>
  <si>
    <t>Fatigue Life Estimation (  BV, RINA )</t>
    <phoneticPr fontId="2" type="noConversion"/>
  </si>
  <si>
    <t>Weibull shape prameter</t>
    <phoneticPr fontId="2" type="noConversion"/>
  </si>
  <si>
    <t>Probability Level</t>
    <phoneticPr fontId="2" type="noConversion"/>
  </si>
  <si>
    <t xml:space="preserve">Basic Probability Level </t>
    <phoneticPr fontId="2" type="noConversion"/>
  </si>
  <si>
    <t>Basic Value</t>
    <phoneticPr fontId="2" type="noConversion"/>
  </si>
  <si>
    <t>Weibull Shape Parameter</t>
    <phoneticPr fontId="2" type="noConversion"/>
  </si>
  <si>
    <t>Weibull Scale Parameter</t>
    <phoneticPr fontId="2" type="noConversion"/>
  </si>
  <si>
    <t>Stress</t>
    <phoneticPr fontId="2" type="noConversion"/>
  </si>
  <si>
    <t>PDF</t>
    <phoneticPr fontId="2" type="noConversion"/>
  </si>
  <si>
    <t>CDF</t>
    <phoneticPr fontId="2" type="noConversion"/>
  </si>
  <si>
    <t>Stress</t>
  </si>
  <si>
    <t>PDF</t>
  </si>
  <si>
    <t>CDF</t>
  </si>
  <si>
    <t xml:space="preserve">Transfer  Time Signal from Weibull Distribution  </t>
    <phoneticPr fontId="2" type="noConversion"/>
  </si>
  <si>
    <t>File Name</t>
    <phoneticPr fontId="2" type="noConversion"/>
  </si>
  <si>
    <t>test.tim</t>
    <phoneticPr fontId="2" type="noConversion"/>
  </si>
  <si>
    <r>
      <t xml:space="preserve">Data  </t>
    </r>
    <r>
      <rPr>
        <sz val="10"/>
        <rFont val="바탕"/>
        <family val="1"/>
        <charset val="129"/>
      </rPr>
      <t>수</t>
    </r>
    <phoneticPr fontId="2" type="noConversion"/>
  </si>
  <si>
    <t>Mirror</t>
    <phoneticPr fontId="2" type="noConversion"/>
  </si>
  <si>
    <t>Time Interval</t>
    <phoneticPr fontId="2" type="noConversion"/>
  </si>
  <si>
    <t>Data Table</t>
    <phoneticPr fontId="2" type="noConversion"/>
  </si>
  <si>
    <t>No.</t>
    <phoneticPr fontId="2" type="noConversion"/>
  </si>
  <si>
    <t>In Port ( Empty )</t>
    <phoneticPr fontId="2" type="noConversion"/>
  </si>
  <si>
    <t>In Port ( Loading )</t>
    <phoneticPr fontId="2" type="noConversion"/>
  </si>
  <si>
    <t>Loaded Condtion ( Sea )</t>
    <phoneticPr fontId="2" type="noConversion"/>
  </si>
  <si>
    <t>In Port (Empty)</t>
    <phoneticPr fontId="2" type="noConversion"/>
  </si>
  <si>
    <t>Ballast Condition ( Sea )</t>
    <phoneticPr fontId="2" type="noConversion"/>
  </si>
  <si>
    <t>Hs</t>
  </si>
  <si>
    <t>유의파고</t>
  </si>
  <si>
    <t>횟수</t>
  </si>
  <si>
    <t>출현빈도</t>
  </si>
  <si>
    <t>strain</t>
    <phoneticPr fontId="2" type="noConversion"/>
  </si>
  <si>
    <t>A</t>
    <phoneticPr fontId="2" type="noConversion"/>
  </si>
  <si>
    <t>C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</si>
  <si>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</si>
  <si>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</si>
  <si>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</si>
  <si>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</si>
  <si>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</si>
  <si>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E =</t>
    <phoneticPr fontId="2" type="noConversion"/>
  </si>
  <si>
    <t>K' =</t>
    <phoneticPr fontId="2" type="noConversion"/>
  </si>
  <si>
    <t>n' =</t>
    <phoneticPr fontId="2" type="noConversion"/>
  </si>
  <si>
    <t>FALL 2000, Home Work #6 - Strain-Life Pt.1</t>
    <phoneticPr fontId="2" type="noConversion"/>
  </si>
  <si>
    <t>Strain</t>
    <phoneticPr fontId="2" type="noConversion"/>
  </si>
  <si>
    <t>RA</t>
    <phoneticPr fontId="2" type="noConversion"/>
  </si>
  <si>
    <r>
      <t>e</t>
    </r>
    <r>
      <rPr>
        <sz val="10"/>
        <rFont val="Times New Roman"/>
        <family val="1"/>
      </rPr>
      <t>f = ln(1/ 1-RA)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</si>
</sst>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76" formatCode="0.0"/>
    <numFmt numFmtId="177" formatCode="0.000"/>
    <numFmt numFmtId="178" formatCode="0.0_);[Red]\(0.0\)"/>
    <numFmt numFmtId="179" formatCode="0.00000"/>
    <numFmt numFmtId="180" formatCode="0.0000"/>
    <numFmt numFmtId="181" formatCode="0.0E+00"/>
    <numFmt numFmtId="182" formatCode="0.000_);[Red]\(0.000\)"/>
    <numFmt numFmtId="183" formatCode="0.0%"/>
    <numFmt numFmtId="184" formatCode="0.00_ "/>
    <numFmt numFmtId="185" formatCode="0.000_ "/>
    <numFmt numFmtId="186" formatCode="0.0000_ "/>
    <numFmt numFmtId="187" formatCode="0.00000_ "/>
    <numFmt numFmtId="188" formatCode="0.000000_ "/>
    <numFmt numFmtId="189" formatCode="0.E+00"/>
    <numFmt numFmtId="190" formatCode="0_ "/>
    <numFmt numFmtId="191" formatCode="0.0_ "/>
    <numFmt numFmtId="192" formatCode="0.000E+00"/>
    <numFmt numFmtId="193" formatCode="0_);[Red]\(0\)"/>
    <numFmt numFmtId="194" formatCode="0.000000"/>
    <numFmt numFmtId="195" formatCode="0.000%"/>
    <numFmt numFmtId="196" formatCode="0.0000E+00"/>
    <numFmt numFmtId="197" formatCode="mm&quot;월&quot;\ dd&quot;일&quot;"/>
  </numFmts>
  <fonts count="49">
    <font>
      <sz val="10"/>
      <name val="Times New Roman"/>
      <family val="1"/>
    </font>
    <font>
      <sz val="10"/>
      <name val="Times New Roman"/>
      <family val="1"/>
    </font>
    <font>
      <sz val="8"/>
      <name val="바탕"/>
      <family val="1"/>
      <charset val="129"/>
    </font>
    <font>
      <sz val="8"/>
      <name val="돋움"/>
      <family val="3"/>
      <charset val="129"/>
    </font>
    <font>
      <sz val="10"/>
      <color indexed="9"/>
      <name val="Times New Roman"/>
      <family val="1"/>
    </font>
    <font>
      <sz val="10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sz val="10"/>
      <name val="바탕"/>
      <family val="1"/>
      <charset val="129"/>
    </font>
    <font>
      <sz val="10"/>
      <color indexed="8"/>
      <name val="Times New Roman"/>
      <family val="1"/>
    </font>
    <font>
      <sz val="11"/>
      <color indexed="9"/>
      <name val="Symbol"/>
      <family val="1"/>
      <charset val="2"/>
    </font>
    <font>
      <b/>
      <sz val="11"/>
      <name val="Times New Roman"/>
      <family val="1"/>
    </font>
    <font>
      <b/>
      <sz val="12"/>
      <name val="Times New Roman"/>
      <family val="1"/>
    </font>
    <font>
      <sz val="11"/>
      <name val="돋움"/>
      <family val="3"/>
      <charset val="129"/>
    </font>
    <font>
      <b/>
      <u/>
      <sz val="11"/>
      <name val="돋움"/>
      <family val="3"/>
      <charset val="129"/>
    </font>
    <font>
      <sz val="10"/>
      <name val="Symbol"/>
      <family val="1"/>
      <charset val="2"/>
    </font>
    <font>
      <sz val="10"/>
      <color indexed="9"/>
      <name val="바탕"/>
      <family val="1"/>
      <charset val="129"/>
    </font>
    <font>
      <b/>
      <sz val="20"/>
      <color indexed="11"/>
      <name val="Times New Roman"/>
      <family val="1"/>
    </font>
    <font>
      <sz val="11"/>
      <color indexed="9"/>
      <name val="Times New Roman"/>
      <family val="1"/>
    </font>
    <font>
      <sz val="10"/>
      <color indexed="9"/>
      <name val="Symbol"/>
      <family val="1"/>
      <charset val="2"/>
    </font>
    <font>
      <b/>
      <sz val="20"/>
      <name val="Times New Roman"/>
      <family val="1"/>
    </font>
    <font>
      <b/>
      <sz val="20"/>
      <color indexed="12"/>
      <name val="Times New Roman"/>
      <family val="1"/>
    </font>
    <font>
      <sz val="10"/>
      <name val="돋움"/>
      <family val="3"/>
      <charset val="129"/>
    </font>
    <font>
      <sz val="10"/>
      <name val="Times New Roman"/>
      <family val="1"/>
    </font>
    <font>
      <sz val="9"/>
      <color indexed="9"/>
      <name val="Times New Roman"/>
      <family val="1"/>
    </font>
    <font>
      <vertAlign val="subscript"/>
      <sz val="10"/>
      <color indexed="9"/>
      <name val="Times New Roman"/>
      <family val="1"/>
    </font>
    <font>
      <vertAlign val="subscript"/>
      <sz val="10"/>
      <name val="Times New Roman"/>
      <family val="1"/>
    </font>
    <font>
      <u/>
      <sz val="10"/>
      <name val="Times New Roman"/>
      <family val="1"/>
    </font>
    <font>
      <b/>
      <sz val="10"/>
      <name val="Times New Roman"/>
      <family val="1"/>
    </font>
    <font>
      <vertAlign val="superscript"/>
      <sz val="10"/>
      <name val="Times New Roman"/>
      <family val="1"/>
    </font>
    <font>
      <b/>
      <sz val="16"/>
      <name val="Times New Roman"/>
      <family val="1"/>
    </font>
    <font>
      <b/>
      <i/>
      <sz val="14"/>
      <color indexed="9"/>
      <name val="Times New Roman"/>
      <family val="1"/>
    </font>
    <font>
      <sz val="8"/>
      <name val="Times New Roman"/>
      <family val="1"/>
    </font>
    <font>
      <b/>
      <u/>
      <sz val="10"/>
      <name val="Times New Roman"/>
      <family val="1"/>
    </font>
    <font>
      <sz val="10"/>
      <name val="Times New Roman"/>
      <family val="1"/>
    </font>
    <font>
      <sz val="11"/>
      <name val="바탕"/>
      <family val="1"/>
      <charset val="129"/>
    </font>
    <font>
      <sz val="14"/>
      <name val="Symbol"/>
      <family val="1"/>
      <charset val="2"/>
    </font>
    <font>
      <b/>
      <sz val="16"/>
      <color indexed="8"/>
      <name val="Times New Roman"/>
      <family val="1"/>
    </font>
    <font>
      <b/>
      <sz val="12"/>
      <color indexed="8"/>
      <name val="Times New Roman"/>
      <family val="1"/>
    </font>
    <font>
      <sz val="10"/>
      <color indexed="11"/>
      <name val="Times New Roman"/>
      <family val="1"/>
    </font>
    <font>
      <b/>
      <sz val="14"/>
      <name val="Times New Roman"/>
      <family val="1"/>
    </font>
    <font>
      <b/>
      <sz val="8"/>
      <name val="Symbol"/>
      <family val="1"/>
      <charset val="2"/>
    </font>
    <font>
      <sz val="8"/>
      <name val="Arial"/>
      <family val="2"/>
    </font>
    <font>
      <b/>
      <sz val="1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sz val="14"/>
      <name val="굴림체"/>
      <family val="3"/>
      <charset val="129"/>
    </font>
    <font>
      <sz val="10"/>
      <name val="Times New Roman"/>
      <family val="1"/>
    </font>
    <font>
      <sz val="10"/>
      <color indexed="8"/>
      <name val="한컴바탕"/>
      <family val="1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medium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9"/>
      </right>
      <top style="medium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9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13"/>
      </left>
      <right/>
      <top style="thin">
        <color indexed="13"/>
      </top>
      <bottom style="thin">
        <color indexed="13"/>
      </bottom>
      <diagonal/>
    </border>
    <border>
      <left/>
      <right style="thin">
        <color indexed="13"/>
      </right>
      <top style="thin">
        <color indexed="13"/>
      </top>
      <bottom style="thin">
        <color indexed="13"/>
      </bottom>
      <diagonal/>
    </border>
    <border>
      <left/>
      <right style="thin">
        <color indexed="9"/>
      </right>
      <top style="medium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/>
      <right/>
      <top style="medium">
        <color indexed="9"/>
      </top>
      <bottom/>
      <diagonal/>
    </border>
    <border>
      <left/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/>
      <bottom style="medium">
        <color indexed="9"/>
      </bottom>
      <diagonal/>
    </border>
    <border>
      <left/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indexed="9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3" fillId="0" borderId="0"/>
    <xf numFmtId="0" fontId="13" fillId="0" borderId="0"/>
  </cellStyleXfs>
  <cellXfs count="447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0" xfId="0" applyFont="1" applyFill="1" applyAlignment="1">
      <alignment horizontal="left"/>
    </xf>
    <xf numFmtId="11" fontId="4" fillId="2" borderId="0" xfId="0" applyNumberFormat="1" applyFont="1" applyFill="1"/>
    <xf numFmtId="189" fontId="4" fillId="2" borderId="1" xfId="0" applyNumberFormat="1" applyFont="1" applyFill="1" applyBorder="1" applyAlignment="1">
      <alignment horizontal="center"/>
    </xf>
    <xf numFmtId="176" fontId="4" fillId="2" borderId="1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86" fontId="4" fillId="2" borderId="1" xfId="0" applyNumberFormat="1" applyFont="1" applyFill="1" applyBorder="1" applyAlignment="1">
      <alignment horizontal="center"/>
    </xf>
    <xf numFmtId="178" fontId="4" fillId="2" borderId="1" xfId="0" applyNumberFormat="1" applyFont="1" applyFill="1" applyBorder="1" applyAlignment="1">
      <alignment horizontal="center"/>
    </xf>
    <xf numFmtId="191" fontId="4" fillId="2" borderId="1" xfId="0" applyNumberFormat="1" applyFont="1" applyFill="1" applyBorder="1" applyAlignment="1">
      <alignment horizontal="center"/>
    </xf>
    <xf numFmtId="181" fontId="4" fillId="2" borderId="1" xfId="0" applyNumberFormat="1" applyFont="1" applyFill="1" applyBorder="1" applyAlignment="1">
      <alignment horizontal="center"/>
    </xf>
    <xf numFmtId="0" fontId="13" fillId="0" borderId="0" xfId="3"/>
    <xf numFmtId="0" fontId="13" fillId="0" borderId="0" xfId="3" applyAlignment="1">
      <alignment horizontal="center"/>
    </xf>
    <xf numFmtId="0" fontId="13" fillId="0" borderId="1" xfId="3" applyBorder="1" applyAlignment="1">
      <alignment horizontal="center"/>
    </xf>
    <xf numFmtId="176" fontId="13" fillId="0" borderId="1" xfId="3" applyNumberFormat="1" applyBorder="1" applyAlignment="1">
      <alignment horizontal="center"/>
    </xf>
    <xf numFmtId="0" fontId="14" fillId="0" borderId="0" xfId="3" applyFont="1"/>
    <xf numFmtId="0" fontId="13" fillId="0" borderId="0" xfId="3" applyAlignment="1">
      <alignment horizontal="left"/>
    </xf>
    <xf numFmtId="0" fontId="0" fillId="0" borderId="0" xfId="0" applyAlignment="1">
      <alignment horizontal="center"/>
    </xf>
    <xf numFmtId="177" fontId="0" fillId="0" borderId="0" xfId="0" applyNumberFormat="1"/>
    <xf numFmtId="1" fontId="0" fillId="0" borderId="0" xfId="0" applyNumberFormat="1"/>
    <xf numFmtId="0" fontId="0" fillId="0" borderId="1" xfId="0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left"/>
    </xf>
    <xf numFmtId="11" fontId="0" fillId="0" borderId="0" xfId="0" applyNumberFormat="1"/>
    <xf numFmtId="0" fontId="0" fillId="0" borderId="1" xfId="0" applyBorder="1"/>
    <xf numFmtId="176" fontId="0" fillId="0" borderId="1" xfId="0" applyNumberFormat="1" applyBorder="1" applyAlignment="1">
      <alignment horizontal="center"/>
    </xf>
    <xf numFmtId="0" fontId="1" fillId="0" borderId="0" xfId="0" applyFont="1"/>
    <xf numFmtId="0" fontId="15" fillId="0" borderId="1" xfId="0" applyFont="1" applyBorder="1" applyAlignment="1">
      <alignment horizontal="center"/>
    </xf>
    <xf numFmtId="0" fontId="17" fillId="2" borderId="0" xfId="0" applyFont="1" applyFill="1"/>
    <xf numFmtId="0" fontId="4" fillId="2" borderId="3" xfId="0" applyFont="1" applyFill="1" applyBorder="1" applyAlignment="1">
      <alignment horizontal="center"/>
    </xf>
    <xf numFmtId="11" fontId="4" fillId="2" borderId="3" xfId="0" applyNumberFormat="1" applyFont="1" applyFill="1" applyBorder="1" applyAlignment="1">
      <alignment horizontal="center"/>
    </xf>
    <xf numFmtId="177" fontId="4" fillId="2" borderId="3" xfId="0" applyNumberFormat="1" applyFont="1" applyFill="1" applyBorder="1" applyAlignment="1">
      <alignment horizontal="center"/>
    </xf>
    <xf numFmtId="183" fontId="4" fillId="2" borderId="0" xfId="0" applyNumberFormat="1" applyFont="1" applyFill="1"/>
    <xf numFmtId="177" fontId="19" fillId="2" borderId="3" xfId="0" applyNumberFormat="1" applyFont="1" applyFill="1" applyBorder="1" applyAlignment="1">
      <alignment horizontal="center"/>
    </xf>
    <xf numFmtId="0" fontId="13" fillId="0" borderId="0" xfId="2"/>
    <xf numFmtId="0" fontId="21" fillId="0" borderId="0" xfId="2" applyFont="1"/>
    <xf numFmtId="0" fontId="22" fillId="0" borderId="0" xfId="2" applyFont="1"/>
    <xf numFmtId="0" fontId="23" fillId="0" borderId="0" xfId="2" applyFont="1"/>
    <xf numFmtId="0" fontId="20" fillId="0" borderId="0" xfId="0" applyFont="1"/>
    <xf numFmtId="0" fontId="15" fillId="0" borderId="4" xfId="0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1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1" fillId="0" borderId="2" xfId="0" applyFont="1" applyBorder="1"/>
    <xf numFmtId="0" fontId="0" fillId="3" borderId="1" xfId="0" applyFill="1" applyBorder="1"/>
    <xf numFmtId="176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80" fontId="0" fillId="0" borderId="1" xfId="0" applyNumberFormat="1" applyBorder="1"/>
    <xf numFmtId="177" fontId="0" fillId="0" borderId="1" xfId="0" applyNumberFormat="1" applyBorder="1"/>
    <xf numFmtId="1" fontId="0" fillId="0" borderId="1" xfId="0" applyNumberFormat="1" applyBorder="1"/>
    <xf numFmtId="0" fontId="8" fillId="0" borderId="0" xfId="0" applyFont="1"/>
    <xf numFmtId="11" fontId="4" fillId="2" borderId="5" xfId="0" applyNumberFormat="1" applyFont="1" applyFill="1" applyBorder="1" applyAlignment="1">
      <alignment horizontal="center"/>
    </xf>
    <xf numFmtId="11" fontId="4" fillId="2" borderId="6" xfId="0" applyNumberFormat="1" applyFont="1" applyFill="1" applyBorder="1" applyAlignment="1">
      <alignment horizontal="center"/>
    </xf>
    <xf numFmtId="190" fontId="4" fillId="2" borderId="7" xfId="0" applyNumberFormat="1" applyFont="1" applyFill="1" applyBorder="1" applyAlignment="1">
      <alignment horizontal="center"/>
    </xf>
    <xf numFmtId="181" fontId="4" fillId="2" borderId="0" xfId="0" applyNumberFormat="1" applyFont="1" applyFill="1"/>
    <xf numFmtId="1" fontId="4" fillId="2" borderId="0" xfId="0" applyNumberFormat="1" applyFont="1" applyFill="1" applyAlignment="1">
      <alignment horizontal="center"/>
    </xf>
    <xf numFmtId="191" fontId="4" fillId="2" borderId="3" xfId="0" applyNumberFormat="1" applyFont="1" applyFill="1" applyBorder="1" applyAlignment="1">
      <alignment horizontal="center"/>
    </xf>
    <xf numFmtId="177" fontId="4" fillId="4" borderId="3" xfId="0" applyNumberFormat="1" applyFont="1" applyFill="1" applyBorder="1" applyAlignment="1">
      <alignment horizontal="center"/>
    </xf>
    <xf numFmtId="11" fontId="4" fillId="4" borderId="3" xfId="0" applyNumberFormat="1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177" fontId="4" fillId="2" borderId="8" xfId="0" applyNumberFormat="1" applyFont="1" applyFill="1" applyBorder="1" applyAlignment="1">
      <alignment horizontal="center"/>
    </xf>
    <xf numFmtId="181" fontId="4" fillId="2" borderId="8" xfId="0" applyNumberFormat="1" applyFont="1" applyFill="1" applyBorder="1" applyAlignment="1">
      <alignment horizontal="center"/>
    </xf>
    <xf numFmtId="177" fontId="19" fillId="2" borderId="8" xfId="0" applyNumberFormat="1" applyFont="1" applyFill="1" applyBorder="1" applyAlignment="1">
      <alignment horizontal="center"/>
    </xf>
    <xf numFmtId="0" fontId="13" fillId="0" borderId="0" xfId="2" applyAlignment="1">
      <alignment horizontal="center"/>
    </xf>
    <xf numFmtId="177" fontId="13" fillId="0" borderId="0" xfId="2" applyNumberFormat="1"/>
    <xf numFmtId="193" fontId="13" fillId="0" borderId="0" xfId="2" applyNumberFormat="1"/>
    <xf numFmtId="192" fontId="0" fillId="0" borderId="0" xfId="0" applyNumberFormat="1"/>
    <xf numFmtId="177" fontId="0" fillId="3" borderId="1" xfId="0" applyNumberFormat="1" applyFill="1" applyBorder="1"/>
    <xf numFmtId="185" fontId="0" fillId="3" borderId="1" xfId="0" applyNumberFormat="1" applyFill="1" applyBorder="1" applyAlignment="1">
      <alignment horizontal="center"/>
    </xf>
    <xf numFmtId="176" fontId="0" fillId="0" borderId="0" xfId="0" applyNumberFormat="1" applyAlignment="1">
      <alignment horizontal="center"/>
    </xf>
    <xf numFmtId="185" fontId="0" fillId="0" borderId="1" xfId="0" applyNumberFormat="1" applyBorder="1" applyAlignment="1">
      <alignment horizontal="center"/>
    </xf>
    <xf numFmtId="11" fontId="0" fillId="0" borderId="0" xfId="0" applyNumberFormat="1" applyAlignment="1">
      <alignment horizontal="center"/>
    </xf>
    <xf numFmtId="192" fontId="0" fillId="0" borderId="0" xfId="0" applyNumberFormat="1" applyAlignment="1">
      <alignment horizontal="center"/>
    </xf>
    <xf numFmtId="0" fontId="11" fillId="0" borderId="0" xfId="0" applyFont="1"/>
    <xf numFmtId="0" fontId="12" fillId="0" borderId="0" xfId="0" applyFont="1"/>
    <xf numFmtId="1" fontId="12" fillId="0" borderId="0" xfId="0" applyNumberFormat="1" applyFont="1"/>
    <xf numFmtId="177" fontId="0" fillId="0" borderId="34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184" fontId="0" fillId="0" borderId="0" xfId="0" applyNumberFormat="1" applyAlignment="1">
      <alignment horizontal="center"/>
    </xf>
    <xf numFmtId="176" fontId="0" fillId="0" borderId="34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1" xfId="0" applyBorder="1" applyAlignment="1">
      <alignment horizontal="center"/>
    </xf>
    <xf numFmtId="177" fontId="0" fillId="0" borderId="11" xfId="0" applyNumberForma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77" fontId="0" fillId="0" borderId="21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15" fillId="0" borderId="38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0" fillId="0" borderId="39" xfId="0" applyBorder="1" applyAlignment="1">
      <alignment horizontal="center"/>
    </xf>
    <xf numFmtId="176" fontId="0" fillId="3" borderId="21" xfId="0" applyNumberFormat="1" applyFill="1" applyBorder="1" applyAlignment="1">
      <alignment horizontal="center"/>
    </xf>
    <xf numFmtId="176" fontId="0" fillId="0" borderId="11" xfId="0" applyNumberFormat="1" applyBorder="1" applyAlignment="1">
      <alignment horizontal="center"/>
    </xf>
    <xf numFmtId="185" fontId="0" fillId="3" borderId="21" xfId="0" applyNumberFormat="1" applyFill="1" applyBorder="1" applyAlignment="1">
      <alignment horizontal="center"/>
    </xf>
    <xf numFmtId="185" fontId="0" fillId="0" borderId="11" xfId="0" applyNumberFormat="1" applyBorder="1" applyAlignment="1">
      <alignment horizontal="center"/>
    </xf>
    <xf numFmtId="176" fontId="0" fillId="0" borderId="21" xfId="0" applyNumberFormat="1" applyBorder="1" applyAlignment="1">
      <alignment horizontal="center"/>
    </xf>
    <xf numFmtId="182" fontId="0" fillId="0" borderId="0" xfId="0" applyNumberFormat="1"/>
    <xf numFmtId="176" fontId="4" fillId="2" borderId="8" xfId="0" applyNumberFormat="1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177" fontId="1" fillId="0" borderId="0" xfId="0" applyNumberFormat="1" applyFont="1"/>
    <xf numFmtId="180" fontId="4" fillId="2" borderId="8" xfId="0" applyNumberFormat="1" applyFont="1" applyFill="1" applyBorder="1" applyAlignment="1">
      <alignment horizontal="center"/>
    </xf>
    <xf numFmtId="193" fontId="0" fillId="0" borderId="0" xfId="0" applyNumberFormat="1" applyAlignment="1">
      <alignment horizontal="center"/>
    </xf>
    <xf numFmtId="185" fontId="0" fillId="0" borderId="21" xfId="0" applyNumberFormat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192" fontId="0" fillId="0" borderId="1" xfId="0" applyNumberFormat="1" applyBorder="1" applyAlignment="1">
      <alignment horizontal="center"/>
    </xf>
    <xf numFmtId="0" fontId="27" fillId="0" borderId="0" xfId="0" applyFont="1"/>
    <xf numFmtId="191" fontId="4" fillId="2" borderId="0" xfId="0" applyNumberFormat="1" applyFont="1" applyFill="1"/>
    <xf numFmtId="177" fontId="4" fillId="2" borderId="0" xfId="0" applyNumberFormat="1" applyFont="1" applyFill="1"/>
    <xf numFmtId="0" fontId="0" fillId="0" borderId="0" xfId="0" applyAlignment="1">
      <alignment vertical="center"/>
    </xf>
    <xf numFmtId="0" fontId="28" fillId="0" borderId="0" xfId="0" applyFont="1"/>
    <xf numFmtId="176" fontId="0" fillId="0" borderId="0" xfId="0" applyNumberFormat="1"/>
    <xf numFmtId="181" fontId="0" fillId="0" borderId="0" xfId="0" applyNumberFormat="1"/>
    <xf numFmtId="190" fontId="0" fillId="0" borderId="0" xfId="0" applyNumberFormat="1"/>
    <xf numFmtId="0" fontId="1" fillId="0" borderId="0" xfId="2" applyFont="1"/>
    <xf numFmtId="0" fontId="1" fillId="3" borderId="24" xfId="2" applyFont="1" applyFill="1" applyBorder="1"/>
    <xf numFmtId="0" fontId="1" fillId="3" borderId="25" xfId="2" applyFont="1" applyFill="1" applyBorder="1"/>
    <xf numFmtId="0" fontId="1" fillId="3" borderId="26" xfId="2" applyFont="1" applyFill="1" applyBorder="1"/>
    <xf numFmtId="0" fontId="1" fillId="3" borderId="27" xfId="2" applyFont="1" applyFill="1" applyBorder="1"/>
    <xf numFmtId="0" fontId="1" fillId="3" borderId="0" xfId="2" applyFont="1" applyFill="1"/>
    <xf numFmtId="0" fontId="1" fillId="3" borderId="28" xfId="2" applyFont="1" applyFill="1" applyBorder="1"/>
    <xf numFmtId="0" fontId="1" fillId="3" borderId="29" xfId="2" applyFont="1" applyFill="1" applyBorder="1"/>
    <xf numFmtId="0" fontId="1" fillId="3" borderId="30" xfId="2" applyFont="1" applyFill="1" applyBorder="1"/>
    <xf numFmtId="0" fontId="1" fillId="3" borderId="31" xfId="2" applyFont="1" applyFill="1" applyBorder="1"/>
    <xf numFmtId="0" fontId="1" fillId="0" borderId="1" xfId="2" applyFont="1" applyBorder="1" applyAlignment="1">
      <alignment horizontal="center"/>
    </xf>
    <xf numFmtId="0" fontId="1" fillId="0" borderId="0" xfId="2" applyFont="1" applyAlignment="1">
      <alignment horizontal="center"/>
    </xf>
    <xf numFmtId="0" fontId="1" fillId="0" borderId="22" xfId="2" applyFont="1" applyBorder="1" applyAlignment="1">
      <alignment horizontal="center"/>
    </xf>
    <xf numFmtId="0" fontId="1" fillId="0" borderId="9" xfId="2" applyFont="1" applyBorder="1" applyAlignment="1">
      <alignment horizontal="center"/>
    </xf>
    <xf numFmtId="0" fontId="1" fillId="0" borderId="16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0" xfId="2" applyFont="1" applyBorder="1" applyAlignment="1">
      <alignment horizontal="center"/>
    </xf>
    <xf numFmtId="0" fontId="1" fillId="0" borderId="23" xfId="2" applyFont="1" applyBorder="1" applyAlignment="1">
      <alignment horizontal="center"/>
    </xf>
    <xf numFmtId="0" fontId="1" fillId="0" borderId="12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176" fontId="1" fillId="0" borderId="19" xfId="2" applyNumberFormat="1" applyFont="1" applyBorder="1" applyAlignment="1">
      <alignment horizontal="center"/>
    </xf>
    <xf numFmtId="176" fontId="1" fillId="0" borderId="12" xfId="2" applyNumberFormat="1" applyFont="1" applyBorder="1" applyAlignment="1">
      <alignment horizontal="center"/>
    </xf>
    <xf numFmtId="176" fontId="1" fillId="0" borderId="13" xfId="2" applyNumberFormat="1" applyFont="1" applyBorder="1" applyAlignment="1">
      <alignment horizontal="center"/>
    </xf>
    <xf numFmtId="0" fontId="1" fillId="3" borderId="32" xfId="2" applyFont="1" applyFill="1" applyBorder="1" applyAlignment="1">
      <alignment horizontal="center"/>
    </xf>
    <xf numFmtId="0" fontId="1" fillId="3" borderId="14" xfId="2" applyFont="1" applyFill="1" applyBorder="1" applyAlignment="1">
      <alignment horizontal="center"/>
    </xf>
    <xf numFmtId="0" fontId="1" fillId="3" borderId="33" xfId="2" applyFont="1" applyFill="1" applyBorder="1" applyAlignment="1">
      <alignment horizontal="center"/>
    </xf>
    <xf numFmtId="1" fontId="1" fillId="0" borderId="20" xfId="2" applyNumberFormat="1" applyFont="1" applyBorder="1" applyAlignment="1">
      <alignment horizontal="center"/>
    </xf>
    <xf numFmtId="1" fontId="1" fillId="0" borderId="14" xfId="2" applyNumberFormat="1" applyFont="1" applyBorder="1" applyAlignment="1">
      <alignment horizontal="center"/>
    </xf>
    <xf numFmtId="1" fontId="1" fillId="0" borderId="15" xfId="2" applyNumberFormat="1" applyFont="1" applyBorder="1" applyAlignment="1">
      <alignment horizontal="center"/>
    </xf>
    <xf numFmtId="0" fontId="1" fillId="3" borderId="34" xfId="2" applyFont="1" applyFill="1" applyBorder="1" applyAlignment="1">
      <alignment horizontal="center"/>
    </xf>
    <xf numFmtId="0" fontId="1" fillId="3" borderId="1" xfId="2" applyFont="1" applyFill="1" applyBorder="1" applyAlignment="1">
      <alignment horizontal="center"/>
    </xf>
    <xf numFmtId="0" fontId="1" fillId="3" borderId="35" xfId="2" applyFont="1" applyFill="1" applyBorder="1" applyAlignment="1">
      <alignment horizontal="center"/>
    </xf>
    <xf numFmtId="1" fontId="1" fillId="0" borderId="21" xfId="2" applyNumberFormat="1" applyFont="1" applyBorder="1" applyAlignment="1">
      <alignment horizontal="center"/>
    </xf>
    <xf numFmtId="1" fontId="1" fillId="0" borderId="1" xfId="2" applyNumberFormat="1" applyFont="1" applyBorder="1" applyAlignment="1">
      <alignment horizontal="center"/>
    </xf>
    <xf numFmtId="1" fontId="1" fillId="0" borderId="11" xfId="2" applyNumberFormat="1" applyFont="1" applyBorder="1" applyAlignment="1">
      <alignment horizontal="center"/>
    </xf>
    <xf numFmtId="176" fontId="1" fillId="0" borderId="21" xfId="2" applyNumberFormat="1" applyFont="1" applyBorder="1" applyAlignment="1">
      <alignment horizontal="center"/>
    </xf>
    <xf numFmtId="176" fontId="1" fillId="0" borderId="1" xfId="2" applyNumberFormat="1" applyFont="1" applyBorder="1" applyAlignment="1">
      <alignment horizontal="center"/>
    </xf>
    <xf numFmtId="176" fontId="1" fillId="0" borderId="11" xfId="2" applyNumberFormat="1" applyFont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" fillId="3" borderId="17" xfId="2" applyFont="1" applyFill="1" applyBorder="1" applyAlignment="1">
      <alignment horizontal="center"/>
    </xf>
    <xf numFmtId="1" fontId="1" fillId="0" borderId="19" xfId="2" applyNumberFormat="1" applyFont="1" applyBorder="1" applyAlignment="1">
      <alignment horizontal="center"/>
    </xf>
    <xf numFmtId="1" fontId="1" fillId="0" borderId="12" xfId="2" applyNumberFormat="1" applyFont="1" applyBorder="1" applyAlignment="1">
      <alignment horizontal="center"/>
    </xf>
    <xf numFmtId="1" fontId="1" fillId="0" borderId="13" xfId="2" applyNumberFormat="1" applyFont="1" applyBorder="1" applyAlignment="1">
      <alignment horizontal="center"/>
    </xf>
    <xf numFmtId="1" fontId="1" fillId="0" borderId="0" xfId="2" applyNumberFormat="1" applyFont="1" applyAlignment="1">
      <alignment horizontal="center"/>
    </xf>
    <xf numFmtId="0" fontId="7" fillId="0" borderId="0" xfId="2" applyFont="1"/>
    <xf numFmtId="177" fontId="0" fillId="5" borderId="1" xfId="0" applyNumberFormat="1" applyFill="1" applyBorder="1"/>
    <xf numFmtId="0" fontId="0" fillId="5" borderId="1" xfId="0" applyFill="1" applyBorder="1" applyAlignment="1">
      <alignment horizontal="center"/>
    </xf>
    <xf numFmtId="185" fontId="0" fillId="0" borderId="0" xfId="0" applyNumberFormat="1"/>
    <xf numFmtId="186" fontId="0" fillId="0" borderId="0" xfId="0" applyNumberFormat="1"/>
    <xf numFmtId="0" fontId="13" fillId="0" borderId="1" xfId="3" applyBorder="1"/>
    <xf numFmtId="176" fontId="4" fillId="2" borderId="3" xfId="0" applyNumberFormat="1" applyFont="1" applyFill="1" applyBorder="1" applyAlignment="1">
      <alignment horizontal="center"/>
    </xf>
    <xf numFmtId="180" fontId="4" fillId="2" borderId="3" xfId="0" applyNumberFormat="1" applyFont="1" applyFill="1" applyBorder="1" applyAlignment="1">
      <alignment horizontal="center"/>
    </xf>
    <xf numFmtId="187" fontId="4" fillId="2" borderId="0" xfId="0" applyNumberFormat="1" applyFont="1" applyFill="1"/>
    <xf numFmtId="179" fontId="4" fillId="2" borderId="0" xfId="0" applyNumberFormat="1" applyFont="1" applyFill="1"/>
    <xf numFmtId="192" fontId="4" fillId="2" borderId="0" xfId="0" applyNumberFormat="1" applyFont="1" applyFill="1"/>
    <xf numFmtId="185" fontId="4" fillId="2" borderId="0" xfId="0" applyNumberFormat="1" applyFont="1" applyFill="1"/>
    <xf numFmtId="176" fontId="0" fillId="0" borderId="1" xfId="0" applyNumberFormat="1" applyBorder="1"/>
    <xf numFmtId="11" fontId="0" fillId="0" borderId="1" xfId="0" applyNumberFormat="1" applyBorder="1"/>
    <xf numFmtId="190" fontId="0" fillId="0" borderId="1" xfId="0" applyNumberFormat="1" applyBorder="1"/>
    <xf numFmtId="186" fontId="0" fillId="0" borderId="1" xfId="0" applyNumberFormat="1" applyBorder="1"/>
    <xf numFmtId="185" fontId="0" fillId="0" borderId="1" xfId="0" applyNumberFormat="1" applyBorder="1"/>
    <xf numFmtId="179" fontId="0" fillId="0" borderId="0" xfId="0" applyNumberFormat="1"/>
    <xf numFmtId="0" fontId="4" fillId="0" borderId="0" xfId="0" applyFont="1"/>
    <xf numFmtId="0" fontId="31" fillId="2" borderId="0" xfId="0" applyFont="1" applyFill="1"/>
    <xf numFmtId="0" fontId="4" fillId="0" borderId="41" xfId="0" applyFont="1" applyBorder="1"/>
    <xf numFmtId="0" fontId="4" fillId="0" borderId="42" xfId="0" applyFont="1" applyBorder="1"/>
    <xf numFmtId="0" fontId="4" fillId="0" borderId="43" xfId="0" applyFont="1" applyBorder="1"/>
    <xf numFmtId="0" fontId="4" fillId="0" borderId="44" xfId="0" applyFont="1" applyBorder="1"/>
    <xf numFmtId="0" fontId="4" fillId="0" borderId="45" xfId="0" applyFont="1" applyBorder="1"/>
    <xf numFmtId="0" fontId="4" fillId="0" borderId="46" xfId="0" applyFont="1" applyBorder="1"/>
    <xf numFmtId="0" fontId="4" fillId="0" borderId="47" xfId="0" applyFont="1" applyBorder="1"/>
    <xf numFmtId="0" fontId="4" fillId="0" borderId="48" xfId="0" applyFont="1" applyBorder="1"/>
    <xf numFmtId="0" fontId="30" fillId="0" borderId="0" xfId="0" applyFont="1"/>
    <xf numFmtId="0" fontId="8" fillId="0" borderId="1" xfId="0" applyFont="1" applyBorder="1"/>
    <xf numFmtId="0" fontId="4" fillId="2" borderId="49" xfId="0" applyFont="1" applyFill="1" applyBorder="1"/>
    <xf numFmtId="0" fontId="4" fillId="2" borderId="50" xfId="0" applyFont="1" applyFill="1" applyBorder="1"/>
    <xf numFmtId="177" fontId="32" fillId="0" borderId="21" xfId="0" applyNumberFormat="1" applyFont="1" applyBorder="1" applyAlignment="1">
      <alignment horizontal="center"/>
    </xf>
    <xf numFmtId="11" fontId="4" fillId="2" borderId="51" xfId="0" applyNumberFormat="1" applyFont="1" applyFill="1" applyBorder="1" applyAlignment="1">
      <alignment horizontal="center"/>
    </xf>
    <xf numFmtId="190" fontId="4" fillId="2" borderId="52" xfId="0" applyNumberFormat="1" applyFont="1" applyFill="1" applyBorder="1" applyAlignment="1">
      <alignment horizontal="center"/>
    </xf>
    <xf numFmtId="11" fontId="4" fillId="2" borderId="3" xfId="0" applyNumberFormat="1" applyFont="1" applyFill="1" applyBorder="1"/>
    <xf numFmtId="2" fontId="4" fillId="2" borderId="3" xfId="0" applyNumberFormat="1" applyFont="1" applyFill="1" applyBorder="1" applyAlignment="1">
      <alignment horizontal="center"/>
    </xf>
    <xf numFmtId="1" fontId="4" fillId="2" borderId="3" xfId="0" applyNumberFormat="1" applyFont="1" applyFill="1" applyBorder="1" applyAlignment="1">
      <alignment horizontal="center"/>
    </xf>
    <xf numFmtId="181" fontId="4" fillId="2" borderId="3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3" fillId="0" borderId="0" xfId="0" applyFont="1"/>
    <xf numFmtId="0" fontId="33" fillId="0" borderId="0" xfId="0" applyFont="1" applyAlignment="1">
      <alignment horizontal="left"/>
    </xf>
    <xf numFmtId="0" fontId="34" fillId="0" borderId="0" xfId="0" applyFont="1"/>
    <xf numFmtId="0" fontId="35" fillId="0" borderId="53" xfId="0" applyFont="1" applyBorder="1" applyAlignment="1">
      <alignment horizontal="right"/>
    </xf>
    <xf numFmtId="0" fontId="7" fillId="0" borderId="0" xfId="0" applyFont="1"/>
    <xf numFmtId="0" fontId="35" fillId="0" borderId="0" xfId="0" applyFont="1" applyAlignment="1">
      <alignment horizontal="right"/>
    </xf>
    <xf numFmtId="0" fontId="7" fillId="0" borderId="54" xfId="0" applyFont="1" applyBorder="1"/>
    <xf numFmtId="0" fontId="7" fillId="0" borderId="14" xfId="0" applyFont="1" applyBorder="1"/>
    <xf numFmtId="183" fontId="0" fillId="0" borderId="0" xfId="0" applyNumberFormat="1"/>
    <xf numFmtId="0" fontId="36" fillId="0" borderId="1" xfId="0" applyFont="1" applyBorder="1" applyAlignment="1">
      <alignment horizontal="center"/>
    </xf>
    <xf numFmtId="3" fontId="0" fillId="0" borderId="0" xfId="0" applyNumberFormat="1"/>
    <xf numFmtId="184" fontId="4" fillId="0" borderId="0" xfId="0" applyNumberFormat="1" applyFont="1"/>
    <xf numFmtId="0" fontId="9" fillId="0" borderId="0" xfId="0" applyFont="1"/>
    <xf numFmtId="0" fontId="9" fillId="0" borderId="0" xfId="0" applyFont="1" applyAlignment="1">
      <alignment horizontal="center"/>
    </xf>
    <xf numFmtId="11" fontId="9" fillId="0" borderId="0" xfId="0" applyNumberFormat="1" applyFont="1"/>
    <xf numFmtId="180" fontId="9" fillId="0" borderId="0" xfId="0" applyNumberFormat="1" applyFont="1"/>
    <xf numFmtId="0" fontId="9" fillId="0" borderId="55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37" fillId="0" borderId="0" xfId="0" applyFont="1"/>
    <xf numFmtId="0" fontId="1" fillId="0" borderId="1" xfId="0" applyFont="1" applyBorder="1" applyAlignment="1">
      <alignment horizontal="center"/>
    </xf>
    <xf numFmtId="0" fontId="38" fillId="0" borderId="0" xfId="0" applyFont="1"/>
    <xf numFmtId="194" fontId="9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94" fontId="9" fillId="0" borderId="0" xfId="0" applyNumberFormat="1" applyFont="1" applyAlignment="1">
      <alignment horizontal="center"/>
    </xf>
    <xf numFmtId="0" fontId="1" fillId="5" borderId="40" xfId="0" applyFont="1" applyFill="1" applyBorder="1" applyAlignment="1">
      <alignment horizontal="center"/>
    </xf>
    <xf numFmtId="11" fontId="1" fillId="5" borderId="34" xfId="0" applyNumberFormat="1" applyFont="1" applyFill="1" applyBorder="1" applyAlignment="1">
      <alignment horizontal="center"/>
    </xf>
    <xf numFmtId="0" fontId="15" fillId="5" borderId="40" xfId="0" applyFont="1" applyFill="1" applyBorder="1" applyAlignment="1">
      <alignment horizontal="center"/>
    </xf>
    <xf numFmtId="190" fontId="1" fillId="5" borderId="34" xfId="0" applyNumberFormat="1" applyFont="1" applyFill="1" applyBorder="1" applyAlignment="1">
      <alignment horizontal="center"/>
    </xf>
    <xf numFmtId="0" fontId="0" fillId="5" borderId="35" xfId="0" applyFill="1" applyBorder="1"/>
    <xf numFmtId="0" fontId="36" fillId="5" borderId="1" xfId="0" applyFont="1" applyFill="1" applyBorder="1" applyAlignment="1">
      <alignment horizontal="center"/>
    </xf>
    <xf numFmtId="0" fontId="9" fillId="0" borderId="57" xfId="0" applyFont="1" applyBorder="1" applyAlignment="1">
      <alignment horizontal="center"/>
    </xf>
    <xf numFmtId="0" fontId="9" fillId="0" borderId="43" xfId="0" applyFont="1" applyBorder="1" applyAlignment="1">
      <alignment horizontal="center"/>
    </xf>
    <xf numFmtId="0" fontId="39" fillId="0" borderId="0" xfId="0" applyFont="1"/>
    <xf numFmtId="0" fontId="4" fillId="0" borderId="0" xfId="0" applyFont="1" applyAlignment="1">
      <alignment horizontal="center"/>
    </xf>
    <xf numFmtId="11" fontId="4" fillId="0" borderId="0" xfId="0" applyNumberFormat="1" applyFont="1"/>
    <xf numFmtId="2" fontId="4" fillId="2" borderId="8" xfId="0" applyNumberFormat="1" applyFont="1" applyFill="1" applyBorder="1" applyAlignment="1">
      <alignment horizontal="center"/>
    </xf>
    <xf numFmtId="190" fontId="0" fillId="0" borderId="0" xfId="0" applyNumberFormat="1" applyAlignment="1">
      <alignment horizontal="center"/>
    </xf>
    <xf numFmtId="0" fontId="5" fillId="0" borderId="0" xfId="0" applyFont="1" applyAlignment="1">
      <alignment vertical="top" wrapText="1"/>
    </xf>
    <xf numFmtId="0" fontId="40" fillId="0" borderId="0" xfId="0" applyFont="1"/>
    <xf numFmtId="0" fontId="6" fillId="0" borderId="59" xfId="0" applyFont="1" applyBorder="1" applyAlignment="1">
      <alignment horizontal="center" vertical="center" wrapText="1"/>
    </xf>
    <xf numFmtId="0" fontId="42" fillId="0" borderId="59" xfId="0" applyFont="1" applyBorder="1" applyAlignment="1">
      <alignment horizontal="center" vertical="top" wrapText="1"/>
    </xf>
    <xf numFmtId="0" fontId="43" fillId="0" borderId="0" xfId="0" applyFont="1"/>
    <xf numFmtId="0" fontId="15" fillId="6" borderId="1" xfId="0" applyFont="1" applyFill="1" applyBorder="1" applyAlignment="1">
      <alignment horizontal="center"/>
    </xf>
    <xf numFmtId="0" fontId="47" fillId="0" borderId="0" xfId="0" applyFont="1"/>
    <xf numFmtId="0" fontId="42" fillId="0" borderId="0" xfId="0" applyFont="1" applyAlignment="1">
      <alignment horizontal="center" vertical="top" wrapText="1"/>
    </xf>
    <xf numFmtId="191" fontId="0" fillId="0" borderId="0" xfId="0" applyNumberFormat="1"/>
    <xf numFmtId="189" fontId="4" fillId="2" borderId="0" xfId="0" applyNumberFormat="1" applyFont="1" applyFill="1"/>
    <xf numFmtId="0" fontId="48" fillId="0" borderId="0" xfId="0" applyFont="1" applyAlignment="1">
      <alignment horizontal="justify"/>
    </xf>
    <xf numFmtId="0" fontId="4" fillId="2" borderId="49" xfId="0" applyFont="1" applyFill="1" applyBorder="1" applyAlignment="1">
      <alignment horizontal="center"/>
    </xf>
    <xf numFmtId="0" fontId="4" fillId="2" borderId="50" xfId="0" applyFont="1" applyFill="1" applyBorder="1" applyAlignment="1">
      <alignment horizontal="center"/>
    </xf>
    <xf numFmtId="0" fontId="4" fillId="2" borderId="61" xfId="0" applyFont="1" applyFill="1" applyBorder="1" applyAlignment="1">
      <alignment horizontal="center"/>
    </xf>
    <xf numFmtId="0" fontId="4" fillId="2" borderId="62" xfId="0" applyFont="1" applyFill="1" applyBorder="1" applyAlignment="1">
      <alignment horizontal="center"/>
    </xf>
    <xf numFmtId="11" fontId="4" fillId="2" borderId="61" xfId="0" applyNumberFormat="1" applyFont="1" applyFill="1" applyBorder="1" applyAlignment="1">
      <alignment horizontal="center" vertical="center"/>
    </xf>
    <xf numFmtId="11" fontId="4" fillId="2" borderId="63" xfId="0" applyNumberFormat="1" applyFont="1" applyFill="1" applyBorder="1" applyAlignment="1">
      <alignment horizontal="center" vertical="center"/>
    </xf>
    <xf numFmtId="11" fontId="4" fillId="2" borderId="62" xfId="0" applyNumberFormat="1" applyFont="1" applyFill="1" applyBorder="1" applyAlignment="1">
      <alignment horizontal="center" vertical="center"/>
    </xf>
    <xf numFmtId="177" fontId="4" fillId="2" borderId="64" xfId="0" applyNumberFormat="1" applyFont="1" applyFill="1" applyBorder="1" applyAlignment="1">
      <alignment horizontal="center"/>
    </xf>
    <xf numFmtId="177" fontId="4" fillId="2" borderId="65" xfId="0" applyNumberFormat="1" applyFont="1" applyFill="1" applyBorder="1" applyAlignment="1">
      <alignment horizontal="center"/>
    </xf>
    <xf numFmtId="0" fontId="4" fillId="2" borderId="64" xfId="0" applyFont="1" applyFill="1" applyBorder="1" applyAlignment="1">
      <alignment horizontal="center" vertical="center"/>
    </xf>
    <xf numFmtId="0" fontId="4" fillId="2" borderId="65" xfId="0" applyFont="1" applyFill="1" applyBorder="1" applyAlignment="1">
      <alignment horizontal="center" vertical="center"/>
    </xf>
    <xf numFmtId="177" fontId="24" fillId="2" borderId="64" xfId="0" applyNumberFormat="1" applyFont="1" applyFill="1" applyBorder="1" applyAlignment="1">
      <alignment horizontal="center" vertical="center" wrapText="1"/>
    </xf>
    <xf numFmtId="177" fontId="24" fillId="2" borderId="65" xfId="0" applyNumberFormat="1" applyFont="1" applyFill="1" applyBorder="1" applyAlignment="1">
      <alignment horizontal="center" vertical="center" wrapText="1"/>
    </xf>
    <xf numFmtId="0" fontId="18" fillId="2" borderId="66" xfId="0" applyFont="1" applyFill="1" applyBorder="1" applyAlignment="1">
      <alignment horizontal="center" vertical="center"/>
    </xf>
    <xf numFmtId="0" fontId="18" fillId="2" borderId="67" xfId="0" applyFont="1" applyFill="1" applyBorder="1" applyAlignment="1">
      <alignment horizontal="center" vertical="center"/>
    </xf>
    <xf numFmtId="0" fontId="18" fillId="2" borderId="68" xfId="0" applyFont="1" applyFill="1" applyBorder="1" applyAlignment="1">
      <alignment horizontal="center" vertical="center"/>
    </xf>
    <xf numFmtId="0" fontId="18" fillId="2" borderId="69" xfId="0" applyFont="1" applyFill="1" applyBorder="1" applyAlignment="1">
      <alignment horizontal="center" vertical="center"/>
    </xf>
    <xf numFmtId="0" fontId="18" fillId="2" borderId="70" xfId="0" applyFont="1" applyFill="1" applyBorder="1" applyAlignment="1">
      <alignment horizontal="center" vertical="center"/>
    </xf>
    <xf numFmtId="0" fontId="18" fillId="2" borderId="71" xfId="0" applyFont="1" applyFill="1" applyBorder="1" applyAlignment="1">
      <alignment horizontal="center" vertical="center"/>
    </xf>
    <xf numFmtId="0" fontId="5" fillId="0" borderId="0" xfId="0" applyFont="1" applyAlignment="1">
      <alignment vertical="top" wrapText="1"/>
    </xf>
    <xf numFmtId="0" fontId="13" fillId="0" borderId="0" xfId="3" applyAlignment="1">
      <alignment horizontal="center"/>
    </xf>
    <xf numFmtId="0" fontId="1" fillId="0" borderId="24" xfId="2" applyFont="1" applyBorder="1" applyAlignment="1">
      <alignment horizontal="center" vertical="center"/>
    </xf>
    <xf numFmtId="0" fontId="1" fillId="0" borderId="25" xfId="2" applyFont="1" applyBorder="1" applyAlignment="1">
      <alignment horizontal="center" vertical="center"/>
    </xf>
    <xf numFmtId="0" fontId="1" fillId="0" borderId="72" xfId="2" applyFont="1" applyBorder="1" applyAlignment="1">
      <alignment horizontal="center" vertical="center"/>
    </xf>
    <xf numFmtId="0" fontId="1" fillId="0" borderId="35" xfId="2" applyFont="1" applyBorder="1" applyAlignment="1">
      <alignment horizontal="center" vertical="center"/>
    </xf>
    <xf numFmtId="0" fontId="1" fillId="0" borderId="40" xfId="2" applyFont="1" applyBorder="1" applyAlignment="1">
      <alignment horizontal="center" vertical="center"/>
    </xf>
    <xf numFmtId="0" fontId="1" fillId="0" borderId="34" xfId="2" applyFont="1" applyBorder="1" applyAlignment="1">
      <alignment horizontal="center" vertical="center"/>
    </xf>
    <xf numFmtId="0" fontId="1" fillId="0" borderId="37" xfId="2" applyFont="1" applyBorder="1" applyAlignment="1">
      <alignment horizontal="center" vertical="center"/>
    </xf>
    <xf numFmtId="0" fontId="1" fillId="0" borderId="73" xfId="2" applyFont="1" applyBorder="1" applyAlignment="1">
      <alignment horizontal="center" vertical="center"/>
    </xf>
    <xf numFmtId="0" fontId="1" fillId="0" borderId="22" xfId="2" applyFont="1" applyBorder="1" applyAlignment="1">
      <alignment horizontal="center" vertical="center"/>
    </xf>
    <xf numFmtId="0" fontId="1" fillId="0" borderId="29" xfId="2" applyFont="1" applyBorder="1" applyAlignment="1">
      <alignment horizontal="center" vertical="center"/>
    </xf>
    <xf numFmtId="0" fontId="1" fillId="0" borderId="30" xfId="2" applyFont="1" applyBorder="1" applyAlignment="1">
      <alignment horizontal="center" vertical="center"/>
    </xf>
    <xf numFmtId="0" fontId="1" fillId="0" borderId="74" xfId="2" applyFont="1" applyBorder="1" applyAlignment="1">
      <alignment horizontal="center" vertical="center"/>
    </xf>
    <xf numFmtId="177" fontId="0" fillId="0" borderId="21" xfId="0" applyNumberFormat="1" applyBorder="1" applyAlignment="1">
      <alignment horizontal="center"/>
    </xf>
    <xf numFmtId="177" fontId="0" fillId="0" borderId="11" xfId="0" applyNumberFormat="1" applyBorder="1" applyAlignment="1">
      <alignment horizontal="center"/>
    </xf>
    <xf numFmtId="176" fontId="0" fillId="0" borderId="19" xfId="0" applyNumberFormat="1" applyBorder="1" applyAlignment="1">
      <alignment horizontal="center"/>
    </xf>
    <xf numFmtId="176" fontId="0" fillId="0" borderId="13" xfId="0" applyNumberFormat="1" applyBorder="1" applyAlignment="1">
      <alignment horizontal="center"/>
    </xf>
    <xf numFmtId="176" fontId="0" fillId="0" borderId="38" xfId="0" applyNumberFormat="1" applyBorder="1" applyAlignment="1">
      <alignment horizontal="center"/>
    </xf>
    <xf numFmtId="176" fontId="0" fillId="0" borderId="36" xfId="0" applyNumberFormat="1" applyBorder="1" applyAlignment="1">
      <alignment horizontal="center"/>
    </xf>
    <xf numFmtId="185" fontId="0" fillId="0" borderId="38" xfId="0" applyNumberFormat="1" applyBorder="1" applyAlignment="1">
      <alignment horizontal="center"/>
    </xf>
    <xf numFmtId="185" fontId="0" fillId="0" borderId="36" xfId="0" applyNumberFormat="1" applyBorder="1" applyAlignment="1">
      <alignment horizontal="center"/>
    </xf>
    <xf numFmtId="177" fontId="0" fillId="0" borderId="38" xfId="0" applyNumberFormat="1" applyBorder="1" applyAlignment="1">
      <alignment horizontal="center"/>
    </xf>
    <xf numFmtId="177" fontId="0" fillId="0" borderId="36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177" fontId="0" fillId="0" borderId="34" xfId="0" applyNumberFormat="1" applyBorder="1" applyAlignment="1">
      <alignment horizontal="center"/>
    </xf>
    <xf numFmtId="176" fontId="0" fillId="0" borderId="40" xfId="0" applyNumberFormat="1" applyBorder="1" applyAlignment="1">
      <alignment horizontal="center"/>
    </xf>
    <xf numFmtId="177" fontId="0" fillId="0" borderId="35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4" xfId="0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2" fontId="0" fillId="5" borderId="35" xfId="0" applyNumberFormat="1" applyFill="1" applyBorder="1" applyAlignment="1">
      <alignment horizontal="center"/>
    </xf>
    <xf numFmtId="2" fontId="0" fillId="5" borderId="34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3" borderId="35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176" fontId="0" fillId="0" borderId="35" xfId="0" applyNumberFormat="1" applyBorder="1" applyAlignment="1">
      <alignment horizontal="center"/>
    </xf>
    <xf numFmtId="177" fontId="0" fillId="0" borderId="19" xfId="0" applyNumberFormat="1" applyBorder="1" applyAlignment="1">
      <alignment horizontal="center"/>
    </xf>
    <xf numFmtId="177" fontId="0" fillId="0" borderId="12" xfId="0" applyNumberFormat="1" applyBorder="1" applyAlignment="1">
      <alignment horizontal="center"/>
    </xf>
    <xf numFmtId="177" fontId="0" fillId="0" borderId="13" xfId="0" applyNumberFormat="1" applyBorder="1" applyAlignment="1">
      <alignment horizontal="center"/>
    </xf>
    <xf numFmtId="182" fontId="0" fillId="0" borderId="21" xfId="0" applyNumberFormat="1" applyBorder="1" applyAlignment="1">
      <alignment horizontal="center"/>
    </xf>
    <xf numFmtId="182" fontId="0" fillId="0" borderId="1" xfId="0" applyNumberFormat="1" applyBorder="1" applyAlignment="1">
      <alignment horizontal="center"/>
    </xf>
    <xf numFmtId="182" fontId="0" fillId="0" borderId="11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3" xfId="0" applyBorder="1" applyAlignment="1">
      <alignment horizontal="center"/>
    </xf>
    <xf numFmtId="2" fontId="0" fillId="3" borderId="35" xfId="0" applyNumberFormat="1" applyFill="1" applyBorder="1" applyAlignment="1">
      <alignment horizontal="center"/>
    </xf>
    <xf numFmtId="2" fontId="0" fillId="3" borderId="34" xfId="0" applyNumberFormat="1" applyFill="1" applyBorder="1" applyAlignment="1">
      <alignment horizontal="center"/>
    </xf>
    <xf numFmtId="176" fontId="0" fillId="0" borderId="12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1" xfId="0" applyBorder="1" applyAlignment="1">
      <alignment horizontal="center"/>
    </xf>
    <xf numFmtId="176" fontId="0" fillId="0" borderId="21" xfId="0" applyNumberFormat="1" applyBorder="1" applyAlignment="1">
      <alignment horizontal="center"/>
    </xf>
    <xf numFmtId="176" fontId="0" fillId="0" borderId="1" xfId="0" applyNumberFormat="1" applyBorder="1" applyAlignment="1">
      <alignment horizontal="center"/>
    </xf>
    <xf numFmtId="176" fontId="0" fillId="0" borderId="11" xfId="0" applyNumberFormat="1" applyBorder="1" applyAlignment="1">
      <alignment horizontal="center"/>
    </xf>
    <xf numFmtId="177" fontId="0" fillId="0" borderId="40" xfId="0" applyNumberFormat="1" applyBorder="1" applyAlignment="1">
      <alignment horizontal="center"/>
    </xf>
    <xf numFmtId="176" fontId="0" fillId="0" borderId="23" xfId="0" applyNumberFormat="1" applyBorder="1" applyAlignment="1">
      <alignment horizontal="center"/>
    </xf>
    <xf numFmtId="176" fontId="0" fillId="3" borderId="40" xfId="0" applyNumberFormat="1" applyFill="1" applyBorder="1" applyAlignment="1">
      <alignment horizontal="center"/>
    </xf>
    <xf numFmtId="176" fontId="0" fillId="3" borderId="36" xfId="0" applyNumberFormat="1" applyFill="1" applyBorder="1" applyAlignment="1">
      <alignment horizontal="center"/>
    </xf>
    <xf numFmtId="185" fontId="0" fillId="3" borderId="40" xfId="0" applyNumberFormat="1" applyFill="1" applyBorder="1" applyAlignment="1">
      <alignment horizontal="center"/>
    </xf>
    <xf numFmtId="185" fontId="0" fillId="3" borderId="36" xfId="0" applyNumberForma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4" fillId="2" borderId="8" xfId="0" applyFont="1" applyFill="1" applyBorder="1" applyAlignment="1"/>
    <xf numFmtId="0" fontId="4" fillId="2" borderId="49" xfId="0" applyFont="1" applyFill="1" applyBorder="1" applyAlignment="1"/>
    <xf numFmtId="0" fontId="4" fillId="2" borderId="50" xfId="0" applyFont="1" applyFill="1" applyBorder="1" applyAlignment="1"/>
    <xf numFmtId="11" fontId="1" fillId="0" borderId="0" xfId="0" applyNumberFormat="1" applyFont="1"/>
    <xf numFmtId="185" fontId="1" fillId="0" borderId="0" xfId="0" applyNumberFormat="1" applyFont="1"/>
    <xf numFmtId="179" fontId="1" fillId="0" borderId="0" xfId="0" applyNumberFormat="1" applyFont="1"/>
    <xf numFmtId="195" fontId="1" fillId="0" borderId="0" xfId="1" applyNumberFormat="1" applyFont="1" applyFill="1" applyBorder="1"/>
    <xf numFmtId="9" fontId="1" fillId="0" borderId="0" xfId="1" applyFont="1" applyFill="1" applyBorder="1"/>
    <xf numFmtId="190" fontId="1" fillId="0" borderId="0" xfId="0" applyNumberFormat="1" applyFont="1"/>
    <xf numFmtId="194" fontId="1" fillId="0" borderId="1" xfId="0" applyNumberFormat="1" applyFont="1" applyBorder="1" applyAlignment="1">
      <alignment horizontal="center"/>
    </xf>
    <xf numFmtId="181" fontId="1" fillId="0" borderId="0" xfId="0" applyNumberFormat="1" applyFont="1"/>
    <xf numFmtId="0" fontId="1" fillId="0" borderId="60" xfId="0" applyFont="1" applyBorder="1" applyAlignment="1">
      <alignment horizontal="center"/>
    </xf>
    <xf numFmtId="191" fontId="1" fillId="0" borderId="48" xfId="0" applyNumberFormat="1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186" fontId="1" fillId="0" borderId="55" xfId="1" applyNumberFormat="1" applyFont="1" applyFill="1" applyBorder="1" applyAlignment="1">
      <alignment horizontal="center"/>
    </xf>
    <xf numFmtId="191" fontId="1" fillId="0" borderId="55" xfId="0" applyNumberFormat="1" applyFont="1" applyBorder="1" applyAlignment="1">
      <alignment horizontal="center"/>
    </xf>
    <xf numFmtId="191" fontId="1" fillId="0" borderId="0" xfId="0" applyNumberFormat="1" applyFont="1"/>
    <xf numFmtId="180" fontId="1" fillId="0" borderId="0" xfId="0" applyNumberFormat="1" applyFont="1"/>
    <xf numFmtId="184" fontId="1" fillId="0" borderId="0" xfId="0" applyNumberFormat="1" applyFont="1"/>
    <xf numFmtId="177" fontId="1" fillId="0" borderId="0" xfId="0" applyNumberFormat="1" applyFont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0" borderId="1" xfId="0" applyNumberFormat="1" applyFont="1" applyBorder="1" applyAlignment="1">
      <alignment horizontal="center"/>
    </xf>
    <xf numFmtId="184" fontId="1" fillId="0" borderId="1" xfId="1" applyNumberFormat="1" applyFont="1" applyFill="1" applyBorder="1" applyAlignment="1">
      <alignment horizontal="center"/>
    </xf>
    <xf numFmtId="177" fontId="1" fillId="6" borderId="1" xfId="0" applyNumberFormat="1" applyFont="1" applyFill="1" applyBorder="1" applyAlignment="1">
      <alignment horizontal="center"/>
    </xf>
    <xf numFmtId="2" fontId="1" fillId="6" borderId="1" xfId="0" applyNumberFormat="1" applyFont="1" applyFill="1" applyBorder="1" applyAlignment="1">
      <alignment horizontal="center"/>
    </xf>
    <xf numFmtId="1" fontId="1" fillId="6" borderId="1" xfId="0" applyNumberFormat="1" applyFont="1" applyFill="1" applyBorder="1" applyAlignment="1">
      <alignment horizontal="center"/>
    </xf>
    <xf numFmtId="9" fontId="1" fillId="0" borderId="0" xfId="1" applyFont="1" applyFill="1" applyBorder="1" applyAlignment="1">
      <alignment horizontal="center"/>
    </xf>
    <xf numFmtId="180" fontId="1" fillId="0" borderId="0" xfId="0" applyNumberFormat="1" applyFont="1" applyAlignment="1">
      <alignment horizontal="center"/>
    </xf>
    <xf numFmtId="197" fontId="1" fillId="0" borderId="0" xfId="0" applyNumberFormat="1" applyFont="1"/>
    <xf numFmtId="0" fontId="1" fillId="0" borderId="0" xfId="0" applyFont="1" applyAlignment="1">
      <alignment vertical="top" wrapText="1"/>
    </xf>
    <xf numFmtId="183" fontId="1" fillId="0" borderId="0" xfId="1" applyNumberFormat="1" applyFont="1" applyFill="1" applyBorder="1"/>
    <xf numFmtId="190" fontId="1" fillId="0" borderId="0" xfId="0" applyNumberFormat="1" applyFont="1" applyAlignment="1">
      <alignment horizontal="center"/>
    </xf>
    <xf numFmtId="183" fontId="1" fillId="0" borderId="0" xfId="1" applyNumberFormat="1" applyFont="1" applyFill="1" applyBorder="1" applyAlignment="1">
      <alignment horizontal="center"/>
    </xf>
    <xf numFmtId="0" fontId="1" fillId="5" borderId="35" xfId="0" applyFont="1" applyFill="1" applyBorder="1"/>
    <xf numFmtId="0" fontId="1" fillId="5" borderId="40" xfId="0" applyFont="1" applyFill="1" applyBorder="1"/>
    <xf numFmtId="0" fontId="1" fillId="5" borderId="34" xfId="0" applyFont="1" applyFill="1" applyBorder="1" applyAlignment="1">
      <alignment horizontal="center"/>
    </xf>
    <xf numFmtId="11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3" borderId="0" xfId="0" applyNumberFormat="1" applyFont="1" applyFill="1" applyAlignment="1">
      <alignment horizontal="center"/>
    </xf>
    <xf numFmtId="0" fontId="1" fillId="3" borderId="0" xfId="0" applyFont="1" applyFill="1" applyAlignment="1">
      <alignment horizontal="center"/>
    </xf>
    <xf numFmtId="177" fontId="1" fillId="3" borderId="0" xfId="0" applyNumberFormat="1" applyFont="1" applyFill="1" applyAlignment="1">
      <alignment horizontal="center"/>
    </xf>
    <xf numFmtId="176" fontId="1" fillId="0" borderId="1" xfId="0" applyNumberFormat="1" applyFont="1" applyBorder="1" applyAlignment="1">
      <alignment horizontal="center"/>
    </xf>
    <xf numFmtId="191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92" fontId="1" fillId="5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2" fontId="1" fillId="3" borderId="1" xfId="0" applyNumberFormat="1" applyFont="1" applyFill="1" applyBorder="1" applyAlignment="1">
      <alignment horizontal="center"/>
    </xf>
    <xf numFmtId="11" fontId="1" fillId="5" borderId="1" xfId="0" applyNumberFormat="1" applyFont="1" applyFill="1" applyBorder="1"/>
    <xf numFmtId="195" fontId="1" fillId="5" borderId="1" xfId="1" applyNumberFormat="1" applyFont="1" applyFill="1" applyBorder="1"/>
    <xf numFmtId="1" fontId="1" fillId="5" borderId="34" xfId="0" applyNumberFormat="1" applyFont="1" applyFill="1" applyBorder="1"/>
    <xf numFmtId="1" fontId="1" fillId="0" borderId="0" xfId="0" applyNumberFormat="1" applyFont="1"/>
    <xf numFmtId="196" fontId="1" fillId="3" borderId="1" xfId="0" applyNumberFormat="1" applyFont="1" applyFill="1" applyBorder="1" applyAlignment="1">
      <alignment horizontal="center"/>
    </xf>
    <xf numFmtId="180" fontId="1" fillId="5" borderId="34" xfId="0" applyNumberFormat="1" applyFont="1" applyFill="1" applyBorder="1"/>
    <xf numFmtId="188" fontId="1" fillId="3" borderId="1" xfId="0" applyNumberFormat="1" applyFont="1" applyFill="1" applyBorder="1" applyAlignment="1">
      <alignment horizontal="center"/>
    </xf>
    <xf numFmtId="191" fontId="1" fillId="3" borderId="1" xfId="0" applyNumberFormat="1" applyFont="1" applyFill="1" applyBorder="1" applyAlignment="1">
      <alignment horizontal="center"/>
    </xf>
    <xf numFmtId="1" fontId="1" fillId="5" borderId="1" xfId="0" applyNumberFormat="1" applyFont="1" applyFill="1" applyBorder="1" applyAlignment="1">
      <alignment horizontal="center"/>
    </xf>
    <xf numFmtId="176" fontId="1" fillId="3" borderId="1" xfId="0" applyNumberFormat="1" applyFont="1" applyFill="1" applyBorder="1" applyAlignment="1">
      <alignment horizontal="center"/>
    </xf>
    <xf numFmtId="192" fontId="1" fillId="0" borderId="0" xfId="0" applyNumberFormat="1" applyFont="1"/>
    <xf numFmtId="0" fontId="1" fillId="3" borderId="0" xfId="0" applyFont="1" applyFill="1"/>
    <xf numFmtId="190" fontId="1" fillId="0" borderId="0" xfId="1" applyNumberFormat="1" applyFont="1" applyFill="1" applyBorder="1"/>
    <xf numFmtId="196" fontId="1" fillId="0" borderId="0" xfId="1" applyNumberFormat="1" applyFont="1" applyFill="1" applyBorder="1"/>
    <xf numFmtId="0" fontId="1" fillId="0" borderId="35" xfId="0" applyFont="1" applyBorder="1"/>
    <xf numFmtId="0" fontId="1" fillId="0" borderId="40" xfId="0" applyFont="1" applyBorder="1"/>
    <xf numFmtId="0" fontId="1" fillId="0" borderId="34" xfId="0" applyFont="1" applyBorder="1"/>
    <xf numFmtId="195" fontId="1" fillId="5" borderId="34" xfId="1" applyNumberFormat="1" applyFont="1" applyFill="1" applyBorder="1"/>
    <xf numFmtId="196" fontId="1" fillId="5" borderId="1" xfId="0" applyNumberFormat="1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192" fontId="1" fillId="0" borderId="40" xfId="0" applyNumberFormat="1" applyFont="1" applyBorder="1"/>
    <xf numFmtId="1" fontId="1" fillId="0" borderId="34" xfId="0" applyNumberFormat="1" applyFont="1" applyBorder="1"/>
    <xf numFmtId="186" fontId="1" fillId="0" borderId="0" xfId="0" applyNumberFormat="1" applyFont="1" applyAlignment="1">
      <alignment horizontal="center"/>
    </xf>
    <xf numFmtId="0" fontId="1" fillId="0" borderId="58" xfId="0" applyFont="1" applyBorder="1"/>
    <xf numFmtId="196" fontId="1" fillId="0" borderId="1" xfId="0" applyNumberFormat="1" applyFont="1" applyBorder="1" applyAlignment="1">
      <alignment horizontal="center"/>
    </xf>
    <xf numFmtId="196" fontId="1" fillId="0" borderId="0" xfId="0" applyNumberFormat="1" applyFont="1" applyAlignment="1">
      <alignment horizontal="center"/>
    </xf>
    <xf numFmtId="185" fontId="1" fillId="0" borderId="1" xfId="0" applyNumberFormat="1" applyFont="1" applyBorder="1" applyAlignment="1">
      <alignment horizontal="center"/>
    </xf>
    <xf numFmtId="176" fontId="1" fillId="0" borderId="0" xfId="0" applyNumberFormat="1" applyFont="1"/>
    <xf numFmtId="191" fontId="1" fillId="0" borderId="56" xfId="0" applyNumberFormat="1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180" fontId="1" fillId="0" borderId="1" xfId="0" applyNumberFormat="1" applyFont="1" applyBorder="1" applyAlignment="1">
      <alignment horizontal="center"/>
    </xf>
    <xf numFmtId="191" fontId="1" fillId="0" borderId="1" xfId="0" applyNumberFormat="1" applyFont="1" applyBorder="1" applyAlignment="1">
      <alignment horizontal="center"/>
    </xf>
    <xf numFmtId="192" fontId="1" fillId="0" borderId="1" xfId="0" applyNumberFormat="1" applyFont="1" applyBorder="1"/>
    <xf numFmtId="0" fontId="1" fillId="0" borderId="1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1" fillId="0" borderId="19" xfId="2" applyFont="1" applyBorder="1" applyAlignment="1">
      <alignment horizontal="center" vertical="center"/>
    </xf>
    <xf numFmtId="0" fontId="1" fillId="0" borderId="12" xfId="2" applyFont="1" applyBorder="1" applyAlignment="1">
      <alignment horizontal="center" vertical="center"/>
    </xf>
    <xf numFmtId="0" fontId="1" fillId="0" borderId="13" xfId="2" applyFont="1" applyBorder="1" applyAlignment="1">
      <alignment horizontal="center" vertical="center"/>
    </xf>
    <xf numFmtId="0" fontId="1" fillId="3" borderId="20" xfId="2" applyFont="1" applyFill="1" applyBorder="1" applyAlignment="1"/>
    <xf numFmtId="0" fontId="1" fillId="3" borderId="14" xfId="2" applyFont="1" applyFill="1" applyBorder="1" applyAlignment="1"/>
    <xf numFmtId="0" fontId="1" fillId="3" borderId="15" xfId="2" applyFont="1" applyFill="1" applyBorder="1" applyAlignment="1"/>
    <xf numFmtId="177" fontId="1" fillId="0" borderId="0" xfId="2" applyNumberFormat="1" applyFont="1"/>
    <xf numFmtId="0" fontId="1" fillId="3" borderId="21" xfId="2" applyFont="1" applyFill="1" applyBorder="1" applyAlignment="1"/>
    <xf numFmtId="0" fontId="1" fillId="3" borderId="1" xfId="2" applyFont="1" applyFill="1" applyBorder="1" applyAlignment="1"/>
    <xf numFmtId="0" fontId="1" fillId="3" borderId="11" xfId="2" applyFont="1" applyFill="1" applyBorder="1" applyAlignment="1"/>
    <xf numFmtId="0" fontId="1" fillId="3" borderId="38" xfId="2" applyFont="1" applyFill="1" applyBorder="1" applyAlignment="1"/>
    <xf numFmtId="0" fontId="1" fillId="3" borderId="40" xfId="2" applyFont="1" applyFill="1" applyBorder="1" applyAlignment="1"/>
    <xf numFmtId="0" fontId="1" fillId="3" borderId="36" xfId="2" applyFont="1" applyFill="1" applyBorder="1" applyAlignment="1"/>
    <xf numFmtId="1" fontId="1" fillId="0" borderId="0" xfId="2" applyNumberFormat="1" applyFont="1"/>
    <xf numFmtId="0" fontId="1" fillId="3" borderId="21" xfId="2" applyFont="1" applyFill="1" applyBorder="1" applyAlignment="1">
      <alignment horizontal="center"/>
    </xf>
    <xf numFmtId="0" fontId="1" fillId="3" borderId="1" xfId="2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3" borderId="19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" fillId="3" borderId="13" xfId="2" applyFont="1" applyFill="1" applyBorder="1" applyAlignment="1">
      <alignment horizontal="center"/>
    </xf>
    <xf numFmtId="0" fontId="1" fillId="3" borderId="19" xfId="2" applyFont="1" applyFill="1" applyBorder="1" applyAlignment="1"/>
    <xf numFmtId="0" fontId="1" fillId="3" borderId="12" xfId="2" applyFont="1" applyFill="1" applyBorder="1" applyAlignment="1"/>
  </cellXfs>
  <cellStyles count="4">
    <cellStyle name="백분율" xfId="1" builtinId="5"/>
    <cellStyle name="표준" xfId="0" builtinId="0"/>
    <cellStyle name="표준_FatigueDesign0" xfId="2" xr:uid="{C7AE7B3C-D0D9-40DA-807B-332A9FA02C1E}"/>
    <cellStyle name="표준_FatigueDesign1" xfId="3" xr:uid="{A3939E2F-B63F-46A0-9793-C41D370C1411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S-N Curve</a:t>
            </a:r>
          </a:p>
        </c:rich>
      </c:tx>
      <c:layout>
        <c:manualLayout>
          <c:xMode val="edge"/>
          <c:yMode val="edge"/>
          <c:x val="0.43793139650647117"/>
          <c:y val="2.28832951945080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034496257489442"/>
          <c:y val="0.12356979405034325"/>
          <c:w val="0.7793110009016373"/>
          <c:h val="0.70022883295194505"/>
        </c:manualLayout>
      </c:layout>
      <c:scatterChart>
        <c:scatterStyle val="lineMarker"/>
        <c:varyColors val="0"/>
        <c:ser>
          <c:idx val="0"/>
          <c:order val="0"/>
          <c:tx>
            <c:strRef>
              <c:f>DesignSN!$C$11</c:f>
              <c:strCache>
                <c:ptCount val="1"/>
                <c:pt idx="0">
                  <c:v>DNV - I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DesignSN!$D$54:$M$54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DesignSN!$D$55:$M$55</c:f>
              <c:numCache>
                <c:formatCode>0_ </c:formatCode>
                <c:ptCount val="10"/>
                <c:pt idx="0">
                  <c:v>16468.978654828712</c:v>
                </c:pt>
                <c:pt idx="1">
                  <c:v>7644.2227425260089</c:v>
                </c:pt>
                <c:pt idx="2">
                  <c:v>3548.1338923357603</c:v>
                </c:pt>
                <c:pt idx="3">
                  <c:v>1646.8978654828695</c:v>
                </c:pt>
                <c:pt idx="4">
                  <c:v>764.42227425260069</c:v>
                </c:pt>
                <c:pt idx="5">
                  <c:v>354.81338923357595</c:v>
                </c:pt>
                <c:pt idx="6">
                  <c:v>164.68978654828692</c:v>
                </c:pt>
                <c:pt idx="7">
                  <c:v>76.442227425259986</c:v>
                </c:pt>
                <c:pt idx="8">
                  <c:v>48.231784918856583</c:v>
                </c:pt>
                <c:pt idx="9">
                  <c:v>30.432198871077198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F-43AE-83D5-C10B5FF49FA0}"/>
            </c:ext>
          </c:extLst>
        </c:ser>
        <c:ser>
          <c:idx val="1"/>
          <c:order val="1"/>
          <c:tx>
            <c:strRef>
              <c:f>DesignSN!$C$12</c:f>
              <c:strCache>
                <c:ptCount val="1"/>
                <c:pt idx="0">
                  <c:v>#N/A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DesignSN!$D$56:$M$56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#N/A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DesignSN!$D$57:$M$57</c:f>
              <c:numCache>
                <c:formatCode>0_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1F-43AE-83D5-C10B5FF49FA0}"/>
            </c:ext>
          </c:extLst>
        </c:ser>
        <c:ser>
          <c:idx val="2"/>
          <c:order val="2"/>
          <c:tx>
            <c:strRef>
              <c:f>DesignSN!$C$13</c:f>
              <c:strCache>
                <c:ptCount val="1"/>
                <c:pt idx="0">
                  <c:v>#N/A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DesignSN!$D$58:$M$58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#N/A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DesignSN!$D$59:$M$59</c:f>
              <c:numCache>
                <c:formatCode>0_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1F-43AE-83D5-C10B5FF49FA0}"/>
            </c:ext>
          </c:extLst>
        </c:ser>
        <c:ser>
          <c:idx val="3"/>
          <c:order val="3"/>
          <c:tx>
            <c:strRef>
              <c:f>DesignSN!$C$14</c:f>
              <c:strCache>
                <c:ptCount val="1"/>
                <c:pt idx="0">
                  <c:v>#N/A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DesignSN!$D$60:$M$60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#N/A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DesignSN!$D$61:$M$61</c:f>
              <c:numCache>
                <c:formatCode>0_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1F-43AE-83D5-C10B5FF49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59119"/>
        <c:axId val="1"/>
      </c:scatterChart>
      <c:valAx>
        <c:axId val="178959119"/>
        <c:scaling>
          <c:logBase val="10"/>
          <c:orientation val="minMax"/>
          <c:max val="100000000"/>
          <c:min val="100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Number of Cycle (N)</a:t>
                </a:r>
              </a:p>
            </c:rich>
          </c:tx>
          <c:layout>
            <c:manualLayout>
              <c:xMode val="edge"/>
              <c:yMode val="edge"/>
              <c:x val="0.41724174133405739"/>
              <c:y val="0.9130434782608695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Stress Range</a:t>
                </a:r>
              </a:p>
            </c:rich>
          </c:tx>
          <c:layout>
            <c:manualLayout>
              <c:xMode val="edge"/>
              <c:yMode val="edge"/>
              <c:x val="8.6206896551724137E-3"/>
              <c:y val="0.39816933638443935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959119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931088786315508"/>
          <c:y val="0.15102974828375287"/>
          <c:w val="0.23620707756358039"/>
          <c:h val="0.212814645308924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200" verticalDpi="20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85632293164609"/>
          <c:y val="6.25E-2"/>
          <c:w val="0.80937058998462585"/>
          <c:h val="0.7836538461538461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wer"/>
            <c:dispRSqr val="0"/>
            <c:dispEq val="1"/>
            <c:trendlineLbl>
              <c:layout>
                <c:manualLayout>
                  <c:x val="-0.55222697968334489"/>
                  <c:y val="-0.11804840500706641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DesignSN!$R$23:$R$31</c:f>
              <c:numCache>
                <c:formatCode>0.00E+00</c:formatCode>
                <c:ptCount val="9"/>
                <c:pt idx="0">
                  <c:v>10006824.148314012</c:v>
                </c:pt>
                <c:pt idx="1">
                  <c:v>632965.46800908225</c:v>
                </c:pt>
                <c:pt idx="2">
                  <c:v>125030.21590302826</c:v>
                </c:pt>
                <c:pt idx="3">
                  <c:v>16203.915981032504</c:v>
                </c:pt>
                <c:pt idx="4">
                  <c:v>1012.7447488145311</c:v>
                </c:pt>
                <c:pt idx="5">
                  <c:v>63.296546800908118</c:v>
                </c:pt>
                <c:pt idx="6">
                  <c:v>3.9560341750567551</c:v>
                </c:pt>
                <c:pt idx="7">
                  <c:v>0.24725213594104697</c:v>
                </c:pt>
                <c:pt idx="8">
                  <c:v>0.10127447488145298</c:v>
                </c:pt>
              </c:numCache>
            </c:numRef>
          </c:xVal>
          <c:yVal>
            <c:numRef>
              <c:f>DesignSN!$T$23:$T$31</c:f>
              <c:numCache>
                <c:formatCode>General</c:formatCode>
                <c:ptCount val="9"/>
                <c:pt idx="0">
                  <c:v>2.4344660194174756E-4</c:v>
                </c:pt>
                <c:pt idx="1">
                  <c:v>4.8543689320388347E-4</c:v>
                </c:pt>
                <c:pt idx="2">
                  <c:v>7.2815533980582527E-4</c:v>
                </c:pt>
                <c:pt idx="3">
                  <c:v>1.2135922330097086E-3</c:v>
                </c:pt>
                <c:pt idx="4">
                  <c:v>2.4271844660194173E-3</c:v>
                </c:pt>
                <c:pt idx="5">
                  <c:v>4.8543689320388345E-3</c:v>
                </c:pt>
                <c:pt idx="6">
                  <c:v>9.7087378640776691E-3</c:v>
                </c:pt>
                <c:pt idx="7">
                  <c:v>1.9417475728155338E-2</c:v>
                </c:pt>
                <c:pt idx="8">
                  <c:v>2.4271844660194174E-2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2A-4523-80BB-211A83887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0415"/>
        <c:axId val="1"/>
      </c:scatterChart>
      <c:valAx>
        <c:axId val="179120415"/>
        <c:scaling>
          <c:logBase val="10"/>
          <c:orientation val="minMax"/>
        </c:scaling>
        <c:delete val="0"/>
        <c:axPos val="b"/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E-4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79120415"/>
        <c:crossesAt val="0.1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85632293164609"/>
          <c:y val="6.0747663551401869E-2"/>
          <c:w val="0.54604243396168373"/>
          <c:h val="0.8808411214953271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we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DesignSN!$X$45:$X$52</c:f>
              <c:numCache>
                <c:formatCode>0.E+00</c:formatCode>
                <c:ptCount val="8"/>
                <c:pt idx="0">
                  <c:v>2</c:v>
                </c:pt>
                <c:pt idx="1">
                  <c:v>20</c:v>
                </c:pt>
                <c:pt idx="2">
                  <c:v>200</c:v>
                </c:pt>
                <c:pt idx="3">
                  <c:v>2000</c:v>
                </c:pt>
                <c:pt idx="4">
                  <c:v>20000</c:v>
                </c:pt>
                <c:pt idx="5">
                  <c:v>200000</c:v>
                </c:pt>
                <c:pt idx="6">
                  <c:v>2000000</c:v>
                </c:pt>
                <c:pt idx="7">
                  <c:v>20000000</c:v>
                </c:pt>
              </c:numCache>
            </c:numRef>
          </c:xVal>
          <c:yVal>
            <c:numRef>
              <c:f>DesignSN!$W$45:$W$52</c:f>
              <c:numCache>
                <c:formatCode>General</c:formatCode>
                <c:ptCount val="8"/>
                <c:pt idx="0">
                  <c:v>1.3692343443660729E-2</c:v>
                </c:pt>
                <c:pt idx="1">
                  <c:v>7.6997705570695622E-3</c:v>
                </c:pt>
                <c:pt idx="2">
                  <c:v>4.3298991787241265E-3</c:v>
                </c:pt>
                <c:pt idx="3">
                  <c:v>2.4348812421043204E-3</c:v>
                </c:pt>
                <c:pt idx="4">
                  <c:v>1.3692343443660704E-3</c:v>
                </c:pt>
                <c:pt idx="5">
                  <c:v>7.6997705570695622E-4</c:v>
                </c:pt>
                <c:pt idx="6">
                  <c:v>4.3298991787241262E-4</c:v>
                </c:pt>
                <c:pt idx="7">
                  <c:v>2.4348812421043202E-4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85-48F4-8C7D-D2C02C47C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855"/>
        <c:axId val="1"/>
      </c:scatterChart>
      <c:valAx>
        <c:axId val="179121855"/>
        <c:scaling>
          <c:logBase val="10"/>
          <c:orientation val="minMax"/>
        </c:scaling>
        <c:delete val="0"/>
        <c:axPos val="b"/>
        <c:numFmt formatCode="0.E+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79121855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182603386208389"/>
          <c:y val="0.45327102803738317"/>
          <c:w val="0.25525057348445335"/>
          <c:h val="9.5794392523364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200" verticalDpi="20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64516129032258"/>
          <c:y val="6.0606198568160345E-2"/>
          <c:w val="0.54677419354838708"/>
          <c:h val="0.88112088687556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wer"/>
            <c:dispRSqr val="0"/>
            <c:dispEq val="1"/>
            <c:trendlineLbl>
              <c:layout>
                <c:manualLayout>
                  <c:x val="-0.13761290322580641"/>
                  <c:y val="4.7911611141636173E-3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DesignSN!$U$45:$U$52</c:f>
              <c:numCache>
                <c:formatCode>0.E+00</c:formatCode>
                <c:ptCount val="8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</c:numCache>
            </c:numRef>
          </c:xVal>
          <c:yVal>
            <c:numRef>
              <c:f>DesignSN!$W$45:$W$52</c:f>
              <c:numCache>
                <c:formatCode>General</c:formatCode>
                <c:ptCount val="8"/>
                <c:pt idx="0">
                  <c:v>1.3692343443660729E-2</c:v>
                </c:pt>
                <c:pt idx="1">
                  <c:v>7.6997705570695622E-3</c:v>
                </c:pt>
                <c:pt idx="2">
                  <c:v>4.3298991787241265E-3</c:v>
                </c:pt>
                <c:pt idx="3">
                  <c:v>2.4348812421043204E-3</c:v>
                </c:pt>
                <c:pt idx="4">
                  <c:v>1.3692343443660704E-3</c:v>
                </c:pt>
                <c:pt idx="5">
                  <c:v>7.6997705570695622E-4</c:v>
                </c:pt>
                <c:pt idx="6">
                  <c:v>4.3298991787241262E-4</c:v>
                </c:pt>
                <c:pt idx="7">
                  <c:v>2.4348812421043202E-4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2C-4251-BC30-DE437AE1B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19935"/>
        <c:axId val="1"/>
      </c:scatterChart>
      <c:valAx>
        <c:axId val="179119935"/>
        <c:scaling>
          <c:logBase val="10"/>
          <c:orientation val="minMax"/>
        </c:scaling>
        <c:delete val="0"/>
        <c:axPos val="b"/>
        <c:numFmt formatCode="0.E+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79119935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225806451612907"/>
          <c:y val="0.4545464334440712"/>
          <c:w val="0.25483870967741928"/>
          <c:h val="9.557134029574976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S-N Curve  ( DNV - I )</a:t>
            </a:r>
          </a:p>
        </c:rich>
      </c:tx>
      <c:layout>
        <c:manualLayout>
          <c:xMode val="edge"/>
          <c:yMode val="edge"/>
          <c:x val="0.37126472983980446"/>
          <c:y val="2.89855072463768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034496257489447"/>
          <c:y val="0.12356979405034325"/>
          <c:w val="0.7793110009016373"/>
          <c:h val="0.70022883295194505"/>
        </c:manualLayout>
      </c:layout>
      <c:scatterChart>
        <c:scatterStyle val="lineMarker"/>
        <c:varyColors val="0"/>
        <c:ser>
          <c:idx val="0"/>
          <c:order val="0"/>
          <c:tx>
            <c:strRef>
              <c:f>DesignSN!$C$11</c:f>
              <c:strCache>
                <c:ptCount val="1"/>
                <c:pt idx="0">
                  <c:v>DNV - I</c:v>
                </c:pt>
              </c:strCache>
            </c:strRef>
          </c:tx>
          <c:spPr>
            <a:ln w="25400">
              <a:solidFill>
                <a:srgbClr val="0070C0"/>
              </a:solidFill>
              <a:prstDash val="solid"/>
            </a:ln>
          </c:spPr>
          <c:marker>
            <c:symbol val="none"/>
          </c:marker>
          <c:xVal>
            <c:numRef>
              <c:f>DesignSN!$D$54:$M$54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DesignSN!$D$55:$M$55</c:f>
              <c:numCache>
                <c:formatCode>0_ </c:formatCode>
                <c:ptCount val="10"/>
                <c:pt idx="0">
                  <c:v>16468.978654828712</c:v>
                </c:pt>
                <c:pt idx="1">
                  <c:v>7644.2227425260089</c:v>
                </c:pt>
                <c:pt idx="2">
                  <c:v>3548.1338923357603</c:v>
                </c:pt>
                <c:pt idx="3">
                  <c:v>1646.8978654828695</c:v>
                </c:pt>
                <c:pt idx="4">
                  <c:v>764.42227425260069</c:v>
                </c:pt>
                <c:pt idx="5">
                  <c:v>354.81338923357595</c:v>
                </c:pt>
                <c:pt idx="6">
                  <c:v>164.68978654828692</c:v>
                </c:pt>
                <c:pt idx="7">
                  <c:v>76.442227425259986</c:v>
                </c:pt>
                <c:pt idx="8">
                  <c:v>48.231784918856583</c:v>
                </c:pt>
                <c:pt idx="9">
                  <c:v>30.432198871077198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54-4D02-8FA1-B862BE4F4F5D}"/>
            </c:ext>
          </c:extLst>
        </c:ser>
        <c:ser>
          <c:idx val="1"/>
          <c:order val="1"/>
          <c:tx>
            <c:strRef>
              <c:f>DesignSN!$C$12</c:f>
              <c:strCache>
                <c:ptCount val="1"/>
                <c:pt idx="0">
                  <c:v>#N/A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DesignSN!$D$56:$M$56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#N/A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DesignSN!$D$57:$M$57</c:f>
              <c:numCache>
                <c:formatCode>0_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54-4D02-8FA1-B862BE4F4F5D}"/>
            </c:ext>
          </c:extLst>
        </c:ser>
        <c:ser>
          <c:idx val="2"/>
          <c:order val="2"/>
          <c:tx>
            <c:strRef>
              <c:f>DesignSN!$C$13</c:f>
              <c:strCache>
                <c:ptCount val="1"/>
                <c:pt idx="0">
                  <c:v>#N/A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DesignSN!$D$58:$M$58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#N/A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DesignSN!$D$59:$M$59</c:f>
              <c:numCache>
                <c:formatCode>0_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54-4D02-8FA1-B862BE4F4F5D}"/>
            </c:ext>
          </c:extLst>
        </c:ser>
        <c:ser>
          <c:idx val="3"/>
          <c:order val="3"/>
          <c:tx>
            <c:strRef>
              <c:f>DesignSN!$C$14</c:f>
              <c:strCache>
                <c:ptCount val="1"/>
                <c:pt idx="0">
                  <c:v>#N/A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DesignSN!$D$60:$M$60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#N/A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DesignSN!$D$61:$M$61</c:f>
              <c:numCache>
                <c:formatCode>0_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54-4D02-8FA1-B862BE4F4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63919"/>
        <c:axId val="1"/>
      </c:scatterChart>
      <c:valAx>
        <c:axId val="179463919"/>
        <c:scaling>
          <c:logBase val="10"/>
          <c:orientation val="minMax"/>
          <c:max val="100000000"/>
          <c:min val="100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Number of Cycle (N)</a:t>
                </a:r>
              </a:p>
            </c:rich>
          </c:tx>
          <c:layout>
            <c:manualLayout>
              <c:xMode val="edge"/>
              <c:yMode val="edge"/>
              <c:x val="0.41724174133405739"/>
              <c:y val="0.9130434782608695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Stress Range</a:t>
                </a:r>
              </a:p>
            </c:rich>
          </c:tx>
          <c:layout>
            <c:manualLayout>
              <c:xMode val="edge"/>
              <c:yMode val="edge"/>
              <c:x val="8.6206896551724137E-3"/>
              <c:y val="0.39816933638443935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79463919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67931088786315508"/>
          <c:y val="0.15102974828375287"/>
          <c:w val="0.23620707756358039"/>
          <c:h val="7.2463768115942018E-2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j-ea"/>
          <a:ea typeface="+mj-ea"/>
          <a:cs typeface="돋움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 paperSize="9" orientation="landscape" horizontalDpi="200" verticalDpi="200" copies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Stress-Strain Curve</a:t>
            </a:r>
          </a:p>
        </c:rich>
      </c:tx>
      <c:layout>
        <c:manualLayout>
          <c:xMode val="edge"/>
          <c:yMode val="edge"/>
          <c:x val="0.38492146814981459"/>
          <c:y val="2.8871391076115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1113264030847"/>
          <c:y val="0.14435732539094639"/>
          <c:w val="0.79960472393648452"/>
          <c:h val="0.70078919780695792"/>
        </c:manualLayout>
      </c:layout>
      <c:scatterChart>
        <c:scatterStyle val="lineMarker"/>
        <c:varyColors val="0"/>
        <c:ser>
          <c:idx val="1"/>
          <c:order val="0"/>
          <c:tx>
            <c:strRef>
              <c:f>Plasticity!$C$9</c:f>
              <c:strCache>
                <c:ptCount val="1"/>
                <c:pt idx="0">
                  <c:v>Monotonic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Plasticity!$B$11:$B$30</c:f>
              <c:numCache>
                <c:formatCode>0.000000</c:formatCode>
                <c:ptCount val="20"/>
                <c:pt idx="0" formatCode="General">
                  <c:v>1.12E-2</c:v>
                </c:pt>
                <c:pt idx="1">
                  <c:v>-7.1999999999999998E-3</c:v>
                </c:pt>
                <c:pt idx="2">
                  <c:v>3.2000000000000002E-3</c:v>
                </c:pt>
                <c:pt idx="3">
                  <c:v>8.0000000000000004E-4</c:v>
                </c:pt>
                <c:pt idx="4">
                  <c:v>8.8000000000000005E-3</c:v>
                </c:pt>
                <c:pt idx="5">
                  <c:v>-2.3999999999999998E-3</c:v>
                </c:pt>
                <c:pt idx="6">
                  <c:v>2E-3</c:v>
                </c:pt>
                <c:pt idx="7">
                  <c:v>-2.3999999999999998E-3</c:v>
                </c:pt>
                <c:pt idx="8">
                  <c:v>7.1999999999999998E-3</c:v>
                </c:pt>
                <c:pt idx="9">
                  <c:v>0</c:v>
                </c:pt>
                <c:pt idx="10">
                  <c:v>1.04E-2</c:v>
                </c:pt>
                <c:pt idx="11">
                  <c:v>5.5999999999999999E-3</c:v>
                </c:pt>
                <c:pt idx="12">
                  <c:v>1.12E-2</c:v>
                </c:pt>
              </c:numCache>
            </c:numRef>
          </c:xVal>
          <c:yVal>
            <c:numRef>
              <c:f>Plasticity!$C$11:$C$30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4B-4F25-A921-3EAFE3674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71903"/>
        <c:axId val="1"/>
      </c:scatterChart>
      <c:valAx>
        <c:axId val="182271903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Strain (</a:t>
                </a: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Symbol"/>
                    <a:cs typeface="Times New Roman"/>
                  </a:rPr>
                  <a:t>e</a:t>
                </a: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4642940465775111"/>
              <c:y val="0.908138687388485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9.9999999999999995E-7"/>
        <c:crossBetween val="midCat"/>
      </c:valAx>
      <c:valAx>
        <c:axId val="1"/>
        <c:scaling>
          <c:orientation val="minMax"/>
          <c:min val="9.9999999999999995E-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Stress (</a:t>
                </a: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Symbol"/>
                    <a:cs typeface="Times New Roman"/>
                  </a:rPr>
                  <a:t>s</a:t>
                </a: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984126984126984E-2"/>
              <c:y val="0.40420057729004349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2271903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2579469233012543"/>
          <c:y val="0.61417488168309675"/>
          <c:w val="0.2757942757155355"/>
          <c:h val="0.11548583986056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Stress-Strain Behavior</a:t>
            </a:r>
          </a:p>
        </c:rich>
      </c:tx>
      <c:layout>
        <c:manualLayout>
          <c:xMode val="edge"/>
          <c:yMode val="edge"/>
          <c:x val="0.37794117647058822"/>
          <c:y val="5.01858736059479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47058823529411"/>
          <c:y val="0.15427523295483939"/>
          <c:w val="0.72058823529411764"/>
          <c:h val="0.69516791716999915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Plasticity!$D$40:$D$50</c:f>
              <c:numCache>
                <c:formatCode>0.0000_ </c:formatCode>
                <c:ptCount val="11"/>
                <c:pt idx="0">
                  <c:v>0</c:v>
                </c:pt>
                <c:pt idx="1">
                  <c:v>2.427425400155279E-4</c:v>
                </c:pt>
                <c:pt idx="2">
                  <c:v>4.8928402331059021E-4</c:v>
                </c:pt>
                <c:pt idx="3">
                  <c:v>3.1405582524271849E-3</c:v>
                </c:pt>
                <c:pt idx="4">
                  <c:v>6.1044813166008603E-3</c:v>
                </c:pt>
                <c:pt idx="5">
                  <c:v>1.8600631513089709E-2</c:v>
                </c:pt>
                <c:pt idx="6">
                  <c:v>4.2673704909565534E-2</c:v>
                </c:pt>
                <c:pt idx="7">
                  <c:v>0.10002931192827139</c:v>
                </c:pt>
                <c:pt idx="8">
                  <c:v>0.199181645584143</c:v>
                </c:pt>
                <c:pt idx="9">
                  <c:v>0.42278717346822547</c:v>
                </c:pt>
                <c:pt idx="10">
                  <c:v>1.1997706751859152</c:v>
                </c:pt>
              </c:numCache>
            </c:numRef>
          </c:xVal>
          <c:yVal>
            <c:numRef>
              <c:f>Plasticity!$B$40:$B$50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 formatCode="0.0_ ">
                  <c:v>100</c:v>
                </c:pt>
                <c:pt idx="3" formatCode="0.0_ ">
                  <c:v>235</c:v>
                </c:pt>
                <c:pt idx="4" formatCode="0.0_ ">
                  <c:v>265</c:v>
                </c:pt>
                <c:pt idx="5" formatCode="0.0_ ">
                  <c:v>315</c:v>
                </c:pt>
                <c:pt idx="6" formatCode="0.0_ ">
                  <c:v>355</c:v>
                </c:pt>
                <c:pt idx="7" formatCode="0.0_ ">
                  <c:v>400</c:v>
                </c:pt>
                <c:pt idx="8" formatCode="0.0_ ">
                  <c:v>440</c:v>
                </c:pt>
                <c:pt idx="9" formatCode="0.0_ ">
                  <c:v>488</c:v>
                </c:pt>
                <c:pt idx="10" formatCode="0.0_ ">
                  <c:v>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CF-43E3-A8FB-E4BA380D5737}"/>
            </c:ext>
          </c:extLst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Plasticity!$C$40:$C$51</c:f>
              <c:numCache>
                <c:formatCode>0.0000_ </c:formatCode>
                <c:ptCount val="12"/>
                <c:pt idx="0">
                  <c:v>1.1407766990291263E-3</c:v>
                </c:pt>
                <c:pt idx="1">
                  <c:v>1.1408899380729812E-3</c:v>
                </c:pt>
                <c:pt idx="2">
                  <c:v>1.1498174547798872E-3</c:v>
                </c:pt>
                <c:pt idx="3">
                  <c:v>3.1405582524271849E-3</c:v>
                </c:pt>
                <c:pt idx="4">
                  <c:v>5.4134079600045371E-3</c:v>
                </c:pt>
                <c:pt idx="5">
                  <c:v>1.3876661605003435E-2</c:v>
                </c:pt>
                <c:pt idx="6">
                  <c:v>2.8248790573937751E-2</c:v>
                </c:pt>
                <c:pt idx="7">
                  <c:v>5.8767220757859444E-2</c:v>
                </c:pt>
                <c:pt idx="8">
                  <c:v>0.10638110616425821</c:v>
                </c:pt>
                <c:pt idx="9">
                  <c:v>0.20359628230539545</c:v>
                </c:pt>
                <c:pt idx="10">
                  <c:v>0.50079237774190066</c:v>
                </c:pt>
                <c:pt idx="11">
                  <c:v>1.1023417970758378</c:v>
                </c:pt>
              </c:numCache>
            </c:numRef>
          </c:xVal>
          <c:yVal>
            <c:numRef>
              <c:f>Plasticity!$B$40:$B$51</c:f>
              <c:numCache>
                <c:formatCode>General</c:formatCode>
                <c:ptCount val="12"/>
                <c:pt idx="0">
                  <c:v>0</c:v>
                </c:pt>
                <c:pt idx="1">
                  <c:v>50</c:v>
                </c:pt>
                <c:pt idx="2" formatCode="0.0_ ">
                  <c:v>100</c:v>
                </c:pt>
                <c:pt idx="3" formatCode="0.0_ ">
                  <c:v>235</c:v>
                </c:pt>
                <c:pt idx="4" formatCode="0.0_ ">
                  <c:v>265</c:v>
                </c:pt>
                <c:pt idx="5" formatCode="0.0_ ">
                  <c:v>315</c:v>
                </c:pt>
                <c:pt idx="6" formatCode="0.0_ ">
                  <c:v>355</c:v>
                </c:pt>
                <c:pt idx="7" formatCode="0.0_ ">
                  <c:v>400</c:v>
                </c:pt>
                <c:pt idx="8" formatCode="0.0_ ">
                  <c:v>440</c:v>
                </c:pt>
                <c:pt idx="9" formatCode="0.0_ ">
                  <c:v>488</c:v>
                </c:pt>
                <c:pt idx="10" formatCode="0.0_ ">
                  <c:v>563</c:v>
                </c:pt>
                <c:pt idx="11" formatCode="0.0_ ">
                  <c:v>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CF-43E3-A8FB-E4BA380D5737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Plasticity!$G$36:$G$38</c:f>
              <c:numCache>
                <c:formatCode>General</c:formatCode>
                <c:ptCount val="3"/>
                <c:pt idx="0">
                  <c:v>0</c:v>
                </c:pt>
                <c:pt idx="1">
                  <c:v>2E-3</c:v>
                </c:pt>
                <c:pt idx="2">
                  <c:v>0.2</c:v>
                </c:pt>
              </c:numCache>
            </c:numRef>
          </c:xVal>
          <c:yVal>
            <c:numRef>
              <c:f>Plasticity!$H$36:$H$38</c:f>
              <c:numCache>
                <c:formatCode>General</c:formatCode>
                <c:ptCount val="3"/>
                <c:pt idx="0">
                  <c:v>0</c:v>
                </c:pt>
                <c:pt idx="1">
                  <c:v>235</c:v>
                </c:pt>
                <c:pt idx="2">
                  <c:v>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CF-43E3-A8FB-E4BA380D5737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Plasticity!$G$40:$G$58</c:f>
              <c:numCache>
                <c:formatCode>General</c:formatCode>
                <c:ptCount val="19"/>
                <c:pt idx="0">
                  <c:v>0</c:v>
                </c:pt>
                <c:pt idx="1">
                  <c:v>2.4498191638212667E-4</c:v>
                </c:pt>
                <c:pt idx="2">
                  <c:v>5.5786792616980077E-4</c:v>
                </c:pt>
                <c:pt idx="3">
                  <c:v>6.3319316248371012E-3</c:v>
                </c:pt>
                <c:pt idx="4">
                  <c:v>1.0752136373140609E-2</c:v>
                </c:pt>
                <c:pt idx="5">
                  <c:v>2.3992627451909103E-2</c:v>
                </c:pt>
                <c:pt idx="6">
                  <c:v>4.2561487095985194E-2</c:v>
                </c:pt>
                <c:pt idx="7">
                  <c:v>7.6111125329914819E-2</c:v>
                </c:pt>
                <c:pt idx="8">
                  <c:v>0.12158644690168305</c:v>
                </c:pt>
                <c:pt idx="9">
                  <c:v>0.20282711476241161</c:v>
                </c:pt>
                <c:pt idx="10">
                  <c:v>0.41243365986387359</c:v>
                </c:pt>
                <c:pt idx="11">
                  <c:v>0.76874318350862836</c:v>
                </c:pt>
                <c:pt idx="12">
                  <c:v>1.3381263383080981</c:v>
                </c:pt>
                <c:pt idx="13">
                  <c:v>2.204499515568763</c:v>
                </c:pt>
                <c:pt idx="14">
                  <c:v>3.4713874321293581</c:v>
                </c:pt>
                <c:pt idx="15">
                  <c:v>5.2639857171980582</c:v>
                </c:pt>
                <c:pt idx="16">
                  <c:v>7.7312234991896904</c:v>
                </c:pt>
                <c:pt idx="17">
                  <c:v>11.047825992562904</c:v>
                </c:pt>
                <c:pt idx="18">
                  <c:v>15.416377084657386</c:v>
                </c:pt>
              </c:numCache>
            </c:numRef>
          </c:xVal>
          <c:yVal>
            <c:numRef>
              <c:f>Plasticity!$B$40:$B$58</c:f>
              <c:numCache>
                <c:formatCode>General</c:formatCode>
                <c:ptCount val="19"/>
                <c:pt idx="0">
                  <c:v>0</c:v>
                </c:pt>
                <c:pt idx="1">
                  <c:v>50</c:v>
                </c:pt>
                <c:pt idx="2" formatCode="0.0_ ">
                  <c:v>100</c:v>
                </c:pt>
                <c:pt idx="3" formatCode="0.0_ ">
                  <c:v>235</c:v>
                </c:pt>
                <c:pt idx="4" formatCode="0.0_ ">
                  <c:v>265</c:v>
                </c:pt>
                <c:pt idx="5" formatCode="0.0_ ">
                  <c:v>315</c:v>
                </c:pt>
                <c:pt idx="6" formatCode="0.0_ ">
                  <c:v>355</c:v>
                </c:pt>
                <c:pt idx="7" formatCode="0.0_ ">
                  <c:v>400</c:v>
                </c:pt>
                <c:pt idx="8" formatCode="0.0_ ">
                  <c:v>440</c:v>
                </c:pt>
                <c:pt idx="9" formatCode="0.0_ ">
                  <c:v>488</c:v>
                </c:pt>
                <c:pt idx="10" formatCode="0.0_ ">
                  <c:v>563</c:v>
                </c:pt>
                <c:pt idx="11" formatCode="0.0_ ">
                  <c:v>638</c:v>
                </c:pt>
                <c:pt idx="12" formatCode="0.0_ ">
                  <c:v>713</c:v>
                </c:pt>
                <c:pt idx="13" formatCode="0.0_ ">
                  <c:v>788</c:v>
                </c:pt>
                <c:pt idx="14" formatCode="0.0_ ">
                  <c:v>863</c:v>
                </c:pt>
                <c:pt idx="15" formatCode="0.0_ ">
                  <c:v>938</c:v>
                </c:pt>
                <c:pt idx="16" formatCode="0.0_ ">
                  <c:v>1013</c:v>
                </c:pt>
                <c:pt idx="17" formatCode="0.0_ ">
                  <c:v>1088</c:v>
                </c:pt>
                <c:pt idx="18" formatCode="0.0_ ">
                  <c:v>1163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CF-43E3-A8FB-E4BA380D5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67583"/>
        <c:axId val="1"/>
      </c:scatterChart>
      <c:valAx>
        <c:axId val="182267583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Strain</a:t>
                </a:r>
              </a:p>
            </c:rich>
          </c:tx>
          <c:layout>
            <c:manualLayout>
              <c:xMode val="edge"/>
              <c:yMode val="edge"/>
              <c:x val="0.46176470588235297"/>
              <c:y val="0.9052052415381162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Stress</a:t>
                </a:r>
              </a:p>
            </c:rich>
          </c:tx>
          <c:layout>
            <c:manualLayout>
              <c:xMode val="edge"/>
              <c:yMode val="edge"/>
              <c:x val="3.9705882352941174E-2"/>
              <c:y val="0.468401877274634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2267583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23918069654677"/>
          <c:y val="6.0465184939572286E-2"/>
          <c:w val="0.74636569375827766"/>
          <c:h val="0.83255908493718767"/>
        </c:manualLayout>
      </c:layout>
      <c:scatterChart>
        <c:scatterStyle val="lineMarker"/>
        <c:varyColors val="0"/>
        <c:ser>
          <c:idx val="0"/>
          <c:order val="0"/>
          <c:tx>
            <c:strRef>
              <c:f>Plasticity!$N$83</c:f>
              <c:strCache>
                <c:ptCount val="1"/>
                <c:pt idx="0">
                  <c:v>NS24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Plasticity!$N$84:$N$102</c:f>
              <c:numCache>
                <c:formatCode>0.0000</c:formatCode>
                <c:ptCount val="19"/>
                <c:pt idx="0">
                  <c:v>0</c:v>
                </c:pt>
                <c:pt idx="1">
                  <c:v>2.4019750897369283E-4</c:v>
                </c:pt>
                <c:pt idx="2">
                  <c:v>5.448240761742329E-4</c:v>
                </c:pt>
                <c:pt idx="3">
                  <c:v>6.1609905983193783E-3</c:v>
                </c:pt>
                <c:pt idx="4">
                  <c:v>1.0487526591951884E-2</c:v>
                </c:pt>
                <c:pt idx="5">
                  <c:v>2.3503309511140911E-2</c:v>
                </c:pt>
                <c:pt idx="6">
                  <c:v>4.1830455626716286E-2</c:v>
                </c:pt>
                <c:pt idx="7">
                  <c:v>7.5057904696394687E-2</c:v>
                </c:pt>
                <c:pt idx="8">
                  <c:v>0.12023400616055518</c:v>
                </c:pt>
                <c:pt idx="9">
                  <c:v>0.2011746682689747</c:v>
                </c:pt>
                <c:pt idx="10">
                  <c:v>0.41077884913329821</c:v>
                </c:pt>
                <c:pt idx="11">
                  <c:v>0.76844981005359159</c:v>
                </c:pt>
                <c:pt idx="12">
                  <c:v>1.3419436013597956</c:v>
                </c:pt>
                <c:pt idx="13">
                  <c:v>2.217217023985607</c:v>
                </c:pt>
                <c:pt idx="14">
                  <c:v>2.9129367179030869</c:v>
                </c:pt>
                <c:pt idx="15">
                  <c:v>5.3211688707832439</c:v>
                </c:pt>
                <c:pt idx="16">
                  <c:v>7.8326403638840123</c:v>
                </c:pt>
                <c:pt idx="17">
                  <c:v>11.215918421406069</c:v>
                </c:pt>
                <c:pt idx="18">
                  <c:v>15.681160738035276</c:v>
                </c:pt>
              </c:numCache>
            </c:numRef>
          </c:xVal>
          <c:yVal>
            <c:numRef>
              <c:f>Plasticity!$M$84:$M$102</c:f>
              <c:numCache>
                <c:formatCode>General</c:formatCode>
                <c:ptCount val="19"/>
                <c:pt idx="0">
                  <c:v>0</c:v>
                </c:pt>
                <c:pt idx="1">
                  <c:v>50</c:v>
                </c:pt>
                <c:pt idx="2" formatCode="0.0_ ">
                  <c:v>100</c:v>
                </c:pt>
                <c:pt idx="3" formatCode="0.0_ ">
                  <c:v>235</c:v>
                </c:pt>
                <c:pt idx="4" formatCode="0.0_ ">
                  <c:v>265</c:v>
                </c:pt>
                <c:pt idx="5" formatCode="0.0_ ">
                  <c:v>315</c:v>
                </c:pt>
                <c:pt idx="6" formatCode="0.0_ ">
                  <c:v>355</c:v>
                </c:pt>
                <c:pt idx="7" formatCode="0.0_ ">
                  <c:v>400</c:v>
                </c:pt>
                <c:pt idx="8" formatCode="0.0_ ">
                  <c:v>440</c:v>
                </c:pt>
                <c:pt idx="9" formatCode="0.0_ ">
                  <c:v>488</c:v>
                </c:pt>
                <c:pt idx="10" formatCode="0.0_ ">
                  <c:v>563</c:v>
                </c:pt>
                <c:pt idx="11" formatCode="0.0_ ">
                  <c:v>638</c:v>
                </c:pt>
                <c:pt idx="12" formatCode="0.0_ ">
                  <c:v>713</c:v>
                </c:pt>
                <c:pt idx="13" formatCode="0.0_ ">
                  <c:v>788</c:v>
                </c:pt>
                <c:pt idx="14" formatCode="0.0_ ">
                  <c:v>832</c:v>
                </c:pt>
                <c:pt idx="15" formatCode="0.0_ ">
                  <c:v>938</c:v>
                </c:pt>
                <c:pt idx="16" formatCode="0.0_ ">
                  <c:v>1013</c:v>
                </c:pt>
                <c:pt idx="17" formatCode="0.0_ ">
                  <c:v>1088</c:v>
                </c:pt>
                <c:pt idx="18" formatCode="0.0_ ">
                  <c:v>1163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70-48E3-9E5E-B0863C2B347D}"/>
            </c:ext>
          </c:extLst>
        </c:ser>
        <c:ser>
          <c:idx val="1"/>
          <c:order val="1"/>
          <c:tx>
            <c:strRef>
              <c:f>Plasticity!$O$83</c:f>
              <c:strCache>
                <c:ptCount val="1"/>
                <c:pt idx="0">
                  <c:v>AH27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Plasticity!$O$84:$O$102</c:f>
              <c:numCache>
                <c:formatCode>0.0000</c:formatCode>
                <c:ptCount val="19"/>
                <c:pt idx="0">
                  <c:v>0</c:v>
                </c:pt>
                <c:pt idx="1">
                  <c:v>2.4019750897369283E-4</c:v>
                </c:pt>
                <c:pt idx="2">
                  <c:v>5.448240761742329E-4</c:v>
                </c:pt>
                <c:pt idx="3">
                  <c:v>6.1609905983193783E-3</c:v>
                </c:pt>
                <c:pt idx="4">
                  <c:v>1.0487526591951884E-2</c:v>
                </c:pt>
                <c:pt idx="5">
                  <c:v>2.3503309511140911E-2</c:v>
                </c:pt>
                <c:pt idx="6">
                  <c:v>4.1830455626716286E-2</c:v>
                </c:pt>
                <c:pt idx="7">
                  <c:v>7.5057904696394687E-2</c:v>
                </c:pt>
                <c:pt idx="8">
                  <c:v>0.12023400616055518</c:v>
                </c:pt>
                <c:pt idx="9">
                  <c:v>0.2011746682689747</c:v>
                </c:pt>
                <c:pt idx="10">
                  <c:v>0.41077884913329821</c:v>
                </c:pt>
                <c:pt idx="11">
                  <c:v>0.76844981005359159</c:v>
                </c:pt>
                <c:pt idx="12">
                  <c:v>1.3419436013597956</c:v>
                </c:pt>
                <c:pt idx="13">
                  <c:v>2.217217023985607</c:v>
                </c:pt>
                <c:pt idx="14">
                  <c:v>2.9129367179030869</c:v>
                </c:pt>
                <c:pt idx="15">
                  <c:v>5.3211688707832439</c:v>
                </c:pt>
                <c:pt idx="16">
                  <c:v>7.8326403638840123</c:v>
                </c:pt>
                <c:pt idx="17">
                  <c:v>11.215918421406069</c:v>
                </c:pt>
                <c:pt idx="18">
                  <c:v>15.681160738035276</c:v>
                </c:pt>
              </c:numCache>
            </c:numRef>
          </c:xVal>
          <c:yVal>
            <c:numRef>
              <c:f>Plasticity!$M$84:$M$102</c:f>
              <c:numCache>
                <c:formatCode>General</c:formatCode>
                <c:ptCount val="19"/>
                <c:pt idx="0">
                  <c:v>0</c:v>
                </c:pt>
                <c:pt idx="1">
                  <c:v>50</c:v>
                </c:pt>
                <c:pt idx="2" formatCode="0.0_ ">
                  <c:v>100</c:v>
                </c:pt>
                <c:pt idx="3" formatCode="0.0_ ">
                  <c:v>235</c:v>
                </c:pt>
                <c:pt idx="4" formatCode="0.0_ ">
                  <c:v>265</c:v>
                </c:pt>
                <c:pt idx="5" formatCode="0.0_ ">
                  <c:v>315</c:v>
                </c:pt>
                <c:pt idx="6" formatCode="0.0_ ">
                  <c:v>355</c:v>
                </c:pt>
                <c:pt idx="7" formatCode="0.0_ ">
                  <c:v>400</c:v>
                </c:pt>
                <c:pt idx="8" formatCode="0.0_ ">
                  <c:v>440</c:v>
                </c:pt>
                <c:pt idx="9" formatCode="0.0_ ">
                  <c:v>488</c:v>
                </c:pt>
                <c:pt idx="10" formatCode="0.0_ ">
                  <c:v>563</c:v>
                </c:pt>
                <c:pt idx="11" formatCode="0.0_ ">
                  <c:v>638</c:v>
                </c:pt>
                <c:pt idx="12" formatCode="0.0_ ">
                  <c:v>713</c:v>
                </c:pt>
                <c:pt idx="13" formatCode="0.0_ ">
                  <c:v>788</c:v>
                </c:pt>
                <c:pt idx="14" formatCode="0.0_ ">
                  <c:v>832</c:v>
                </c:pt>
                <c:pt idx="15" formatCode="0.0_ ">
                  <c:v>938</c:v>
                </c:pt>
                <c:pt idx="16" formatCode="0.0_ ">
                  <c:v>1013</c:v>
                </c:pt>
                <c:pt idx="17" formatCode="0.0_ ">
                  <c:v>1088</c:v>
                </c:pt>
                <c:pt idx="18" formatCode="0.0_ ">
                  <c:v>1163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70-48E3-9E5E-B0863C2B347D}"/>
            </c:ext>
          </c:extLst>
        </c:ser>
        <c:ser>
          <c:idx val="2"/>
          <c:order val="2"/>
          <c:tx>
            <c:strRef>
              <c:f>Plasticity!$P$83</c:f>
              <c:strCache>
                <c:ptCount val="1"/>
                <c:pt idx="0">
                  <c:v>AH32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Plasticity!$P$84:$P$102</c:f>
              <c:numCache>
                <c:formatCode>0.0000</c:formatCode>
                <c:ptCount val="19"/>
                <c:pt idx="0">
                  <c:v>0</c:v>
                </c:pt>
                <c:pt idx="1">
                  <c:v>2.3939699300835234E-4</c:v>
                </c:pt>
                <c:pt idx="2">
                  <c:v>5.186893410604709E-4</c:v>
                </c:pt>
                <c:pt idx="3">
                  <c:v>4.2410877482117817E-3</c:v>
                </c:pt>
                <c:pt idx="4">
                  <c:v>6.974536120155507E-3</c:v>
                </c:pt>
                <c:pt idx="5">
                  <c:v>1.5124750527845818E-2</c:v>
                </c:pt>
                <c:pt idx="6">
                  <c:v>2.6545701070838961E-2</c:v>
                </c:pt>
                <c:pt idx="7">
                  <c:v>4.7202189564870226E-2</c:v>
                </c:pt>
                <c:pt idx="8">
                  <c:v>7.5248380886870928E-2</c:v>
                </c:pt>
                <c:pt idx="9">
                  <c:v>0.12545498400822011</c:v>
                </c:pt>
                <c:pt idx="10">
                  <c:v>0.25538075789766279</c:v>
                </c:pt>
                <c:pt idx="11">
                  <c:v>0.47699150939024965</c:v>
                </c:pt>
                <c:pt idx="12">
                  <c:v>0.83224271259455462</c:v>
                </c:pt>
                <c:pt idx="13">
                  <c:v>1.3743599956053119</c:v>
                </c:pt>
                <c:pt idx="14">
                  <c:v>1.8052389399627977</c:v>
                </c:pt>
                <c:pt idx="15">
                  <c:v>3.2966414699733502</c:v>
                </c:pt>
                <c:pt idx="16">
                  <c:v>4.8519150017328014</c:v>
                </c:pt>
                <c:pt idx="17">
                  <c:v>6.9470230953232441</c:v>
                </c:pt>
                <c:pt idx="18">
                  <c:v>9.7120982728614962</c:v>
                </c:pt>
              </c:numCache>
            </c:numRef>
          </c:xVal>
          <c:yVal>
            <c:numRef>
              <c:f>Plasticity!$M$84:$M$102</c:f>
              <c:numCache>
                <c:formatCode>General</c:formatCode>
                <c:ptCount val="19"/>
                <c:pt idx="0">
                  <c:v>0</c:v>
                </c:pt>
                <c:pt idx="1">
                  <c:v>50</c:v>
                </c:pt>
                <c:pt idx="2" formatCode="0.0_ ">
                  <c:v>100</c:v>
                </c:pt>
                <c:pt idx="3" formatCode="0.0_ ">
                  <c:v>235</c:v>
                </c:pt>
                <c:pt idx="4" formatCode="0.0_ ">
                  <c:v>265</c:v>
                </c:pt>
                <c:pt idx="5" formatCode="0.0_ ">
                  <c:v>315</c:v>
                </c:pt>
                <c:pt idx="6" formatCode="0.0_ ">
                  <c:v>355</c:v>
                </c:pt>
                <c:pt idx="7" formatCode="0.0_ ">
                  <c:v>400</c:v>
                </c:pt>
                <c:pt idx="8" formatCode="0.0_ ">
                  <c:v>440</c:v>
                </c:pt>
                <c:pt idx="9" formatCode="0.0_ ">
                  <c:v>488</c:v>
                </c:pt>
                <c:pt idx="10" formatCode="0.0_ ">
                  <c:v>563</c:v>
                </c:pt>
                <c:pt idx="11" formatCode="0.0_ ">
                  <c:v>638</c:v>
                </c:pt>
                <c:pt idx="12" formatCode="0.0_ ">
                  <c:v>713</c:v>
                </c:pt>
                <c:pt idx="13" formatCode="0.0_ ">
                  <c:v>788</c:v>
                </c:pt>
                <c:pt idx="14" formatCode="0.0_ ">
                  <c:v>832</c:v>
                </c:pt>
                <c:pt idx="15" formatCode="0.0_ ">
                  <c:v>938</c:v>
                </c:pt>
                <c:pt idx="16" formatCode="0.0_ ">
                  <c:v>1013</c:v>
                </c:pt>
                <c:pt idx="17" formatCode="0.0_ ">
                  <c:v>1088</c:v>
                </c:pt>
                <c:pt idx="18" formatCode="0.0_ ">
                  <c:v>1163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70-48E3-9E5E-B0863C2B347D}"/>
            </c:ext>
          </c:extLst>
        </c:ser>
        <c:ser>
          <c:idx val="3"/>
          <c:order val="3"/>
          <c:tx>
            <c:strRef>
              <c:f>Plasticity!$Q$83</c:f>
              <c:strCache>
                <c:ptCount val="1"/>
                <c:pt idx="0">
                  <c:v>AH36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Plasticity!$Q$84:$Q$102</c:f>
              <c:numCache>
                <c:formatCode>0.0000</c:formatCode>
                <c:ptCount val="19"/>
                <c:pt idx="0">
                  <c:v>0</c:v>
                </c:pt>
                <c:pt idx="1">
                  <c:v>2.385376977981136E-4</c:v>
                </c:pt>
                <c:pt idx="2">
                  <c:v>4.9298183777956282E-4</c:v>
                </c:pt>
                <c:pt idx="3">
                  <c:v>2.6040214757900209E-3</c:v>
                </c:pt>
                <c:pt idx="4">
                  <c:v>4.0508898239508626E-3</c:v>
                </c:pt>
                <c:pt idx="5">
                  <c:v>8.4061769452366021E-3</c:v>
                </c:pt>
                <c:pt idx="6">
                  <c:v>1.4620520100963645E-2</c:v>
                </c:pt>
                <c:pt idx="7">
                  <c:v>2.6087768541347905E-2</c:v>
                </c:pt>
                <c:pt idx="8">
                  <c:v>4.1966275526459762E-2</c:v>
                </c:pt>
                <c:pt idx="9">
                  <c:v>7.0960526290616693E-2</c:v>
                </c:pt>
                <c:pt idx="10">
                  <c:v>0.14798408450329464</c:v>
                </c:pt>
                <c:pt idx="11">
                  <c:v>0.28306438799648259</c:v>
                </c:pt>
                <c:pt idx="12">
                  <c:v>0.50506580341126861</c:v>
                </c:pt>
                <c:pt idx="13">
                  <c:v>0.85154329573315091</c:v>
                </c:pt>
                <c:pt idx="14">
                  <c:v>1.1313667148298414</c:v>
                </c:pt>
                <c:pt idx="15">
                  <c:v>2.1193700502283566</c:v>
                </c:pt>
                <c:pt idx="16">
                  <c:v>3.1710546333452525</c:v>
                </c:pt>
                <c:pt idx="17">
                  <c:v>4.6106250752872517</c:v>
                </c:pt>
                <c:pt idx="18">
                  <c:v>6.5390752528200888</c:v>
                </c:pt>
              </c:numCache>
            </c:numRef>
          </c:xVal>
          <c:yVal>
            <c:numRef>
              <c:f>Plasticity!$M$84:$M$102</c:f>
              <c:numCache>
                <c:formatCode>General</c:formatCode>
                <c:ptCount val="19"/>
                <c:pt idx="0">
                  <c:v>0</c:v>
                </c:pt>
                <c:pt idx="1">
                  <c:v>50</c:v>
                </c:pt>
                <c:pt idx="2" formatCode="0.0_ ">
                  <c:v>100</c:v>
                </c:pt>
                <c:pt idx="3" formatCode="0.0_ ">
                  <c:v>235</c:v>
                </c:pt>
                <c:pt idx="4" formatCode="0.0_ ">
                  <c:v>265</c:v>
                </c:pt>
                <c:pt idx="5" formatCode="0.0_ ">
                  <c:v>315</c:v>
                </c:pt>
                <c:pt idx="6" formatCode="0.0_ ">
                  <c:v>355</c:v>
                </c:pt>
                <c:pt idx="7" formatCode="0.0_ ">
                  <c:v>400</c:v>
                </c:pt>
                <c:pt idx="8" formatCode="0.0_ ">
                  <c:v>440</c:v>
                </c:pt>
                <c:pt idx="9" formatCode="0.0_ ">
                  <c:v>488</c:v>
                </c:pt>
                <c:pt idx="10" formatCode="0.0_ ">
                  <c:v>563</c:v>
                </c:pt>
                <c:pt idx="11" formatCode="0.0_ ">
                  <c:v>638</c:v>
                </c:pt>
                <c:pt idx="12" formatCode="0.0_ ">
                  <c:v>713</c:v>
                </c:pt>
                <c:pt idx="13" formatCode="0.0_ ">
                  <c:v>788</c:v>
                </c:pt>
                <c:pt idx="14" formatCode="0.0_ ">
                  <c:v>832</c:v>
                </c:pt>
                <c:pt idx="15" formatCode="0.0_ ">
                  <c:v>938</c:v>
                </c:pt>
                <c:pt idx="16" formatCode="0.0_ ">
                  <c:v>1013</c:v>
                </c:pt>
                <c:pt idx="17" formatCode="0.0_ ">
                  <c:v>1088</c:v>
                </c:pt>
                <c:pt idx="18" formatCode="0.0_ ">
                  <c:v>1163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C70-48E3-9E5E-B0863C2B3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98559"/>
        <c:axId val="1"/>
      </c:scatterChart>
      <c:valAx>
        <c:axId val="182298559"/>
        <c:scaling>
          <c:orientation val="minMax"/>
          <c:max val="1"/>
        </c:scaling>
        <c:delete val="0"/>
        <c:axPos val="b"/>
        <c:numFmt formatCode="0.00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2298559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591344094912204"/>
          <c:y val="0.38372141854361225"/>
          <c:w val="0.12439435377524499"/>
          <c:h val="0.188372337178782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sz="1325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Strain-Life(</a:t>
            </a:r>
            <a:r>
              <a:rPr lang="en-US" sz="1325" b="1" i="0" u="none" strike="noStrike" baseline="0">
                <a:solidFill>
                  <a:srgbClr val="000000"/>
                </a:solidFill>
                <a:latin typeface="Symbol"/>
                <a:cs typeface="Times New Roman"/>
              </a:rPr>
              <a:t>e</a:t>
            </a:r>
            <a:r>
              <a:rPr lang="en-US" sz="1325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-N) Curve</a:t>
            </a:r>
          </a:p>
        </c:rich>
      </c:tx>
      <c:layout>
        <c:manualLayout>
          <c:xMode val="edge"/>
          <c:yMode val="edge"/>
          <c:x val="0.37789736176026123"/>
          <c:y val="4.77137176938369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99315534681955"/>
          <c:y val="0.15109343936381708"/>
          <c:w val="0.7700548164111527"/>
          <c:h val="0.72564612326043743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Strain_Life!$D$18</c:f>
              <c:strCache>
                <c:ptCount val="1"/>
                <c:pt idx="0">
                  <c:v>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Strain_Life!$B$19:$B$29</c:f>
              <c:numCache>
                <c:formatCode>0.00E+00</c:formatCode>
                <c:ptCount val="11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100000000</c:v>
                </c:pt>
                <c:pt idx="9">
                  <c:v>1000000000</c:v>
                </c:pt>
                <c:pt idx="10">
                  <c:v>10000000000</c:v>
                </c:pt>
              </c:numCache>
            </c:numRef>
          </c:xVal>
          <c:yVal>
            <c:numRef>
              <c:f>Strain_Life!$D$19:$D$29</c:f>
              <c:numCache>
                <c:formatCode>0.000%</c:formatCode>
                <c:ptCount val="11"/>
                <c:pt idx="0">
                  <c:v>0.34034292940379524</c:v>
                </c:pt>
                <c:pt idx="1">
                  <c:v>9.4836993121016996E-2</c:v>
                </c:pt>
                <c:pt idx="2">
                  <c:v>2.6426449581283797E-2</c:v>
                </c:pt>
                <c:pt idx="3">
                  <c:v>7.3637640174967775E-3</c:v>
                </c:pt>
                <c:pt idx="4">
                  <c:v>2.0519222735007306E-3</c:v>
                </c:pt>
                <c:pt idx="5">
                  <c:v>5.7177076919959116E-4</c:v>
                </c:pt>
                <c:pt idx="6">
                  <c:v>1.5932465704626309E-4</c:v>
                </c:pt>
                <c:pt idx="7">
                  <c:v>4.4396019716860245E-5</c:v>
                </c:pt>
                <c:pt idx="8">
                  <c:v>1.2371007747579934E-5</c:v>
                </c:pt>
                <c:pt idx="9">
                  <c:v>3.4471971511572798E-6</c:v>
                </c:pt>
                <c:pt idx="10">
                  <c:v>9.6056590064552458E-7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37-4AE3-8332-4CDD24F2DA8B}"/>
            </c:ext>
          </c:extLst>
        </c:ser>
        <c:ser>
          <c:idx val="0"/>
          <c:order val="1"/>
          <c:tx>
            <c:strRef>
              <c:f>Strain_Life!$C$18</c:f>
              <c:strCache>
                <c:ptCount val="1"/>
                <c:pt idx="0">
                  <c:v>ee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Strain_Life!$B$19:$B$29</c:f>
              <c:numCache>
                <c:formatCode>0.00E+00</c:formatCode>
                <c:ptCount val="11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100000000</c:v>
                </c:pt>
                <c:pt idx="9">
                  <c:v>1000000000</c:v>
                </c:pt>
                <c:pt idx="10">
                  <c:v>10000000000</c:v>
                </c:pt>
              </c:numCache>
            </c:numRef>
          </c:xVal>
          <c:yVal>
            <c:numRef>
              <c:f>Strain_Life!$C$19:$C$29</c:f>
              <c:numCache>
                <c:formatCode>0.000%</c:formatCode>
                <c:ptCount val="11"/>
                <c:pt idx="0">
                  <c:v>4.5043044374440218E-3</c:v>
                </c:pt>
                <c:pt idx="1">
                  <c:v>3.6695729631731678E-3</c:v>
                </c:pt>
                <c:pt idx="2">
                  <c:v>2.9895327722769742E-3</c:v>
                </c:pt>
                <c:pt idx="3">
                  <c:v>2.4355166898738395E-3</c:v>
                </c:pt>
                <c:pt idx="4">
                  <c:v>1.9841701023187389E-3</c:v>
                </c:pt>
                <c:pt idx="5">
                  <c:v>1.6164664406957876E-3</c:v>
                </c:pt>
                <c:pt idx="6">
                  <c:v>1.3169051135495647E-3</c:v>
                </c:pt>
                <c:pt idx="7">
                  <c:v>1.0728580776143484E-3</c:v>
                </c:pt>
                <c:pt idx="8">
                  <c:v>8.7403750115291358E-4</c:v>
                </c:pt>
                <c:pt idx="9">
                  <c:v>7.1206207918978576E-4</c:v>
                </c:pt>
                <c:pt idx="10">
                  <c:v>5.8010371860620546E-4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37-4AE3-8332-4CDD24F2DA8B}"/>
            </c:ext>
          </c:extLst>
        </c:ser>
        <c:ser>
          <c:idx val="2"/>
          <c:order val="2"/>
          <c:tx>
            <c:strRef>
              <c:f>Strain_Life!$E$18</c:f>
              <c:strCache>
                <c:ptCount val="1"/>
                <c:pt idx="0">
                  <c:v>et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Strain_Life!$B$19:$B$29</c:f>
              <c:numCache>
                <c:formatCode>0.00E+00</c:formatCode>
                <c:ptCount val="11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100000000</c:v>
                </c:pt>
                <c:pt idx="9">
                  <c:v>1000000000</c:v>
                </c:pt>
                <c:pt idx="10">
                  <c:v>10000000000</c:v>
                </c:pt>
              </c:numCache>
            </c:numRef>
          </c:xVal>
          <c:yVal>
            <c:numRef>
              <c:f>Strain_Life!$E$19:$E$29</c:f>
              <c:numCache>
                <c:formatCode>0.000%</c:formatCode>
                <c:ptCount val="11"/>
                <c:pt idx="0">
                  <c:v>0.34484723384123928</c:v>
                </c:pt>
                <c:pt idx="1">
                  <c:v>9.8506566084190159E-2</c:v>
                </c:pt>
                <c:pt idx="2">
                  <c:v>2.9415982353560771E-2</c:v>
                </c:pt>
                <c:pt idx="3">
                  <c:v>9.7992807073706174E-3</c:v>
                </c:pt>
                <c:pt idx="4">
                  <c:v>4.0360923758194691E-3</c:v>
                </c:pt>
                <c:pt idx="5">
                  <c:v>2.1882372098953789E-3</c:v>
                </c:pt>
                <c:pt idx="6">
                  <c:v>1.4762297705958277E-3</c:v>
                </c:pt>
                <c:pt idx="7">
                  <c:v>1.1172540973312087E-3</c:v>
                </c:pt>
                <c:pt idx="8">
                  <c:v>8.8640850890049356E-4</c:v>
                </c:pt>
                <c:pt idx="9">
                  <c:v>7.1550927634094299E-4</c:v>
                </c:pt>
                <c:pt idx="10">
                  <c:v>5.8106428450685097E-4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37-4AE3-8332-4CDD24F2DA8B}"/>
            </c:ext>
          </c:extLst>
        </c:ser>
        <c:ser>
          <c:idx val="3"/>
          <c:order val="3"/>
          <c:tx>
            <c:strRef>
              <c:f>Strain_Life!$G$29</c:f>
              <c:strCache>
                <c:ptCount val="1"/>
                <c:pt idx="0">
                  <c:v>Total Strain ( Et,a ) =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Strain_Life!$J$29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Strain_Life!$I$29</c:f>
              <c:numCache>
                <c:formatCode>0.000E+00</c:formatCode>
                <c:ptCount val="1"/>
                <c:pt idx="0">
                  <c:v>6.3E-3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37-4AE3-8332-4CDD24F2D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21743"/>
        <c:axId val="1"/>
      </c:scatterChart>
      <c:valAx>
        <c:axId val="182621743"/>
        <c:scaling>
          <c:logBase val="10"/>
          <c:orientation val="minMax"/>
          <c:max val="1000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Number of Cycle(2 N )</a:t>
                </a:r>
              </a:p>
            </c:rich>
          </c:tx>
          <c:layout>
            <c:manualLayout>
              <c:xMode val="edge"/>
              <c:yMode val="edge"/>
              <c:x val="0.41533051684047512"/>
              <c:y val="0.93240556660039764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9.9999999999999995E-7"/>
        <c:crossBetween val="midCat"/>
      </c:valAx>
      <c:valAx>
        <c:axId val="1"/>
        <c:scaling>
          <c:logBase val="10"/>
          <c:orientation val="minMax"/>
          <c:max val="0.1"/>
          <c:min val="1E-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sz="115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Strain Amplitude ( </a:t>
                </a:r>
                <a:r>
                  <a:rPr lang="en-US" sz="1150" b="1" i="0" u="none" strike="noStrike" baseline="0">
                    <a:solidFill>
                      <a:srgbClr val="000000"/>
                    </a:solidFill>
                    <a:latin typeface="Symbol"/>
                    <a:cs typeface="Times New Roman"/>
                  </a:rPr>
                  <a:t>e</a:t>
                </a:r>
                <a:r>
                  <a:rPr lang="en-US" sz="115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)</a:t>
                </a:r>
              </a:p>
            </c:rich>
          </c:tx>
          <c:layout>
            <c:manualLayout>
              <c:xMode val="edge"/>
              <c:yMode val="edge"/>
              <c:x val="1.2477718360071301E-2"/>
              <c:y val="0.3817097415506958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2621743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3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75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Stress-Strain Curve</a:t>
            </a:r>
          </a:p>
        </c:rich>
      </c:tx>
      <c:layout>
        <c:manualLayout>
          <c:xMode val="edge"/>
          <c:yMode val="edge"/>
          <c:x val="0.38209982788296043"/>
          <c:y val="2.77227722772277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9827882960413075E-2"/>
          <c:y val="0.12673279580445138"/>
          <c:w val="0.81927710843373491"/>
          <c:h val="0.75247597508893016"/>
        </c:manualLayout>
      </c:layout>
      <c:scatterChart>
        <c:scatterStyle val="lineMarker"/>
        <c:varyColors val="0"/>
        <c:ser>
          <c:idx val="1"/>
          <c:order val="0"/>
          <c:tx>
            <c:strRef>
              <c:f>Strain_Life!$C$70</c:f>
              <c:strCache>
                <c:ptCount val="1"/>
                <c:pt idx="0">
                  <c:v>Monotonic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Strain_Life!$B$72:$B$91</c:f>
              <c:numCache>
                <c:formatCode>0.000000</c:formatCode>
                <c:ptCount val="20"/>
                <c:pt idx="0" formatCode="General">
                  <c:v>1.12E-2</c:v>
                </c:pt>
                <c:pt idx="1">
                  <c:v>-7.1999999999999998E-3</c:v>
                </c:pt>
                <c:pt idx="2">
                  <c:v>3.2000000000000002E-3</c:v>
                </c:pt>
                <c:pt idx="3">
                  <c:v>8.0000000000000004E-4</c:v>
                </c:pt>
                <c:pt idx="4">
                  <c:v>8.8000000000000005E-3</c:v>
                </c:pt>
                <c:pt idx="5">
                  <c:v>-2.3999999999999998E-3</c:v>
                </c:pt>
                <c:pt idx="6">
                  <c:v>2E-3</c:v>
                </c:pt>
                <c:pt idx="7">
                  <c:v>-2.3999999999999998E-3</c:v>
                </c:pt>
                <c:pt idx="8">
                  <c:v>7.1999999999999998E-3</c:v>
                </c:pt>
                <c:pt idx="9">
                  <c:v>0</c:v>
                </c:pt>
                <c:pt idx="10">
                  <c:v>1.04E-2</c:v>
                </c:pt>
                <c:pt idx="11">
                  <c:v>5.5999999999999999E-3</c:v>
                </c:pt>
                <c:pt idx="12">
                  <c:v>1.12E-2</c:v>
                </c:pt>
              </c:numCache>
            </c:numRef>
          </c:xVal>
          <c:yVal>
            <c:numRef>
              <c:f>Strain_Life!$C$72:$C$91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9-41B1-91F8-A00351B1132C}"/>
            </c:ext>
          </c:extLst>
        </c:ser>
        <c:ser>
          <c:idx val="0"/>
          <c:order val="1"/>
          <c:tx>
            <c:strRef>
              <c:f>Strain_Life!$D$70</c:f>
              <c:strCache>
                <c:ptCount val="1"/>
                <c:pt idx="0">
                  <c:v>Cyclic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Strain_Life!$B$72:$B$91</c:f>
              <c:numCache>
                <c:formatCode>0.000000</c:formatCode>
                <c:ptCount val="20"/>
                <c:pt idx="0" formatCode="General">
                  <c:v>1.12E-2</c:v>
                </c:pt>
                <c:pt idx="1">
                  <c:v>-7.1999999999999998E-3</c:v>
                </c:pt>
                <c:pt idx="2">
                  <c:v>3.2000000000000002E-3</c:v>
                </c:pt>
                <c:pt idx="3">
                  <c:v>8.0000000000000004E-4</c:v>
                </c:pt>
                <c:pt idx="4">
                  <c:v>8.8000000000000005E-3</c:v>
                </c:pt>
                <c:pt idx="5">
                  <c:v>-2.3999999999999998E-3</c:v>
                </c:pt>
                <c:pt idx="6">
                  <c:v>2E-3</c:v>
                </c:pt>
                <c:pt idx="7">
                  <c:v>-2.3999999999999998E-3</c:v>
                </c:pt>
                <c:pt idx="8">
                  <c:v>7.1999999999999998E-3</c:v>
                </c:pt>
                <c:pt idx="9">
                  <c:v>0</c:v>
                </c:pt>
                <c:pt idx="10">
                  <c:v>1.04E-2</c:v>
                </c:pt>
                <c:pt idx="11">
                  <c:v>5.5999999999999999E-3</c:v>
                </c:pt>
                <c:pt idx="12">
                  <c:v>1.12E-2</c:v>
                </c:pt>
              </c:numCache>
            </c:numRef>
          </c:xVal>
          <c:yVal>
            <c:numRef>
              <c:f>Strain_Life!$D$72:$D$91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A9-41B1-91F8-A00351B11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34719"/>
        <c:axId val="1"/>
      </c:scatterChart>
      <c:valAx>
        <c:axId val="15163471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Strain (</a:t>
                </a: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Symbol"/>
                    <a:cs typeface="Times New Roman"/>
                  </a:rPr>
                  <a:t>e</a:t>
                </a: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5266781411359724"/>
              <c:y val="0.926733504846547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9.9999999999999995E-7"/>
        <c:crossBetween val="midCat"/>
      </c:valAx>
      <c:valAx>
        <c:axId val="1"/>
        <c:scaling>
          <c:orientation val="minMax"/>
          <c:min val="9.9999999999999995E-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Stress (</a:t>
                </a: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Symbol"/>
                    <a:cs typeface="Times New Roman"/>
                  </a:rPr>
                  <a:t>s</a:t>
                </a: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549053356282272E-2"/>
              <c:y val="0.4336637821262441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5163471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249569707401036"/>
          <c:y val="0.64752537615966321"/>
          <c:w val="0.23924268502581758"/>
          <c:h val="8.71287128712870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25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Stress-Strain Behavior</a:t>
            </a:r>
          </a:p>
        </c:rich>
      </c:tx>
      <c:layout>
        <c:manualLayout>
          <c:xMode val="edge"/>
          <c:yMode val="edge"/>
          <c:x val="0.31855955678670361"/>
          <c:y val="4.01691331923890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57340720221606"/>
          <c:y val="0.17547568710359407"/>
          <c:w val="0.73545706371191133"/>
          <c:h val="0.655391120507399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Strain_Life!$D$118</c:f>
              <c:strCache>
                <c:ptCount val="1"/>
                <c:pt idx="0">
                  <c:v>HT32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Strain_Life!$D$125:$D$135</c:f>
              <c:numCache>
                <c:formatCode>0.0000_ </c:formatCode>
                <c:ptCount val="11"/>
                <c:pt idx="0">
                  <c:v>1.1190476190476191E-3</c:v>
                </c:pt>
                <c:pt idx="1">
                  <c:v>1.1191587011573055E-3</c:v>
                </c:pt>
                <c:pt idx="2">
                  <c:v>1.1279161699269367E-3</c:v>
                </c:pt>
                <c:pt idx="3">
                  <c:v>3.0807380952380956E-3</c:v>
                </c:pt>
                <c:pt idx="4">
                  <c:v>5.3102954274330217E-3</c:v>
                </c:pt>
                <c:pt idx="5">
                  <c:v>1.3612344241098607E-2</c:v>
                </c:pt>
                <c:pt idx="6">
                  <c:v>2.7710718372529412E-2</c:v>
                </c:pt>
                <c:pt idx="7">
                  <c:v>5.7647845124376408E-2</c:v>
                </c:pt>
                <c:pt idx="8">
                  <c:v>0.1043547993801771</c:v>
                </c:pt>
                <c:pt idx="9">
                  <c:v>0.19971825788053077</c:v>
                </c:pt>
                <c:pt idx="10">
                  <c:v>0.49125347530872165</c:v>
                </c:pt>
              </c:numCache>
            </c:numRef>
          </c:xVal>
          <c:yVal>
            <c:numRef>
              <c:f>Strain_Life!$C$125:$C$135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 formatCode="0.0_ ">
                  <c:v>100</c:v>
                </c:pt>
                <c:pt idx="3" formatCode="0.0_ ">
                  <c:v>235</c:v>
                </c:pt>
                <c:pt idx="4" formatCode="0.0_ ">
                  <c:v>265</c:v>
                </c:pt>
                <c:pt idx="5" formatCode="0.0_ ">
                  <c:v>315</c:v>
                </c:pt>
                <c:pt idx="6" formatCode="0.0_ ">
                  <c:v>355</c:v>
                </c:pt>
                <c:pt idx="7" formatCode="0.0_ ">
                  <c:v>400</c:v>
                </c:pt>
                <c:pt idx="8" formatCode="0.0_ ">
                  <c:v>440</c:v>
                </c:pt>
                <c:pt idx="9" formatCode="0.0_ ">
                  <c:v>488</c:v>
                </c:pt>
                <c:pt idx="10" formatCode="0.0_ ">
                  <c:v>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D4-4B7B-A59D-44BEA70C256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Strain_Life!$E$125:$E$135</c:f>
              <c:numCache>
                <c:formatCode>0.0000_ </c:formatCode>
                <c:ptCount val="11"/>
                <c:pt idx="0">
                  <c:v>0</c:v>
                </c:pt>
                <c:pt idx="1">
                  <c:v>2.3811887258666072E-4</c:v>
                </c:pt>
                <c:pt idx="2">
                  <c:v>4.7996432762848374E-4</c:v>
                </c:pt>
                <c:pt idx="3">
                  <c:v>3.0807380952380956E-3</c:v>
                </c:pt>
                <c:pt idx="4">
                  <c:v>5.9882054819989389E-3</c:v>
                </c:pt>
                <c:pt idx="5">
                  <c:v>1.8246333769983237E-2</c:v>
                </c:pt>
                <c:pt idx="6">
                  <c:v>4.1860872435097618E-2</c:v>
                </c:pt>
                <c:pt idx="7">
                  <c:v>9.8123991701066227E-2</c:v>
                </c:pt>
                <c:pt idx="8">
                  <c:v>0.19538770947777839</c:v>
                </c:pt>
                <c:pt idx="9">
                  <c:v>0.4147340844497831</c:v>
                </c:pt>
                <c:pt idx="10">
                  <c:v>1.1769179004204693</c:v>
                </c:pt>
              </c:numCache>
            </c:numRef>
          </c:xVal>
          <c:yVal>
            <c:numRef>
              <c:f>Strain_Life!$C$125:$C$135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 formatCode="0.0_ ">
                  <c:v>100</c:v>
                </c:pt>
                <c:pt idx="3" formatCode="0.0_ ">
                  <c:v>235</c:v>
                </c:pt>
                <c:pt idx="4" formatCode="0.0_ ">
                  <c:v>265</c:v>
                </c:pt>
                <c:pt idx="5" formatCode="0.0_ ">
                  <c:v>315</c:v>
                </c:pt>
                <c:pt idx="6" formatCode="0.0_ ">
                  <c:v>355</c:v>
                </c:pt>
                <c:pt idx="7" formatCode="0.0_ ">
                  <c:v>400</c:v>
                </c:pt>
                <c:pt idx="8" formatCode="0.0_ ">
                  <c:v>440</c:v>
                </c:pt>
                <c:pt idx="9" formatCode="0.0_ ">
                  <c:v>488</c:v>
                </c:pt>
                <c:pt idx="10" formatCode="0.0_ ">
                  <c:v>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D4-4B7B-A59D-44BEA70C2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39999"/>
        <c:axId val="1"/>
      </c:scatterChart>
      <c:valAx>
        <c:axId val="151639999"/>
        <c:scaling>
          <c:orientation val="minMax"/>
          <c:max val="0.5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Strain</a:t>
                </a:r>
              </a:p>
            </c:rich>
          </c:tx>
          <c:layout>
            <c:manualLayout>
              <c:xMode val="edge"/>
              <c:yMode val="edge"/>
              <c:x val="0.45567867036011078"/>
              <c:y val="0.894291754756871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Stress</a:t>
                </a:r>
              </a:p>
            </c:rich>
          </c:tx>
          <c:layout>
            <c:manualLayout>
              <c:xMode val="edge"/>
              <c:yMode val="edge"/>
              <c:x val="3.8781163434903045E-2"/>
              <c:y val="0.4630021141649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51639999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8088642659279781"/>
          <c:y val="0.42494714587737842"/>
          <c:w val="0.98060941828254855"/>
          <c:h val="0.52431289640591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200" verticalDpi="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567643233784962"/>
          <c:y val="3.57142857142857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5588375542609"/>
          <c:y val="0.18154814670569053"/>
          <c:w val="0.66846964468898629"/>
          <c:h val="0.74404978158069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Norminal_Stress!$L$4</c:f>
              <c:strCache>
                <c:ptCount val="1"/>
                <c:pt idx="0">
                  <c:v>BM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Norminal_Stress!$J$5:$J$15</c:f>
              <c:numCache>
                <c:formatCode>General</c:formatCode>
                <c:ptCount val="11"/>
                <c:pt idx="0">
                  <c:v>0</c:v>
                </c:pt>
                <c:pt idx="1">
                  <c:v>19.3</c:v>
                </c:pt>
                <c:pt idx="2">
                  <c:v>38.6</c:v>
                </c:pt>
                <c:pt idx="3">
                  <c:v>57.9</c:v>
                </c:pt>
                <c:pt idx="4">
                  <c:v>77.2</c:v>
                </c:pt>
                <c:pt idx="5">
                  <c:v>96.5</c:v>
                </c:pt>
                <c:pt idx="6">
                  <c:v>115.8</c:v>
                </c:pt>
                <c:pt idx="7">
                  <c:v>135.1</c:v>
                </c:pt>
                <c:pt idx="8">
                  <c:v>154.4</c:v>
                </c:pt>
                <c:pt idx="9">
                  <c:v>173.70000000000002</c:v>
                </c:pt>
                <c:pt idx="10">
                  <c:v>193</c:v>
                </c:pt>
              </c:numCache>
            </c:numRef>
          </c:xVal>
          <c:yVal>
            <c:numRef>
              <c:f>Norminal_Stress!$L$5:$L$15</c:f>
              <c:numCache>
                <c:formatCode>General</c:formatCode>
                <c:ptCount val="11"/>
                <c:pt idx="0">
                  <c:v>-18624.5</c:v>
                </c:pt>
                <c:pt idx="1">
                  <c:v>53266.07</c:v>
                </c:pt>
                <c:pt idx="2">
                  <c:v>268937.78000000003</c:v>
                </c:pt>
                <c:pt idx="3">
                  <c:v>628390.63</c:v>
                </c:pt>
                <c:pt idx="4">
                  <c:v>1131624.6200000001</c:v>
                </c:pt>
                <c:pt idx="5">
                  <c:v>1778639.75</c:v>
                </c:pt>
                <c:pt idx="6">
                  <c:v>2569436.02</c:v>
                </c:pt>
                <c:pt idx="7">
                  <c:v>3504013.4299999997</c:v>
                </c:pt>
                <c:pt idx="8">
                  <c:v>4582371.9800000004</c:v>
                </c:pt>
                <c:pt idx="9">
                  <c:v>5804511.6700000009</c:v>
                </c:pt>
                <c:pt idx="10">
                  <c:v>7170432.5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7-45EA-8565-58C23F59B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47535"/>
        <c:axId val="1"/>
      </c:scatterChart>
      <c:valAx>
        <c:axId val="18144753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1447535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7567718900002356"/>
          <c:y val="0.52381108611423577"/>
          <c:w val="0.98558728807547702"/>
          <c:h val="0.586311398575178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87813021702837"/>
          <c:y val="8.9655172413793102E-2"/>
          <c:w val="0.82303839732888151"/>
          <c:h val="0.7517241379310344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Norminal_Stress!$B$61:$B$71</c:f>
              <c:numCache>
                <c:formatCode>General</c:formatCode>
                <c:ptCount val="11"/>
                <c:pt idx="0">
                  <c:v>0</c:v>
                </c:pt>
                <c:pt idx="1">
                  <c:v>41.5</c:v>
                </c:pt>
                <c:pt idx="2">
                  <c:v>83</c:v>
                </c:pt>
                <c:pt idx="3">
                  <c:v>124.5</c:v>
                </c:pt>
                <c:pt idx="4">
                  <c:v>166</c:v>
                </c:pt>
                <c:pt idx="5">
                  <c:v>207.5</c:v>
                </c:pt>
                <c:pt idx="6">
                  <c:v>249</c:v>
                </c:pt>
                <c:pt idx="7">
                  <c:v>290.5</c:v>
                </c:pt>
                <c:pt idx="8">
                  <c:v>332</c:v>
                </c:pt>
                <c:pt idx="9">
                  <c:v>373.5</c:v>
                </c:pt>
                <c:pt idx="10">
                  <c:v>415</c:v>
                </c:pt>
              </c:numCache>
            </c:numRef>
          </c:xVal>
          <c:yVal>
            <c:numRef>
              <c:f>Norminal_Stress!$C$61:$C$71</c:f>
              <c:numCache>
                <c:formatCode>General</c:formatCode>
                <c:ptCount val="11"/>
                <c:pt idx="0">
                  <c:v>0</c:v>
                </c:pt>
                <c:pt idx="1">
                  <c:v>15562.5</c:v>
                </c:pt>
                <c:pt idx="2">
                  <c:v>31125</c:v>
                </c:pt>
                <c:pt idx="3">
                  <c:v>46687.5</c:v>
                </c:pt>
                <c:pt idx="4">
                  <c:v>62250</c:v>
                </c:pt>
                <c:pt idx="5">
                  <c:v>77812.5</c:v>
                </c:pt>
                <c:pt idx="6">
                  <c:v>62250</c:v>
                </c:pt>
                <c:pt idx="7">
                  <c:v>46687.500000000007</c:v>
                </c:pt>
                <c:pt idx="8">
                  <c:v>31124.999999999993</c:v>
                </c:pt>
                <c:pt idx="9">
                  <c:v>15562.499999999996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9-419A-8AB7-C62DC8BFA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67887"/>
        <c:axId val="1"/>
      </c:scatterChart>
      <c:valAx>
        <c:axId val="18176788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1767887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18411552346571"/>
          <c:y val="7.8549964817145046E-2"/>
          <c:w val="0.76714801444043323"/>
          <c:h val="0.78247849567848327"/>
        </c:manualLayout>
      </c:layout>
      <c:scatterChart>
        <c:scatterStyle val="lineMarker"/>
        <c:varyColors val="0"/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Norminal_Stress!$C$117:$C$133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167</c:v>
                </c:pt>
                <c:pt idx="15">
                  <c:v>180</c:v>
                </c:pt>
                <c:pt idx="16">
                  <c:v>186.5</c:v>
                </c:pt>
              </c:numCache>
            </c:numRef>
          </c:xVal>
          <c:yVal>
            <c:numRef>
              <c:f>Norminal_Stress!$E$117:$E$133</c:f>
              <c:numCache>
                <c:formatCode>General</c:formatCode>
                <c:ptCount val="17"/>
                <c:pt idx="0">
                  <c:v>0</c:v>
                </c:pt>
                <c:pt idx="1">
                  <c:v>50</c:v>
                </c:pt>
                <c:pt idx="2">
                  <c:v>200</c:v>
                </c:pt>
                <c:pt idx="3">
                  <c:v>450</c:v>
                </c:pt>
                <c:pt idx="4">
                  <c:v>800</c:v>
                </c:pt>
                <c:pt idx="5">
                  <c:v>1250</c:v>
                </c:pt>
                <c:pt idx="6">
                  <c:v>3200</c:v>
                </c:pt>
                <c:pt idx="7">
                  <c:v>4050</c:v>
                </c:pt>
                <c:pt idx="8">
                  <c:v>5000</c:v>
                </c:pt>
                <c:pt idx="9">
                  <c:v>6050</c:v>
                </c:pt>
                <c:pt idx="10">
                  <c:v>7200</c:v>
                </c:pt>
                <c:pt idx="11">
                  <c:v>8450</c:v>
                </c:pt>
                <c:pt idx="12">
                  <c:v>9800</c:v>
                </c:pt>
                <c:pt idx="13">
                  <c:v>11250</c:v>
                </c:pt>
                <c:pt idx="14">
                  <c:v>13944.5</c:v>
                </c:pt>
                <c:pt idx="15">
                  <c:v>16200</c:v>
                </c:pt>
                <c:pt idx="16">
                  <c:v>17391.125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12-4270-AAE4-EFDAAF134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73167"/>
        <c:axId val="1"/>
      </c:scatterChar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Norminal_Stress!$C$117:$C$133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167</c:v>
                </c:pt>
                <c:pt idx="15">
                  <c:v>180</c:v>
                </c:pt>
                <c:pt idx="16">
                  <c:v>186.5</c:v>
                </c:pt>
              </c:numCache>
            </c:numRef>
          </c:xVal>
          <c:yVal>
            <c:numRef>
              <c:f>Norminal_Stress!$D$117:$D$133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167</c:v>
                </c:pt>
                <c:pt idx="15">
                  <c:v>180</c:v>
                </c:pt>
                <c:pt idx="16">
                  <c:v>186.5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12-4270-AAE4-EFDAAF134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177316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1773167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3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20577617328519857"/>
          <c:y val="0.14803657095733122"/>
          <c:w val="0.35198555956678701"/>
          <c:h val="0.2719039576246322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xVal>
            <c:numRef>
              <c:f>HotSpotStress!$H$28:$J$28</c:f>
              <c:numCache>
                <c:formatCode>0.0</c:formatCode>
                <c:ptCount val="3"/>
                <c:pt idx="0">
                  <c:v>8</c:v>
                </c:pt>
                <c:pt idx="1">
                  <c:v>25.5</c:v>
                </c:pt>
                <c:pt idx="2">
                  <c:v>60.5</c:v>
                </c:pt>
              </c:numCache>
            </c:numRef>
          </c:xVal>
          <c:yVal>
            <c:numRef>
              <c:f>HotSpotStress!$H$29:$J$29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FC-4DEB-AC6F-712147BC9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28575"/>
        <c:axId val="1"/>
      </c:scatterChart>
      <c:scatterChart>
        <c:scatterStyle val="smoothMarker"/>
        <c:varyColors val="0"/>
        <c:ser>
          <c:idx val="0"/>
          <c:order val="0"/>
          <c:marker>
            <c:symbol val="square"/>
            <c:size val="5"/>
          </c:marker>
          <c:xVal>
            <c:numRef>
              <c:f>HotSpotStress!$D$28:$G$28</c:f>
              <c:numCache>
                <c:formatCode>General</c:formatCode>
                <c:ptCount val="4"/>
                <c:pt idx="0">
                  <c:v>25</c:v>
                </c:pt>
                <c:pt idx="1">
                  <c:v>75</c:v>
                </c:pt>
                <c:pt idx="2">
                  <c:v>125</c:v>
                </c:pt>
                <c:pt idx="3">
                  <c:v>175</c:v>
                </c:pt>
              </c:numCache>
            </c:numRef>
          </c:xVal>
          <c:yVal>
            <c:numRef>
              <c:f>HotSpotStress!$D$29:$G$29</c:f>
              <c:numCache>
                <c:formatCode>General</c:formatCode>
                <c:ptCount val="4"/>
                <c:pt idx="0">
                  <c:v>213</c:v>
                </c:pt>
                <c:pt idx="1">
                  <c:v>199</c:v>
                </c:pt>
                <c:pt idx="2">
                  <c:v>186</c:v>
                </c:pt>
                <c:pt idx="3">
                  <c:v>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FC-4DEB-AC6F-712147BC9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28575"/>
        <c:axId val="1"/>
      </c:scatterChart>
      <c:valAx>
        <c:axId val="179528575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5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79528575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127234681074166E-2"/>
          <c:y val="6.1904905842880026E-2"/>
          <c:w val="0.89309937223772373"/>
          <c:h val="0.83333527096184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Weibull!$C$8</c:f>
              <c:strCache>
                <c:ptCount val="1"/>
                <c:pt idx="0">
                  <c:v>PDF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Weibull!$B$9:$B$59</c:f>
              <c:numCache>
                <c:formatCode>0.000</c:formatCode>
                <c:ptCount val="51"/>
                <c:pt idx="0">
                  <c:v>0</c:v>
                </c:pt>
                <c:pt idx="1">
                  <c:v>4.0027763271397745E-2</c:v>
                </c:pt>
                <c:pt idx="2">
                  <c:v>8.0055526542795491E-2</c:v>
                </c:pt>
                <c:pt idx="3">
                  <c:v>0.12008328981419325</c:v>
                </c:pt>
                <c:pt idx="4">
                  <c:v>0.16011105308559098</c:v>
                </c:pt>
                <c:pt idx="5">
                  <c:v>0.20013881635698871</c:v>
                </c:pt>
                <c:pt idx="6">
                  <c:v>0.2401665796283865</c:v>
                </c:pt>
                <c:pt idx="7">
                  <c:v>0.28019434289978423</c:v>
                </c:pt>
                <c:pt idx="8">
                  <c:v>0.32022210617118196</c:v>
                </c:pt>
                <c:pt idx="9">
                  <c:v>0.36024986944257975</c:v>
                </c:pt>
                <c:pt idx="10">
                  <c:v>0.40027763271397743</c:v>
                </c:pt>
                <c:pt idx="11">
                  <c:v>0.44030539598537521</c:v>
                </c:pt>
                <c:pt idx="12">
                  <c:v>0.480333159256773</c:v>
                </c:pt>
                <c:pt idx="13">
                  <c:v>0.52036092252817068</c:v>
                </c:pt>
                <c:pt idx="14">
                  <c:v>0.56038868579956846</c:v>
                </c:pt>
                <c:pt idx="15">
                  <c:v>0.60041644907096614</c:v>
                </c:pt>
                <c:pt idx="16">
                  <c:v>0.64044421234236393</c:v>
                </c:pt>
                <c:pt idx="17">
                  <c:v>0.6804719756137616</c:v>
                </c:pt>
                <c:pt idx="18">
                  <c:v>0.7204997388851595</c:v>
                </c:pt>
                <c:pt idx="19">
                  <c:v>0.76052750215655718</c:v>
                </c:pt>
                <c:pt idx="20">
                  <c:v>0.80055526542795485</c:v>
                </c:pt>
                <c:pt idx="21">
                  <c:v>0.84058302869935275</c:v>
                </c:pt>
                <c:pt idx="22">
                  <c:v>0.88061079197075043</c:v>
                </c:pt>
                <c:pt idx="23">
                  <c:v>0.9206385552421481</c:v>
                </c:pt>
                <c:pt idx="24">
                  <c:v>0.960666318513546</c:v>
                </c:pt>
                <c:pt idx="25">
                  <c:v>1.0006940817849437</c:v>
                </c:pt>
                <c:pt idx="26">
                  <c:v>1.0407218450563414</c:v>
                </c:pt>
                <c:pt idx="27">
                  <c:v>1.080749608327739</c:v>
                </c:pt>
                <c:pt idx="28">
                  <c:v>1.1207773715991369</c:v>
                </c:pt>
                <c:pt idx="29">
                  <c:v>1.1608051348705346</c:v>
                </c:pt>
                <c:pt idx="30">
                  <c:v>1.2008328981419323</c:v>
                </c:pt>
                <c:pt idx="31">
                  <c:v>1.2408606614133302</c:v>
                </c:pt>
                <c:pt idx="32">
                  <c:v>1.2808884246847279</c:v>
                </c:pt>
                <c:pt idx="33">
                  <c:v>1.3209161879561255</c:v>
                </c:pt>
                <c:pt idx="34">
                  <c:v>1.3609439512275232</c:v>
                </c:pt>
                <c:pt idx="35">
                  <c:v>1.4009717144989211</c:v>
                </c:pt>
                <c:pt idx="36">
                  <c:v>1.440999477770319</c:v>
                </c:pt>
                <c:pt idx="37">
                  <c:v>1.4810272410417167</c:v>
                </c:pt>
                <c:pt idx="38">
                  <c:v>1.5210550043131144</c:v>
                </c:pt>
                <c:pt idx="39">
                  <c:v>1.561082767584512</c:v>
                </c:pt>
                <c:pt idx="40">
                  <c:v>1.6011105308559097</c:v>
                </c:pt>
                <c:pt idx="41">
                  <c:v>1.6411382941273076</c:v>
                </c:pt>
                <c:pt idx="42">
                  <c:v>1.6811660573987055</c:v>
                </c:pt>
                <c:pt idx="43">
                  <c:v>1.7211938206701032</c:v>
                </c:pt>
                <c:pt idx="44">
                  <c:v>1.7612215839415009</c:v>
                </c:pt>
                <c:pt idx="45">
                  <c:v>1.8012493472128985</c:v>
                </c:pt>
                <c:pt idx="46">
                  <c:v>1.8412771104842962</c:v>
                </c:pt>
                <c:pt idx="47">
                  <c:v>1.8813048737556941</c:v>
                </c:pt>
                <c:pt idx="48">
                  <c:v>1.921332637027092</c:v>
                </c:pt>
                <c:pt idx="49">
                  <c:v>1.9613604002984897</c:v>
                </c:pt>
                <c:pt idx="50">
                  <c:v>2.0013881635698874</c:v>
                </c:pt>
              </c:numCache>
            </c:numRef>
          </c:xVal>
          <c:yVal>
            <c:numRef>
              <c:f>Weibull!$C$9:$C$59</c:f>
              <c:numCache>
                <c:formatCode>General</c:formatCode>
                <c:ptCount val="51"/>
                <c:pt idx="0">
                  <c:v>0</c:v>
                </c:pt>
                <c:pt idx="1">
                  <c:v>6.3769301116662538</c:v>
                </c:pt>
                <c:pt idx="2">
                  <c:v>4.4045959700916955</c:v>
                </c:pt>
                <c:pt idx="3">
                  <c:v>3.0437525827945104</c:v>
                </c:pt>
                <c:pt idx="4">
                  <c:v>2.1038667864686298</c:v>
                </c:pt>
                <c:pt idx="5">
                  <c:v>1.4544394523017796</c:v>
                </c:pt>
                <c:pt idx="6">
                  <c:v>1.0055948564843045</c:v>
                </c:pt>
                <c:pt idx="7">
                  <c:v>0.69532764472034703</c:v>
                </c:pt>
                <c:pt idx="8">
                  <c:v>0.48082590977593626</c:v>
                </c:pt>
                <c:pt idx="9">
                  <c:v>0.33251645079186321</c:v>
                </c:pt>
                <c:pt idx="10">
                  <c:v>0.2299649418744554</c:v>
                </c:pt>
                <c:pt idx="11">
                  <c:v>0.15904884913893716</c:v>
                </c:pt>
                <c:pt idx="12">
                  <c:v>0.11000631228028616</c:v>
                </c:pt>
                <c:pt idx="13">
                  <c:v>7.6088857373979191E-2</c:v>
                </c:pt>
                <c:pt idx="14">
                  <c:v>5.2630733186680857E-2</c:v>
                </c:pt>
                <c:pt idx="15">
                  <c:v>3.6405872249017597E-2</c:v>
                </c:pt>
                <c:pt idx="16">
                  <c:v>2.5183499104071694E-2</c:v>
                </c:pt>
                <c:pt idx="17">
                  <c:v>1.7420973188224727E-2</c:v>
                </c:pt>
                <c:pt idx="18">
                  <c:v>1.2051460323404631E-2</c:v>
                </c:pt>
                <c:pt idx="19">
                  <c:v>8.3371415358353615E-3</c:v>
                </c:pt>
                <c:pt idx="20">
                  <c:v>5.7677217782485897E-3</c:v>
                </c:pt>
                <c:pt idx="21">
                  <c:v>3.9902538111267725E-3</c:v>
                </c:pt>
                <c:pt idx="22">
                  <c:v>2.7606118388944952E-3</c:v>
                </c:pt>
                <c:pt idx="23">
                  <c:v>1.9099339269692342E-3</c:v>
                </c:pt>
                <c:pt idx="24">
                  <c:v>1.3214146564789785E-3</c:v>
                </c:pt>
                <c:pt idx="25">
                  <c:v>9.1425494300821544E-4</c:v>
                </c:pt>
                <c:pt idx="26">
                  <c:v>6.325612876345219E-4</c:v>
                </c:pt>
                <c:pt idx="27">
                  <c:v>4.37667903584364E-4</c:v>
                </c:pt>
                <c:pt idx="28">
                  <c:v>3.0282610375285816E-4</c:v>
                </c:pt>
                <c:pt idx="29">
                  <c:v>2.0953095204898301E-4</c:v>
                </c:pt>
                <c:pt idx="30">
                  <c:v>1.4498033412839112E-4</c:v>
                </c:pt>
                <c:pt idx="31">
                  <c:v>1.0031729678163679E-4</c:v>
                </c:pt>
                <c:pt idx="32">
                  <c:v>6.9414173509159605E-5</c:v>
                </c:pt>
                <c:pt idx="33">
                  <c:v>4.8031474112298793E-5</c:v>
                </c:pt>
                <c:pt idx="34">
                  <c:v>3.3236012949318048E-5</c:v>
                </c:pt>
                <c:pt idx="35">
                  <c:v>2.299836715546007E-5</c:v>
                </c:pt>
                <c:pt idx="36">
                  <c:v>1.5914390492708244E-5</c:v>
                </c:pt>
                <c:pt idx="37">
                  <c:v>1.1012547500362215E-5</c:v>
                </c:pt>
                <c:pt idx="38">
                  <c:v>7.6206184581940648E-6</c:v>
                </c:pt>
                <c:pt idx="39">
                  <c:v>5.273478148949725E-6</c:v>
                </c:pt>
                <c:pt idx="40">
                  <c:v>3.6492907715710502E-6</c:v>
                </c:pt>
                <c:pt idx="41">
                  <c:v>2.525364410442315E-6</c:v>
                </c:pt>
                <c:pt idx="42">
                  <c:v>1.7476071011401899E-6</c:v>
                </c:pt>
                <c:pt idx="43">
                  <c:v>1.2093934126122791E-6</c:v>
                </c:pt>
                <c:pt idx="44">
                  <c:v>8.3694197557261544E-7</c:v>
                </c:pt>
                <c:pt idx="45">
                  <c:v>5.7919787355501708E-7</c:v>
                </c:pt>
                <c:pt idx="46">
                  <c:v>4.0083195310141516E-7</c:v>
                </c:pt>
                <c:pt idx="47">
                  <c:v>2.7739676475404032E-7</c:v>
                </c:pt>
                <c:pt idx="48">
                  <c:v>1.9197472156672245E-7</c:v>
                </c:pt>
                <c:pt idx="49">
                  <c:v>1.3285876772957877E-7</c:v>
                </c:pt>
                <c:pt idx="50">
                  <c:v>9.1947481244139228E-8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71-41B3-A781-D481D6CAB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43839"/>
        <c:axId val="1"/>
      </c:scatterChart>
      <c:valAx>
        <c:axId val="151643839"/>
        <c:scaling>
          <c:orientation val="minMax"/>
        </c:scaling>
        <c:delete val="0"/>
        <c:axPos val="b"/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1643839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63093622795115E-2"/>
          <c:y val="6.4837905236907731E-2"/>
          <c:w val="0.86567164179104472"/>
          <c:h val="0.8229426433915212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Weibull!$D$8</c:f>
              <c:strCache>
                <c:ptCount val="1"/>
                <c:pt idx="0">
                  <c:v>CDF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Weibull!$D$9:$D$59</c:f>
              <c:numCache>
                <c:formatCode>0.00E+00</c:formatCode>
                <c:ptCount val="51"/>
                <c:pt idx="0">
                  <c:v>1</c:v>
                </c:pt>
                <c:pt idx="1">
                  <c:v>0.69083264281684365</c:v>
                </c:pt>
                <c:pt idx="2">
                  <c:v>0.47749441932504277</c:v>
                </c:pt>
                <c:pt idx="3">
                  <c:v>0.3301016243596373</c:v>
                </c:pt>
                <c:pt idx="4">
                  <c:v>0.2282346037569134</c:v>
                </c:pt>
                <c:pt idx="5">
                  <c:v>0.15781773625039031</c:v>
                </c:pt>
                <c:pt idx="6">
                  <c:v>0.10913458156091005</c:v>
                </c:pt>
                <c:pt idx="7">
                  <c:v>7.5473725409064052E-2</c:v>
                </c:pt>
                <c:pt idx="8">
                  <c:v>5.2197793515525115E-2</c:v>
                </c:pt>
                <c:pt idx="9">
                  <c:v>3.6101776386013529E-2</c:v>
                </c:pt>
                <c:pt idx="10">
                  <c:v>2.4970246291697862E-2</c:v>
                </c:pt>
                <c:pt idx="11">
                  <c:v>1.7271621684588734E-2</c:v>
                </c:pt>
                <c:pt idx="12">
                  <c:v>1.1946975703516216E-2</c:v>
                </c:pt>
                <c:pt idx="13">
                  <c:v>8.2641120839690441E-3</c:v>
                </c:pt>
                <c:pt idx="14">
                  <c:v>5.7167176286972987E-3</c:v>
                </c:pt>
                <c:pt idx="15">
                  <c:v>3.9546561202533637E-3</c:v>
                </c:pt>
                <c:pt idx="16">
                  <c:v>2.7357813572754797E-3</c:v>
                </c:pt>
                <c:pt idx="17">
                  <c:v>1.8926227420755781E-3</c:v>
                </c:pt>
                <c:pt idx="18">
                  <c:v>1.3093511707304994E-3</c:v>
                </c:pt>
                <c:pt idx="19">
                  <c:v>9.0585173618640269E-4</c:v>
                </c:pt>
                <c:pt idx="20">
                  <c:v>6.2670985771284826E-4</c:v>
                </c:pt>
                <c:pt idx="21">
                  <c:v>4.3359466847248118E-4</c:v>
                </c:pt>
                <c:pt idx="22">
                  <c:v>2.9999150852466627E-4</c:v>
                </c:pt>
                <c:pt idx="23">
                  <c:v>2.0755885404999397E-4</c:v>
                </c:pt>
                <c:pt idx="24">
                  <c:v>1.4360862492690529E-4</c:v>
                </c:pt>
                <c:pt idx="25">
                  <c:v>9.9363401475205393E-5</c:v>
                </c:pt>
                <c:pt idx="26">
                  <c:v>6.875096149794313E-5</c:v>
                </c:pt>
                <c:pt idx="27">
                  <c:v>4.7570449548062221E-5</c:v>
                </c:pt>
                <c:pt idx="28">
                  <c:v>3.291559120222054E-5</c:v>
                </c:pt>
                <c:pt idx="29">
                  <c:v>2.2775702291477629E-5</c:v>
                </c:pt>
                <c:pt idx="30">
                  <c:v>1.5759680570992529E-5</c:v>
                </c:pt>
                <c:pt idx="31">
                  <c:v>1.0905067939437352E-5</c:v>
                </c:pt>
                <c:pt idx="32">
                  <c:v>7.5459600231697621E-6</c:v>
                </c:pt>
                <c:pt idx="33">
                  <c:v>5.2216243217051428E-6</c:v>
                </c:pt>
                <c:pt idx="34">
                  <c:v>3.613279786263135E-6</c:v>
                </c:pt>
                <c:pt idx="35">
                  <c:v>2.5003583965510501E-6</c:v>
                </c:pt>
                <c:pt idx="36">
                  <c:v>1.7302446129185967E-6</c:v>
                </c:pt>
                <c:pt idx="37">
                  <c:v>1.1973391675912382E-6</c:v>
                </c:pt>
                <c:pt idx="38">
                  <c:v>8.285737971291951E-7</c:v>
                </c:pt>
                <c:pt idx="39">
                  <c:v>5.733890678927267E-7</c:v>
                </c:pt>
                <c:pt idx="40">
                  <c:v>3.9680005337050517E-7</c:v>
                </c:pt>
                <c:pt idx="41">
                  <c:v>2.7459841911436911E-7</c:v>
                </c:pt>
                <c:pt idx="42">
                  <c:v>1.9003265805395131E-7</c:v>
                </c:pt>
                <c:pt idx="43">
                  <c:v>1.3151105460185164E-7</c:v>
                </c:pt>
                <c:pt idx="44">
                  <c:v>9.1012280267754875E-8</c:v>
                </c:pt>
                <c:pt idx="45">
                  <c:v>6.2985613613619762E-8</c:v>
                </c:pt>
                <c:pt idx="46">
                  <c:v>4.3589941434163393E-8</c:v>
                </c:pt>
                <c:pt idx="47">
                  <c:v>3.0167177755835439E-8</c:v>
                </c:pt>
                <c:pt idx="48">
                  <c:v>2.0877883977199474E-8</c:v>
                </c:pt>
                <c:pt idx="49">
                  <c:v>1.4449127005988771E-8</c:v>
                </c:pt>
                <c:pt idx="50">
                  <c:v>1.0000000050247593E-8</c:v>
                </c:pt>
              </c:numCache>
            </c:numRef>
          </c:xVal>
          <c:yVal>
            <c:numRef>
              <c:f>Weibull!$B$9:$B$59</c:f>
              <c:numCache>
                <c:formatCode>0.000</c:formatCode>
                <c:ptCount val="51"/>
                <c:pt idx="0">
                  <c:v>0</c:v>
                </c:pt>
                <c:pt idx="1">
                  <c:v>4.0027763271397745E-2</c:v>
                </c:pt>
                <c:pt idx="2">
                  <c:v>8.0055526542795491E-2</c:v>
                </c:pt>
                <c:pt idx="3">
                  <c:v>0.12008328981419325</c:v>
                </c:pt>
                <c:pt idx="4">
                  <c:v>0.16011105308559098</c:v>
                </c:pt>
                <c:pt idx="5">
                  <c:v>0.20013881635698871</c:v>
                </c:pt>
                <c:pt idx="6">
                  <c:v>0.2401665796283865</c:v>
                </c:pt>
                <c:pt idx="7">
                  <c:v>0.28019434289978423</c:v>
                </c:pt>
                <c:pt idx="8">
                  <c:v>0.32022210617118196</c:v>
                </c:pt>
                <c:pt idx="9">
                  <c:v>0.36024986944257975</c:v>
                </c:pt>
                <c:pt idx="10">
                  <c:v>0.40027763271397743</c:v>
                </c:pt>
                <c:pt idx="11">
                  <c:v>0.44030539598537521</c:v>
                </c:pt>
                <c:pt idx="12">
                  <c:v>0.480333159256773</c:v>
                </c:pt>
                <c:pt idx="13">
                  <c:v>0.52036092252817068</c:v>
                </c:pt>
                <c:pt idx="14">
                  <c:v>0.56038868579956846</c:v>
                </c:pt>
                <c:pt idx="15">
                  <c:v>0.60041644907096614</c:v>
                </c:pt>
                <c:pt idx="16">
                  <c:v>0.64044421234236393</c:v>
                </c:pt>
                <c:pt idx="17">
                  <c:v>0.6804719756137616</c:v>
                </c:pt>
                <c:pt idx="18">
                  <c:v>0.7204997388851595</c:v>
                </c:pt>
                <c:pt idx="19">
                  <c:v>0.76052750215655718</c:v>
                </c:pt>
                <c:pt idx="20">
                  <c:v>0.80055526542795485</c:v>
                </c:pt>
                <c:pt idx="21">
                  <c:v>0.84058302869935275</c:v>
                </c:pt>
                <c:pt idx="22">
                  <c:v>0.88061079197075043</c:v>
                </c:pt>
                <c:pt idx="23">
                  <c:v>0.9206385552421481</c:v>
                </c:pt>
                <c:pt idx="24">
                  <c:v>0.960666318513546</c:v>
                </c:pt>
                <c:pt idx="25">
                  <c:v>1.0006940817849437</c:v>
                </c:pt>
                <c:pt idx="26">
                  <c:v>1.0407218450563414</c:v>
                </c:pt>
                <c:pt idx="27">
                  <c:v>1.080749608327739</c:v>
                </c:pt>
                <c:pt idx="28">
                  <c:v>1.1207773715991369</c:v>
                </c:pt>
                <c:pt idx="29">
                  <c:v>1.1608051348705346</c:v>
                </c:pt>
                <c:pt idx="30">
                  <c:v>1.2008328981419323</c:v>
                </c:pt>
                <c:pt idx="31">
                  <c:v>1.2408606614133302</c:v>
                </c:pt>
                <c:pt idx="32">
                  <c:v>1.2808884246847279</c:v>
                </c:pt>
                <c:pt idx="33">
                  <c:v>1.3209161879561255</c:v>
                </c:pt>
                <c:pt idx="34">
                  <c:v>1.3609439512275232</c:v>
                </c:pt>
                <c:pt idx="35">
                  <c:v>1.4009717144989211</c:v>
                </c:pt>
                <c:pt idx="36">
                  <c:v>1.440999477770319</c:v>
                </c:pt>
                <c:pt idx="37">
                  <c:v>1.4810272410417167</c:v>
                </c:pt>
                <c:pt idx="38">
                  <c:v>1.5210550043131144</c:v>
                </c:pt>
                <c:pt idx="39">
                  <c:v>1.561082767584512</c:v>
                </c:pt>
                <c:pt idx="40">
                  <c:v>1.6011105308559097</c:v>
                </c:pt>
                <c:pt idx="41">
                  <c:v>1.6411382941273076</c:v>
                </c:pt>
                <c:pt idx="42">
                  <c:v>1.6811660573987055</c:v>
                </c:pt>
                <c:pt idx="43">
                  <c:v>1.7211938206701032</c:v>
                </c:pt>
                <c:pt idx="44">
                  <c:v>1.7612215839415009</c:v>
                </c:pt>
                <c:pt idx="45">
                  <c:v>1.8012493472128985</c:v>
                </c:pt>
                <c:pt idx="46">
                  <c:v>1.8412771104842962</c:v>
                </c:pt>
                <c:pt idx="47">
                  <c:v>1.8813048737556941</c:v>
                </c:pt>
                <c:pt idx="48">
                  <c:v>1.921332637027092</c:v>
                </c:pt>
                <c:pt idx="49">
                  <c:v>1.9613604002984897</c:v>
                </c:pt>
                <c:pt idx="50">
                  <c:v>2.0013881635698874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8A-4D2A-B11F-51A3E716F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44799"/>
        <c:axId val="1"/>
      </c:scatterChart>
      <c:valAx>
        <c:axId val="151644799"/>
        <c:scaling>
          <c:logBase val="10"/>
          <c:orientation val="minMax"/>
          <c:max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1644799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75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Long term distribution of stress amplitude</a:t>
            </a:r>
          </a:p>
        </c:rich>
      </c:tx>
      <c:layout>
        <c:manualLayout>
          <c:xMode val="edge"/>
          <c:yMode val="edge"/>
          <c:x val="0.22504537205081671"/>
          <c:y val="4.395604395604395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89292196007259"/>
          <c:y val="0.16483516483516483"/>
          <c:w val="0.86025408348457355"/>
          <c:h val="0.657142857142857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'Weibull (2)'!$D$5</c:f>
              <c:strCache>
                <c:ptCount val="1"/>
                <c:pt idx="0">
                  <c:v>0.5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'Weibull (2)'!$D$9:$D$59</c:f>
              <c:numCache>
                <c:formatCode>0.00E+00</c:formatCode>
                <c:ptCount val="51"/>
                <c:pt idx="0">
                  <c:v>0</c:v>
                </c:pt>
                <c:pt idx="1">
                  <c:v>-1.1313708498984758</c:v>
                </c:pt>
                <c:pt idx="2">
                  <c:v>-1.6</c:v>
                </c:pt>
                <c:pt idx="3">
                  <c:v>-1.9595917942265415</c:v>
                </c:pt>
                <c:pt idx="4">
                  <c:v>-2.2627416997969547</c:v>
                </c:pt>
                <c:pt idx="5">
                  <c:v>-2.529822128134696</c:v>
                </c:pt>
                <c:pt idx="6">
                  <c:v>-2.7712812921102179</c:v>
                </c:pt>
                <c:pt idx="7">
                  <c:v>-2.9933259094191578</c:v>
                </c:pt>
                <c:pt idx="8">
                  <c:v>-3.2000000000000268</c:v>
                </c:pt>
                <c:pt idx="9">
                  <c:v>-3.3941125496954041</c:v>
                </c:pt>
                <c:pt idx="10">
                  <c:v>-3.5777087639996501</c:v>
                </c:pt>
                <c:pt idx="11">
                  <c:v>-3.7523326078587012</c:v>
                </c:pt>
                <c:pt idx="12">
                  <c:v>-3.9191835884529809</c:v>
                </c:pt>
                <c:pt idx="13">
                  <c:v>-4.0792156108741802</c:v>
                </c:pt>
                <c:pt idx="14">
                  <c:v>-4.2332020977030718</c:v>
                </c:pt>
                <c:pt idx="15">
                  <c:v>-4.3817804600417434</c:v>
                </c:pt>
                <c:pt idx="16">
                  <c:v>-4.5254833995944486</c:v>
                </c:pt>
                <c:pt idx="17">
                  <c:v>-4.6647615158766644</c:v>
                </c:pt>
                <c:pt idx="18">
                  <c:v>-4.7999999999993861</c:v>
                </c:pt>
                <c:pt idx="19">
                  <c:v>-4.9315312023766129</c:v>
                </c:pt>
                <c:pt idx="20">
                  <c:v>-5.0596442562716719</c:v>
                </c:pt>
                <c:pt idx="21">
                  <c:v>-5.1845925587240469</c:v>
                </c:pt>
                <c:pt idx="22">
                  <c:v>-5.3065996645662299</c:v>
                </c:pt>
                <c:pt idx="23">
                  <c:v>-5.4258639865056448</c:v>
                </c:pt>
                <c:pt idx="24">
                  <c:v>-5.5425625842279551</c:v>
                </c:pt>
                <c:pt idx="25">
                  <c:v>-5.6568542494872895</c:v>
                </c:pt>
                <c:pt idx="26">
                  <c:v>-5.768882040728557</c:v>
                </c:pt>
                <c:pt idx="27">
                  <c:v>-5.8787753826850322</c:v>
                </c:pt>
                <c:pt idx="28">
                  <c:v>-5.9866518188408469</c:v>
                </c:pt>
                <c:pt idx="29">
                  <c:v>-6.092618484684051</c:v>
                </c:pt>
                <c:pt idx="30">
                  <c:v>-6.1967733539540264</c:v>
                </c:pt>
                <c:pt idx="31">
                  <c:v>-6.2992062991868227</c:v>
                </c:pt>
                <c:pt idx="32">
                  <c:v>-6.3999999999898876</c:v>
                </c:pt>
                <c:pt idx="33">
                  <c:v>-6.4992307236941329</c:v>
                </c:pt>
                <c:pt idx="34">
                  <c:v>-6.5969690009753936</c:v>
                </c:pt>
                <c:pt idx="35">
                  <c:v>-6.6932802123730815</c:v>
                </c:pt>
                <c:pt idx="36">
                  <c:v>-6.7882250994208029</c:v>
                </c:pt>
                <c:pt idx="37">
                  <c:v>-6.8818602134704028</c:v>
                </c:pt>
                <c:pt idx="38">
                  <c:v>-6.9742383094575553</c:v>
                </c:pt>
                <c:pt idx="39">
                  <c:v>-7.0654086933363134</c:v>
                </c:pt>
                <c:pt idx="40">
                  <c:v>-7.1554175279815055</c:v>
                </c:pt>
                <c:pt idx="41">
                  <c:v>-7.2443081103025619</c:v>
                </c:pt>
                <c:pt idx="42">
                  <c:v>-7.3321211118023069</c:v>
                </c:pt>
                <c:pt idx="43">
                  <c:v>-7.4188947965321796</c:v>
                </c:pt>
                <c:pt idx="44">
                  <c:v>-7.504665214950939</c:v>
                </c:pt>
                <c:pt idx="45">
                  <c:v>-7.5894663843781842</c:v>
                </c:pt>
                <c:pt idx="46">
                  <c:v>-7.6733304376096418</c:v>
                </c:pt>
                <c:pt idx="47">
                  <c:v>-7.7562877706433069</c:v>
                </c:pt>
                <c:pt idx="48">
                  <c:v>-7.8383671784099578</c:v>
                </c:pt>
                <c:pt idx="49">
                  <c:v>-7.9195959501417645</c:v>
                </c:pt>
                <c:pt idx="50">
                  <c:v>-7.9999999978177749</c:v>
                </c:pt>
              </c:numCache>
            </c:numRef>
          </c:xVal>
          <c:yVal>
            <c:numRef>
              <c:f>'Weibull (2)'!$C$9:$C$59</c:f>
              <c:numCache>
                <c:formatCode>0.0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9.9999999999999992E-2</c:v>
                </c:pt>
                <c:pt idx="6">
                  <c:v>0.12</c:v>
                </c:pt>
                <c:pt idx="7">
                  <c:v>0.13999999999999999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0.53999999999999992</c:v>
                </c:pt>
                <c:pt idx="28">
                  <c:v>0.55999999999999994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0.67999999999999994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0.79999999999999993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0.98000000000000009</c:v>
                </c:pt>
                <c:pt idx="5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6-4243-86EB-0B9E3664B4A9}"/>
            </c:ext>
          </c:extLst>
        </c:ser>
        <c:ser>
          <c:idx val="1"/>
          <c:order val="1"/>
          <c:tx>
            <c:strRef>
              <c:f>'Weibull (2)'!$G$5</c:f>
              <c:strCache>
                <c:ptCount val="1"/>
                <c:pt idx="0">
                  <c:v>0.7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'Weibull (2)'!$G$9:$G$59</c:f>
              <c:numCache>
                <c:formatCode>0.00E+00</c:formatCode>
                <c:ptCount val="51"/>
                <c:pt idx="0">
                  <c:v>0</c:v>
                </c:pt>
                <c:pt idx="1">
                  <c:v>-0.51738160526188581</c:v>
                </c:pt>
                <c:pt idx="2">
                  <c:v>-0.8404888974092054</c:v>
                </c:pt>
                <c:pt idx="3">
                  <c:v>-1.1163383956975121</c:v>
                </c:pt>
                <c:pt idx="4">
                  <c:v>-1.3653782420628751</c:v>
                </c:pt>
                <c:pt idx="5">
                  <c:v>-1.596209851975104</c:v>
                </c:pt>
                <c:pt idx="6">
                  <c:v>-1.813497074099558</c:v>
                </c:pt>
                <c:pt idx="7">
                  <c:v>-2.0201313664989811</c:v>
                </c:pt>
                <c:pt idx="8">
                  <c:v>-2.2180634980964684</c:v>
                </c:pt>
                <c:pt idx="9">
                  <c:v>-2.4086890624526394</c:v>
                </c:pt>
                <c:pt idx="10">
                  <c:v>-2.5930505547084284</c:v>
                </c:pt>
                <c:pt idx="11">
                  <c:v>-2.7719530080997274</c:v>
                </c:pt>
                <c:pt idx="12">
                  <c:v>-2.9460346884447941</c:v>
                </c:pt>
                <c:pt idx="13">
                  <c:v>-3.1158126096899599</c:v>
                </c:pt>
                <c:pt idx="14">
                  <c:v>-3.2817130867863722</c:v>
                </c:pt>
                <c:pt idx="15">
                  <c:v>-3.4440929619995191</c:v>
                </c:pt>
                <c:pt idx="16">
                  <c:v>-3.603254783198357</c:v>
                </c:pt>
                <c:pt idx="17">
                  <c:v>-3.7594579272331461</c:v>
                </c:pt>
                <c:pt idx="18">
                  <c:v>-3.9129269261085118</c:v>
                </c:pt>
                <c:pt idx="19">
                  <c:v>-4.0638578154025229</c:v>
                </c:pt>
                <c:pt idx="20">
                  <c:v>-4.2124230538696938</c:v>
                </c:pt>
                <c:pt idx="21">
                  <c:v>-4.3587753910077867</c:v>
                </c:pt>
                <c:pt idx="22">
                  <c:v>-4.5030509468315092</c:v>
                </c:pt>
                <c:pt idx="23">
                  <c:v>-4.6453716927420512</c:v>
                </c:pt>
                <c:pt idx="24">
                  <c:v>-4.78584747087592</c:v>
                </c:pt>
                <c:pt idx="25">
                  <c:v>-4.9245776533803349</c:v>
                </c:pt>
                <c:pt idx="26">
                  <c:v>-5.0616525176361096</c:v>
                </c:pt>
                <c:pt idx="27">
                  <c:v>-5.1971543950677388</c:v>
                </c:pt>
                <c:pt idx="28">
                  <c:v>-5.3311586377892892</c:v>
                </c:pt>
                <c:pt idx="29">
                  <c:v>-5.4637344374933203</c:v>
                </c:pt>
                <c:pt idx="30">
                  <c:v>-5.5949455233153813</c:v>
                </c:pt>
                <c:pt idx="31">
                  <c:v>-5.7248507602352356</c:v>
                </c:pt>
                <c:pt idx="32">
                  <c:v>-5.853504664654813</c:v>
                </c:pt>
                <c:pt idx="33">
                  <c:v>-5.9809578511253845</c:v>
                </c:pt>
                <c:pt idx="34">
                  <c:v>-6.1072574207782733</c:v>
                </c:pt>
                <c:pt idx="35">
                  <c:v>-6.2324473013283885</c:v>
                </c:pt>
                <c:pt idx="36">
                  <c:v>-6.3565685449442784</c:v>
                </c:pt>
                <c:pt idx="37">
                  <c:v>-6.4796595910650447</c:v>
                </c:pt>
                <c:pt idx="38">
                  <c:v>-6.6017564981190695</c:v>
                </c:pt>
                <c:pt idx="39">
                  <c:v>-6.7228931499927906</c:v>
                </c:pt>
                <c:pt idx="40">
                  <c:v>-6.8431014401018002</c:v>
                </c:pt>
                <c:pt idx="41">
                  <c:v>-6.9624114327343953</c:v>
                </c:pt>
                <c:pt idx="42">
                  <c:v>-7.0808515128603196</c:v>
                </c:pt>
                <c:pt idx="43">
                  <c:v>-7.1984485154323599</c:v>
                </c:pt>
                <c:pt idx="44">
                  <c:v>-7.3152278446800594</c:v>
                </c:pt>
                <c:pt idx="45">
                  <c:v>-7.4312135815042231</c:v>
                </c:pt>
                <c:pt idx="46">
                  <c:v>-7.546428578791601</c:v>
                </c:pt>
                <c:pt idx="47">
                  <c:v>-7.6608945517886458</c:v>
                </c:pt>
                <c:pt idx="48">
                  <c:v>-7.7746321550559658</c:v>
                </c:pt>
                <c:pt idx="49">
                  <c:v>-7.8876610525502064</c:v>
                </c:pt>
                <c:pt idx="50">
                  <c:v>-7.9999999978177749</c:v>
                </c:pt>
              </c:numCache>
            </c:numRef>
          </c:xVal>
          <c:yVal>
            <c:numRef>
              <c:f>'Weibull (2)'!$F$9:$F$59</c:f>
              <c:numCache>
                <c:formatCode>0.0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9.9999999999999992E-2</c:v>
                </c:pt>
                <c:pt idx="6">
                  <c:v>0.12</c:v>
                </c:pt>
                <c:pt idx="7">
                  <c:v>0.13999999999999999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0.37999999999999995</c:v>
                </c:pt>
                <c:pt idx="20">
                  <c:v>0.39999999999999997</c:v>
                </c:pt>
                <c:pt idx="21">
                  <c:v>0.42000000000000004</c:v>
                </c:pt>
                <c:pt idx="22">
                  <c:v>0.44</c:v>
                </c:pt>
                <c:pt idx="23">
                  <c:v>0.45999999999999996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0.53999999999999992</c:v>
                </c:pt>
                <c:pt idx="28">
                  <c:v>0.55999999999999994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0.7599999999999999</c:v>
                </c:pt>
                <c:pt idx="39">
                  <c:v>0.77999999999999992</c:v>
                </c:pt>
                <c:pt idx="40">
                  <c:v>0.79999999999999993</c:v>
                </c:pt>
                <c:pt idx="41">
                  <c:v>0.82</c:v>
                </c:pt>
                <c:pt idx="42">
                  <c:v>0.84000000000000008</c:v>
                </c:pt>
                <c:pt idx="43">
                  <c:v>0.85999999999999988</c:v>
                </c:pt>
                <c:pt idx="44">
                  <c:v>0.88</c:v>
                </c:pt>
                <c:pt idx="45">
                  <c:v>0.90000000000000013</c:v>
                </c:pt>
                <c:pt idx="46">
                  <c:v>0.91999999999999993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86-4243-86EB-0B9E3664B4A9}"/>
            </c:ext>
          </c:extLst>
        </c:ser>
        <c:ser>
          <c:idx val="2"/>
          <c:order val="2"/>
          <c:tx>
            <c:strRef>
              <c:f>'Weibull (2)'!$J$5</c:f>
              <c:strCache>
                <c:ptCount val="1"/>
                <c:pt idx="0">
                  <c:v>0.9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'Weibull (2)'!$J$9:$J$59</c:f>
              <c:numCache>
                <c:formatCode>0.00E+00</c:formatCode>
                <c:ptCount val="51"/>
                <c:pt idx="0">
                  <c:v>0</c:v>
                </c:pt>
                <c:pt idx="1">
                  <c:v>-0.23660122186053026</c:v>
                </c:pt>
                <c:pt idx="2">
                  <c:v>-0.44151349166758869</c:v>
                </c:pt>
                <c:pt idx="3">
                  <c:v>-0.63595459900380924</c:v>
                </c:pt>
                <c:pt idx="4">
                  <c:v>-0.82389330786894321</c:v>
                </c:pt>
                <c:pt idx="5">
                  <c:v>-1.0071403294353334</c:v>
                </c:pt>
                <c:pt idx="6">
                  <c:v>-1.1867332439802301</c:v>
                </c:pt>
                <c:pt idx="7">
                  <c:v>-1.3633432714665332</c:v>
                </c:pt>
                <c:pt idx="8">
                  <c:v>-1.5374392754962314</c:v>
                </c:pt>
                <c:pt idx="9">
                  <c:v>-1.7093667091563087</c:v>
                </c:pt>
                <c:pt idx="10">
                  <c:v>-1.8793903089408308</c:v>
                </c:pt>
                <c:pt idx="11">
                  <c:v>-2.047719187531698</c:v>
                </c:pt>
                <c:pt idx="12">
                  <c:v>-2.2145225375741058</c:v>
                </c:pt>
                <c:pt idx="13">
                  <c:v>-2.3799399553245166</c:v>
                </c:pt>
                <c:pt idx="14">
                  <c:v>-2.544088502135994</c:v>
                </c:pt>
                <c:pt idx="15">
                  <c:v>-2.7070676952131949</c:v>
                </c:pt>
                <c:pt idx="16">
                  <c:v>-2.8689631330448506</c:v>
                </c:pt>
                <c:pt idx="17">
                  <c:v>-3.0298491913322931</c:v>
                </c:pt>
                <c:pt idx="18">
                  <c:v>-3.1897910685550435</c:v>
                </c:pt>
                <c:pt idx="19">
                  <c:v>-3.3488463655778218</c:v>
                </c:pt>
                <c:pt idx="20">
                  <c:v>-3.5070663244326443</c:v>
                </c:pt>
                <c:pt idx="21">
                  <c:v>-3.6644968132123412</c:v>
                </c:pt>
                <c:pt idx="22">
                  <c:v>-3.821179118740019</c:v>
                </c:pt>
                <c:pt idx="23">
                  <c:v>-3.9771505915788561</c:v>
                </c:pt>
                <c:pt idx="24">
                  <c:v>-4.1324451761171872</c:v>
                </c:pt>
                <c:pt idx="25">
                  <c:v>-4.2870938501447098</c:v>
                </c:pt>
                <c:pt idx="26">
                  <c:v>-4.4411249923891569</c:v>
                </c:pt>
                <c:pt idx="27">
                  <c:v>-4.5945646921158296</c:v>
                </c:pt>
                <c:pt idx="28">
                  <c:v>-4.7474370117655864</c:v>
                </c:pt>
                <c:pt idx="29">
                  <c:v>-4.8997642111373372</c:v>
                </c:pt>
                <c:pt idx="30">
                  <c:v>-5.0515669399159604</c:v>
                </c:pt>
                <c:pt idx="31">
                  <c:v>-5.2028644039006497</c:v>
                </c:pt>
                <c:pt idx="32">
                  <c:v>-5.3536745092714666</c:v>
                </c:pt>
                <c:pt idx="33">
                  <c:v>-5.5040139883454264</c:v>
                </c:pt>
                <c:pt idx="34">
                  <c:v>-5.6538985097804417</c:v>
                </c:pt>
                <c:pt idx="35">
                  <c:v>-5.803342775505631</c:v>
                </c:pt>
                <c:pt idx="36">
                  <c:v>-5.9523606061416237</c:v>
                </c:pt>
                <c:pt idx="37">
                  <c:v>-6.1009650170230811</c:v>
                </c:pt>
                <c:pt idx="38">
                  <c:v>-6.2491682853373707</c:v>
                </c:pt>
                <c:pt idx="39">
                  <c:v>-6.3969820106795652</c:v>
                </c:pt>
                <c:pt idx="40">
                  <c:v>-6.5444171683981711</c:v>
                </c:pt>
                <c:pt idx="41">
                  <c:v>-6.6914841584056202</c:v>
                </c:pt>
                <c:pt idx="42">
                  <c:v>-6.838192848312743</c:v>
                </c:pt>
                <c:pt idx="43">
                  <c:v>-6.9845526126303108</c:v>
                </c:pt>
                <c:pt idx="44">
                  <c:v>-7.1305723684645246</c:v>
                </c:pt>
                <c:pt idx="45">
                  <c:v>-7.276260609038383</c:v>
                </c:pt>
                <c:pt idx="46">
                  <c:v>-7.4216254281022769</c:v>
                </c:pt>
                <c:pt idx="47">
                  <c:v>-7.566674555424437</c:v>
                </c:pt>
                <c:pt idx="48">
                  <c:v>-7.7114153694809522</c:v>
                </c:pt>
                <c:pt idx="49">
                  <c:v>-7.8558549316827131</c:v>
                </c:pt>
                <c:pt idx="50">
                  <c:v>-7.9999999978177749</c:v>
                </c:pt>
              </c:numCache>
            </c:numRef>
          </c:xVal>
          <c:yVal>
            <c:numRef>
              <c:f>'Weibull (2)'!$I$9:$I$59</c:f>
              <c:numCache>
                <c:formatCode>0.0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9.9999999999999992E-2</c:v>
                </c:pt>
                <c:pt idx="6">
                  <c:v>0.12</c:v>
                </c:pt>
                <c:pt idx="7">
                  <c:v>0.13999999999999999</c:v>
                </c:pt>
                <c:pt idx="8">
                  <c:v>0.16</c:v>
                </c:pt>
                <c:pt idx="9">
                  <c:v>0.18000000000000002</c:v>
                </c:pt>
                <c:pt idx="10">
                  <c:v>0.19999999999999998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0.37999999999999995</c:v>
                </c:pt>
                <c:pt idx="20">
                  <c:v>0.39999999999999997</c:v>
                </c:pt>
                <c:pt idx="21">
                  <c:v>0.42000000000000004</c:v>
                </c:pt>
                <c:pt idx="22">
                  <c:v>0.44</c:v>
                </c:pt>
                <c:pt idx="23">
                  <c:v>0.45999999999999996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0.55999999999999994</c:v>
                </c:pt>
                <c:pt idx="29">
                  <c:v>0.58000000000000007</c:v>
                </c:pt>
                <c:pt idx="30">
                  <c:v>0.6</c:v>
                </c:pt>
                <c:pt idx="31">
                  <c:v>0.62000000000000011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0.72000000000000008</c:v>
                </c:pt>
                <c:pt idx="37">
                  <c:v>0.74</c:v>
                </c:pt>
                <c:pt idx="38">
                  <c:v>0.7599999999999999</c:v>
                </c:pt>
                <c:pt idx="39">
                  <c:v>0.77999999999999992</c:v>
                </c:pt>
                <c:pt idx="40">
                  <c:v>0.79999999999999993</c:v>
                </c:pt>
                <c:pt idx="41">
                  <c:v>0.82000000000000006</c:v>
                </c:pt>
                <c:pt idx="42">
                  <c:v>0.84000000000000008</c:v>
                </c:pt>
                <c:pt idx="43">
                  <c:v>0.85999999999999988</c:v>
                </c:pt>
                <c:pt idx="44">
                  <c:v>0.88</c:v>
                </c:pt>
                <c:pt idx="45">
                  <c:v>0.9</c:v>
                </c:pt>
                <c:pt idx="46">
                  <c:v>0.91999999999999993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86-4243-86EB-0B9E3664B4A9}"/>
            </c:ext>
          </c:extLst>
        </c:ser>
        <c:ser>
          <c:idx val="3"/>
          <c:order val="3"/>
          <c:tx>
            <c:strRef>
              <c:f>'Weibull (2)'!$M$5</c:f>
              <c:strCache>
                <c:ptCount val="1"/>
                <c:pt idx="0">
                  <c:v>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'Weibull (2)'!$M$9:$M$59</c:f>
              <c:numCache>
                <c:formatCode>0.00E+00</c:formatCode>
                <c:ptCount val="51"/>
                <c:pt idx="0">
                  <c:v>0</c:v>
                </c:pt>
                <c:pt idx="1">
                  <c:v>-0.16000000000000003</c:v>
                </c:pt>
                <c:pt idx="2">
                  <c:v>-0.32</c:v>
                </c:pt>
                <c:pt idx="3">
                  <c:v>-0.48000000000000004</c:v>
                </c:pt>
                <c:pt idx="4">
                  <c:v>-0.64000000000000024</c:v>
                </c:pt>
                <c:pt idx="5">
                  <c:v>-0.8</c:v>
                </c:pt>
                <c:pt idx="6">
                  <c:v>-0.96000000000000019</c:v>
                </c:pt>
                <c:pt idx="7">
                  <c:v>-1.1200000000000001</c:v>
                </c:pt>
                <c:pt idx="8">
                  <c:v>-1.2800000000000005</c:v>
                </c:pt>
                <c:pt idx="9">
                  <c:v>-1.4400000000000008</c:v>
                </c:pt>
                <c:pt idx="10">
                  <c:v>-1.6</c:v>
                </c:pt>
                <c:pt idx="11">
                  <c:v>-1.7600000000000016</c:v>
                </c:pt>
                <c:pt idx="12">
                  <c:v>-1.9199999999999984</c:v>
                </c:pt>
                <c:pt idx="13">
                  <c:v>-2.0800000000000018</c:v>
                </c:pt>
                <c:pt idx="14">
                  <c:v>-2.2400000000000038</c:v>
                </c:pt>
                <c:pt idx="15">
                  <c:v>-2.4000000000000008</c:v>
                </c:pt>
                <c:pt idx="16">
                  <c:v>-2.5599999999999961</c:v>
                </c:pt>
                <c:pt idx="17">
                  <c:v>-2.7199999999999949</c:v>
                </c:pt>
                <c:pt idx="18">
                  <c:v>-2.8799999999999839</c:v>
                </c:pt>
                <c:pt idx="19">
                  <c:v>-3.0400000000000134</c:v>
                </c:pt>
                <c:pt idx="20">
                  <c:v>-3.2000000000000268</c:v>
                </c:pt>
                <c:pt idx="21">
                  <c:v>-3.3600000000000296</c:v>
                </c:pt>
                <c:pt idx="22">
                  <c:v>-3.5199999999999809</c:v>
                </c:pt>
                <c:pt idx="23">
                  <c:v>-3.6800000000000401</c:v>
                </c:pt>
                <c:pt idx="24">
                  <c:v>-3.8399999999998569</c:v>
                </c:pt>
                <c:pt idx="25">
                  <c:v>-4.000000000000048</c:v>
                </c:pt>
                <c:pt idx="26">
                  <c:v>-4.1599999999998456</c:v>
                </c:pt>
                <c:pt idx="27">
                  <c:v>-4.3199999999995047</c:v>
                </c:pt>
                <c:pt idx="28">
                  <c:v>-4.4799999999999338</c:v>
                </c:pt>
                <c:pt idx="29">
                  <c:v>-4.6400000000004233</c:v>
                </c:pt>
                <c:pt idx="30">
                  <c:v>-4.7999999999993861</c:v>
                </c:pt>
                <c:pt idx="31">
                  <c:v>-4.960000000001787</c:v>
                </c:pt>
                <c:pt idx="32">
                  <c:v>-5.1199999999978445</c:v>
                </c:pt>
                <c:pt idx="33">
                  <c:v>-5.2800000000040672</c:v>
                </c:pt>
                <c:pt idx="34">
                  <c:v>-5.440000000005055</c:v>
                </c:pt>
                <c:pt idx="35">
                  <c:v>-5.5999999999978325</c:v>
                </c:pt>
                <c:pt idx="36">
                  <c:v>-5.7599999999888922</c:v>
                </c:pt>
                <c:pt idx="37">
                  <c:v>-5.9200000000195532</c:v>
                </c:pt>
                <c:pt idx="38">
                  <c:v>-6.0800000000113927</c:v>
                </c:pt>
                <c:pt idx="39">
                  <c:v>-6.2399999999774973</c:v>
                </c:pt>
                <c:pt idx="40">
                  <c:v>-6.3999999999898876</c:v>
                </c:pt>
                <c:pt idx="41">
                  <c:v>-6.5600000000716667</c:v>
                </c:pt>
                <c:pt idx="42">
                  <c:v>-6.7199999999690476</c:v>
                </c:pt>
                <c:pt idx="43">
                  <c:v>-6.880000000112747</c:v>
                </c:pt>
                <c:pt idx="44">
                  <c:v>-7.0400000001354623</c:v>
                </c:pt>
                <c:pt idx="45">
                  <c:v>-7.2000000002273703</c:v>
                </c:pt>
                <c:pt idx="46">
                  <c:v>-7.3599999998714569</c:v>
                </c:pt>
                <c:pt idx="47">
                  <c:v>-7.5199999997662399</c:v>
                </c:pt>
                <c:pt idx="48">
                  <c:v>-7.6799999989098442</c:v>
                </c:pt>
                <c:pt idx="49">
                  <c:v>-7.8400000008618171</c:v>
                </c:pt>
                <c:pt idx="50">
                  <c:v>-7.9999999978177749</c:v>
                </c:pt>
              </c:numCache>
            </c:numRef>
          </c:xVal>
          <c:yVal>
            <c:numRef>
              <c:f>'Weibull (2)'!$L$9:$L$59</c:f>
              <c:numCache>
                <c:formatCode>0.0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9.9999999999999992E-2</c:v>
                </c:pt>
                <c:pt idx="6">
                  <c:v>0.12</c:v>
                </c:pt>
                <c:pt idx="7">
                  <c:v>0.13999999999999999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0.53999999999999992</c:v>
                </c:pt>
                <c:pt idx="28">
                  <c:v>0.55999999999999994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0.67999999999999994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0.79999999999999993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0.98000000000000009</c:v>
                </c:pt>
                <c:pt idx="5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6-4243-86EB-0B9E3664B4A9}"/>
            </c:ext>
          </c:extLst>
        </c:ser>
        <c:ser>
          <c:idx val="4"/>
          <c:order val="4"/>
          <c:tx>
            <c:strRef>
              <c:f>'Weibull (2)'!$P$5</c:f>
              <c:strCache>
                <c:ptCount val="1"/>
                <c:pt idx="0">
                  <c:v>1.1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'Weibull (2)'!$P$9:$P$59</c:f>
              <c:numCache>
                <c:formatCode>0.00E+00</c:formatCode>
                <c:ptCount val="51"/>
                <c:pt idx="0">
                  <c:v>0</c:v>
                </c:pt>
                <c:pt idx="1">
                  <c:v>-0.10819893404899857</c:v>
                </c:pt>
                <c:pt idx="2">
                  <c:v>-0.2319294923768625</c:v>
                </c:pt>
                <c:pt idx="3">
                  <c:v>-0.36229001309356018</c:v>
                </c:pt>
                <c:pt idx="4">
                  <c:v>-0.49715175021806951</c:v>
                </c:pt>
                <c:pt idx="5">
                  <c:v>-0.63546258777942521</c:v>
                </c:pt>
                <c:pt idx="6">
                  <c:v>-0.77658564355120818</c:v>
                </c:pt>
                <c:pt idx="7">
                  <c:v>-0.92009109242946241</c:v>
                </c:pt>
                <c:pt idx="8">
                  <c:v>-1.0656681054743975</c:v>
                </c:pt>
                <c:pt idx="9">
                  <c:v>-1.2130808380043077</c:v>
                </c:pt>
                <c:pt idx="10">
                  <c:v>-1.3621438760332552</c:v>
                </c:pt>
                <c:pt idx="11">
                  <c:v>-1.5127074155777294</c:v>
                </c:pt>
                <c:pt idx="12">
                  <c:v>-1.6646477682897078</c:v>
                </c:pt>
                <c:pt idx="13">
                  <c:v>-1.8178609886021537</c:v>
                </c:pt>
                <c:pt idx="14">
                  <c:v>-1.972258431963851</c:v>
                </c:pt>
                <c:pt idx="15">
                  <c:v>-2.1277635613565105</c:v>
                </c:pt>
                <c:pt idx="16">
                  <c:v>-2.284309590637569</c:v>
                </c:pt>
                <c:pt idx="17">
                  <c:v>-2.4418377063667362</c:v>
                </c:pt>
                <c:pt idx="18">
                  <c:v>-2.600295700168604</c:v>
                </c:pt>
                <c:pt idx="19">
                  <c:v>-2.7596368991401583</c:v>
                </c:pt>
                <c:pt idx="20">
                  <c:v>-2.9198193169775357</c:v>
                </c:pt>
                <c:pt idx="21">
                  <c:v>-3.0808049714481016</c:v>
                </c:pt>
                <c:pt idx="22">
                  <c:v>-3.2425593291961747</c:v>
                </c:pt>
                <c:pt idx="23">
                  <c:v>-3.4050508493880103</c:v>
                </c:pt>
                <c:pt idx="24">
                  <c:v>-3.5682506050462908</c:v>
                </c:pt>
                <c:pt idx="25">
                  <c:v>-3.7321319661471541</c:v>
                </c:pt>
                <c:pt idx="26">
                  <c:v>-3.8966703323273824</c:v>
                </c:pt>
                <c:pt idx="27">
                  <c:v>-4.0618429058190815</c:v>
                </c:pt>
                <c:pt idx="28">
                  <c:v>-4.2276284972847931</c:v>
                </c:pt>
                <c:pt idx="29">
                  <c:v>-4.3940073587768635</c:v>
                </c:pt>
                <c:pt idx="30">
                  <c:v>-4.5609610392280535</c:v>
                </c:pt>
                <c:pt idx="31">
                  <c:v>-4.7284722587722152</c:v>
                </c:pt>
                <c:pt idx="32">
                  <c:v>-4.8965247989265439</c:v>
                </c:pt>
                <c:pt idx="33">
                  <c:v>-5.0651034061796016</c:v>
                </c:pt>
                <c:pt idx="34">
                  <c:v>-5.2341937070111824</c:v>
                </c:pt>
                <c:pt idx="35">
                  <c:v>-5.4037821326722817</c:v>
                </c:pt>
                <c:pt idx="36">
                  <c:v>-5.5738558523760107</c:v>
                </c:pt>
                <c:pt idx="37">
                  <c:v>-5.7444027137263198</c:v>
                </c:pt>
                <c:pt idx="38">
                  <c:v>-5.9154111894622163</c:v>
                </c:pt>
                <c:pt idx="39">
                  <c:v>-6.086870329628292</c:v>
                </c:pt>
                <c:pt idx="40">
                  <c:v>-6.2587697186616111</c:v>
                </c:pt>
                <c:pt idx="41">
                  <c:v>-6.4310994364501539</c:v>
                </c:pt>
                <c:pt idx="42">
                  <c:v>-6.6038500233571753</c:v>
                </c:pt>
                <c:pt idx="43">
                  <c:v>-6.7770124482098941</c:v>
                </c:pt>
                <c:pt idx="44">
                  <c:v>-6.9505780796419447</c:v>
                </c:pt>
                <c:pt idx="45">
                  <c:v>-7.1245386588953901</c:v>
                </c:pt>
                <c:pt idx="46">
                  <c:v>-7.2988862776624854</c:v>
                </c:pt>
                <c:pt idx="47">
                  <c:v>-7.4736133539833132</c:v>
                </c:pt>
                <c:pt idx="48">
                  <c:v>-7.6487126122364346</c:v>
                </c:pt>
                <c:pt idx="49">
                  <c:v>-7.8241770670009485</c:v>
                </c:pt>
                <c:pt idx="50">
                  <c:v>-7.9999999978177749</c:v>
                </c:pt>
              </c:numCache>
            </c:numRef>
          </c:xVal>
          <c:yVal>
            <c:numRef>
              <c:f>'Weibull (2)'!$O$9:$O$59</c:f>
              <c:numCache>
                <c:formatCode>0.0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0.25999999999999995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0.45999999999999996</c:v>
                </c:pt>
                <c:pt idx="24">
                  <c:v>0.48</c:v>
                </c:pt>
                <c:pt idx="25">
                  <c:v>0.5</c:v>
                </c:pt>
                <c:pt idx="26">
                  <c:v>0.51999999999999991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0.67999999999999994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0.91999999999999993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86-4243-86EB-0B9E3664B4A9}"/>
            </c:ext>
          </c:extLst>
        </c:ser>
        <c:ser>
          <c:idx val="5"/>
          <c:order val="5"/>
          <c:tx>
            <c:strRef>
              <c:f>'Weibull (2)'!$S$5</c:f>
              <c:strCache>
                <c:ptCount val="1"/>
                <c:pt idx="0">
                  <c:v>1.3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'Weibull (2)'!$S$9:$S$59</c:f>
              <c:numCache>
                <c:formatCode>0.00E+00</c:formatCode>
                <c:ptCount val="51"/>
                <c:pt idx="0">
                  <c:v>0</c:v>
                </c:pt>
                <c:pt idx="1">
                  <c:v>-4.9479919153758642E-2</c:v>
                </c:pt>
                <c:pt idx="2">
                  <c:v>-0.12183385207781619</c:v>
                </c:pt>
                <c:pt idx="3">
                  <c:v>-0.20638903121847832</c:v>
                </c:pt>
                <c:pt idx="4">
                  <c:v>-0.29999013268378866</c:v>
                </c:pt>
                <c:pt idx="5">
                  <c:v>-0.4009497869018176</c:v>
                </c:pt>
                <c:pt idx="6">
                  <c:v>-0.50818940552059833</c:v>
                </c:pt>
                <c:pt idx="7">
                  <c:v>-0.62094971683646283</c:v>
                </c:pt>
                <c:pt idx="8">
                  <c:v>-0.73866235182449314</c:v>
                </c:pt>
                <c:pt idx="9">
                  <c:v>-0.86088322163449327</c:v>
                </c:pt>
                <c:pt idx="10">
                  <c:v>-0.98725418035201551</c:v>
                </c:pt>
                <c:pt idx="11">
                  <c:v>-1.1174792613542539</c:v>
                </c:pt>
                <c:pt idx="12">
                  <c:v>-1.2513090950555179</c:v>
                </c:pt>
                <c:pt idx="13">
                  <c:v>-1.3885302301380906</c:v>
                </c:pt>
                <c:pt idx="14">
                  <c:v>-1.528957549702638</c:v>
                </c:pt>
                <c:pt idx="15">
                  <c:v>-1.6724287246462777</c:v>
                </c:pt>
                <c:pt idx="16">
                  <c:v>-1.8188000555938835</c:v>
                </c:pt>
                <c:pt idx="17">
                  <c:v>-1.9679432894851208</c:v>
                </c:pt>
                <c:pt idx="18">
                  <c:v>-2.1197431377153571</c:v>
                </c:pt>
                <c:pt idx="19">
                  <c:v>-2.2740953103657553</c:v>
                </c:pt>
                <c:pt idx="20">
                  <c:v>-2.4309049373835938</c:v>
                </c:pt>
                <c:pt idx="21">
                  <c:v>-2.5900852848004465</c:v>
                </c:pt>
                <c:pt idx="22">
                  <c:v>-2.7515566992901976</c:v>
                </c:pt>
                <c:pt idx="23">
                  <c:v>-2.9152457318230214</c:v>
                </c:pt>
                <c:pt idx="24">
                  <c:v>-3.0810844034905549</c:v>
                </c:pt>
                <c:pt idx="25">
                  <c:v>-3.2490095854249463</c:v>
                </c:pt>
                <c:pt idx="26">
                  <c:v>-3.4189624711900501</c:v>
                </c:pt>
                <c:pt idx="27">
                  <c:v>-3.5908881248018889</c:v>
                </c:pt>
                <c:pt idx="28">
                  <c:v>-3.7647350911159934</c:v>
                </c:pt>
                <c:pt idx="29">
                  <c:v>-3.9404550580424176</c:v>
                </c:pt>
                <c:pt idx="30">
                  <c:v>-4.118002562131748</c:v>
                </c:pt>
                <c:pt idx="31">
                  <c:v>-4.297334730692099</c:v>
                </c:pt>
                <c:pt idx="32">
                  <c:v>-4.4784110548713647</c:v>
                </c:pt>
                <c:pt idx="33">
                  <c:v>-4.661193189119385</c:v>
                </c:pt>
                <c:pt idx="34">
                  <c:v>-4.8456447732579289</c:v>
                </c:pt>
                <c:pt idx="35">
                  <c:v>-5.0317312740300641</c:v>
                </c:pt>
                <c:pt idx="36">
                  <c:v>-5.2194198434524441</c:v>
                </c:pt>
                <c:pt idx="37">
                  <c:v>-5.4086791918390595</c:v>
                </c:pt>
                <c:pt idx="38">
                  <c:v>-5.5994794735429529</c:v>
                </c:pt>
                <c:pt idx="39">
                  <c:v>-5.7917921839164679</c:v>
                </c:pt>
                <c:pt idx="40">
                  <c:v>-5.9855900660778163</c:v>
                </c:pt>
                <c:pt idx="41">
                  <c:v>-6.1808470262069539</c:v>
                </c:pt>
                <c:pt idx="42">
                  <c:v>-6.3775380569331661</c:v>
                </c:pt>
                <c:pt idx="43">
                  <c:v>-6.5756391668728833</c:v>
                </c:pt>
                <c:pt idx="44">
                  <c:v>-6.7751273167293098</c:v>
                </c:pt>
                <c:pt idx="45">
                  <c:v>-6.9759803606905635</c:v>
                </c:pt>
                <c:pt idx="46">
                  <c:v>-7.1781769924752226</c:v>
                </c:pt>
                <c:pt idx="47">
                  <c:v>-7.3816966964911872</c:v>
                </c:pt>
                <c:pt idx="48">
                  <c:v>-7.5865197016360648</c:v>
                </c:pt>
                <c:pt idx="49">
                  <c:v>-7.7926269374695787</c:v>
                </c:pt>
                <c:pt idx="50">
                  <c:v>-7.9999999978177749</c:v>
                </c:pt>
              </c:numCache>
            </c:numRef>
          </c:xVal>
          <c:yVal>
            <c:numRef>
              <c:f>'Weibull (2)'!$R$9:$R$59</c:f>
              <c:numCache>
                <c:formatCode>0.0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9.9999999999999992E-2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0.24</c:v>
                </c:pt>
                <c:pt idx="13">
                  <c:v>0.25999999999999995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0.42000000000000004</c:v>
                </c:pt>
                <c:pt idx="22">
                  <c:v>0.43999999999999995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0.51999999999999991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0.58000000000000007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0.79999999999999993</c:v>
                </c:pt>
                <c:pt idx="41">
                  <c:v>0.82</c:v>
                </c:pt>
                <c:pt idx="42">
                  <c:v>0.84000000000000008</c:v>
                </c:pt>
                <c:pt idx="43">
                  <c:v>0.86</c:v>
                </c:pt>
                <c:pt idx="44">
                  <c:v>0.87999999999999989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0.97999999999999987</c:v>
                </c:pt>
                <c:pt idx="5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86-4243-86EB-0B9E3664B4A9}"/>
            </c:ext>
          </c:extLst>
        </c:ser>
        <c:ser>
          <c:idx val="6"/>
          <c:order val="6"/>
          <c:tx>
            <c:strRef>
              <c:f>'Weibull (2)'!$V$5</c:f>
              <c:strCache>
                <c:ptCount val="1"/>
                <c:pt idx="0">
                  <c:v>1.5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'Weibull (2)'!$V$9:$V$59</c:f>
              <c:numCache>
                <c:formatCode>0.00E+00</c:formatCode>
                <c:ptCount val="51"/>
                <c:pt idx="0">
                  <c:v>0</c:v>
                </c:pt>
                <c:pt idx="1">
                  <c:v>-2.2627416997969486E-2</c:v>
                </c:pt>
                <c:pt idx="2">
                  <c:v>-6.3999999999999974E-2</c:v>
                </c:pt>
                <c:pt idx="3">
                  <c:v>-0.11757550765359251</c:v>
                </c:pt>
                <c:pt idx="4">
                  <c:v>-0.18101933598375608</c:v>
                </c:pt>
                <c:pt idx="5">
                  <c:v>-0.25298221281347022</c:v>
                </c:pt>
                <c:pt idx="6">
                  <c:v>-0.33255375505322443</c:v>
                </c:pt>
                <c:pt idx="7">
                  <c:v>-0.41906562731868124</c:v>
                </c:pt>
                <c:pt idx="8">
                  <c:v>-0.51199999999999979</c:v>
                </c:pt>
                <c:pt idx="9">
                  <c:v>-0.61094025894517678</c:v>
                </c:pt>
                <c:pt idx="10">
                  <c:v>-0.71554175279993226</c:v>
                </c:pt>
                <c:pt idx="11">
                  <c:v>-0.82551317372892297</c:v>
                </c:pt>
                <c:pt idx="12">
                  <c:v>-0.94060406122874007</c:v>
                </c:pt>
                <c:pt idx="13">
                  <c:v>-1.0605960588272987</c:v>
                </c:pt>
                <c:pt idx="14">
                  <c:v>-1.1852965873569368</c:v>
                </c:pt>
                <c:pt idx="15">
                  <c:v>-1.314534138012398</c:v>
                </c:pt>
                <c:pt idx="16">
                  <c:v>-1.4481546878700486</c:v>
                </c:pt>
                <c:pt idx="17">
                  <c:v>-1.5860189153979201</c:v>
                </c:pt>
                <c:pt idx="18">
                  <c:v>-1.7280000000000006</c:v>
                </c:pt>
                <c:pt idx="19">
                  <c:v>-1.8739818569025681</c:v>
                </c:pt>
                <c:pt idx="20">
                  <c:v>-2.023857702507764</c:v>
                </c:pt>
                <c:pt idx="21">
                  <c:v>-2.1775288746650387</c:v>
                </c:pt>
                <c:pt idx="22">
                  <c:v>-2.3349038524101986</c:v>
                </c:pt>
                <c:pt idx="23">
                  <c:v>-2.495897433790093</c:v>
                </c:pt>
                <c:pt idx="24">
                  <c:v>-2.6604300404257923</c:v>
                </c:pt>
                <c:pt idx="25">
                  <c:v>-2.8284271247461916</c:v>
                </c:pt>
                <c:pt idx="26">
                  <c:v>-2.9998186611860196</c:v>
                </c:pt>
                <c:pt idx="27">
                  <c:v>-3.1745387066470285</c:v>
                </c:pt>
                <c:pt idx="28">
                  <c:v>-3.3525250185494215</c:v>
                </c:pt>
                <c:pt idx="29">
                  <c:v>-3.5337187211208514</c:v>
                </c:pt>
                <c:pt idx="30">
                  <c:v>-3.718064012359235</c:v>
                </c:pt>
                <c:pt idx="31">
                  <c:v>-3.9055079055099169</c:v>
                </c:pt>
                <c:pt idx="32">
                  <c:v>-4.0959999999998615</c:v>
                </c:pt>
                <c:pt idx="33">
                  <c:v>-4.2894922776479687</c:v>
                </c:pt>
                <c:pt idx="34">
                  <c:v>-4.4859389206719378</c:v>
                </c:pt>
                <c:pt idx="35">
                  <c:v>-4.6852961485908429</c:v>
                </c:pt>
                <c:pt idx="36">
                  <c:v>-4.8875220715598662</c:v>
                </c:pt>
                <c:pt idx="37">
                  <c:v>-5.0925765580907321</c:v>
                </c:pt>
                <c:pt idx="38">
                  <c:v>-5.3004211153457828</c:v>
                </c:pt>
                <c:pt idx="39">
                  <c:v>-5.5110187805897377</c:v>
                </c:pt>
                <c:pt idx="40">
                  <c:v>-5.7243340223964001</c:v>
                </c:pt>
                <c:pt idx="41">
                  <c:v>-5.9403326506360123</c:v>
                </c:pt>
                <c:pt idx="42">
                  <c:v>-6.1589817339961179</c:v>
                </c:pt>
                <c:pt idx="43">
                  <c:v>-6.3802495249013713</c:v>
                </c:pt>
                <c:pt idx="44">
                  <c:v>-6.6041053897617354</c:v>
                </c:pt>
                <c:pt idx="45">
                  <c:v>-6.8305197460971128</c:v>
                </c:pt>
                <c:pt idx="46">
                  <c:v>-7.0594640022584549</c:v>
                </c:pt>
                <c:pt idx="47">
                  <c:v>-7.2909105054255212</c:v>
                </c:pt>
                <c:pt idx="48">
                  <c:v>-7.524832490180164</c:v>
                </c:pt>
                <c:pt idx="49">
                  <c:v>-7.7612040305853434</c:v>
                </c:pt>
                <c:pt idx="50">
                  <c:v>-7.9999999978177749</c:v>
                </c:pt>
              </c:numCache>
            </c:numRef>
          </c:xVal>
          <c:yVal>
            <c:numRef>
              <c:f>'Weibull (2)'!$U$9:$U$59</c:f>
              <c:numCache>
                <c:formatCode>0.0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9.9999999999999992E-2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0.41999999999999993</c:v>
                </c:pt>
                <c:pt idx="22">
                  <c:v>0.43999999999999995</c:v>
                </c:pt>
                <c:pt idx="23">
                  <c:v>0.45999999999999996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0.53999999999999992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0.61999999999999988</c:v>
                </c:pt>
                <c:pt idx="32">
                  <c:v>0.64</c:v>
                </c:pt>
                <c:pt idx="33">
                  <c:v>0.66</c:v>
                </c:pt>
                <c:pt idx="34">
                  <c:v>0.67999999999999994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0.7400000000000001</c:v>
                </c:pt>
                <c:pt idx="38">
                  <c:v>0.76</c:v>
                </c:pt>
                <c:pt idx="39">
                  <c:v>0.78</c:v>
                </c:pt>
                <c:pt idx="40">
                  <c:v>0.79999999999999993</c:v>
                </c:pt>
                <c:pt idx="41">
                  <c:v>0.82</c:v>
                </c:pt>
                <c:pt idx="42">
                  <c:v>0.83999999999999986</c:v>
                </c:pt>
                <c:pt idx="43">
                  <c:v>0.86</c:v>
                </c:pt>
                <c:pt idx="44">
                  <c:v>0.87999999999999989</c:v>
                </c:pt>
                <c:pt idx="45">
                  <c:v>0.9</c:v>
                </c:pt>
                <c:pt idx="46">
                  <c:v>0.91999999999999993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0.98000000000000009</c:v>
                </c:pt>
                <c:pt idx="5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86-4243-86EB-0B9E3664B4A9}"/>
            </c:ext>
          </c:extLst>
        </c:ser>
        <c:ser>
          <c:idx val="7"/>
          <c:order val="7"/>
          <c:tx>
            <c:strRef>
              <c:f>'Weibull (2)'!$Y$5</c:f>
              <c:strCache>
                <c:ptCount val="1"/>
                <c:pt idx="0">
                  <c:v>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'Weibull (2)'!$Y$9:$Y$59</c:f>
              <c:numCache>
                <c:formatCode>0.00E+00</c:formatCode>
                <c:ptCount val="51"/>
                <c:pt idx="0">
                  <c:v>0</c:v>
                </c:pt>
                <c:pt idx="1">
                  <c:v>-3.2000000000000097E-3</c:v>
                </c:pt>
                <c:pt idx="2">
                  <c:v>-1.2799999999999988E-2</c:v>
                </c:pt>
                <c:pt idx="3">
                  <c:v>-2.8800000000000023E-2</c:v>
                </c:pt>
                <c:pt idx="4">
                  <c:v>-5.1200000000000037E-2</c:v>
                </c:pt>
                <c:pt idx="5">
                  <c:v>-8.0000000000000016E-2</c:v>
                </c:pt>
                <c:pt idx="6">
                  <c:v>-0.11520000000000007</c:v>
                </c:pt>
                <c:pt idx="7">
                  <c:v>-0.15680000000000002</c:v>
                </c:pt>
                <c:pt idx="8">
                  <c:v>-0.20480000000000004</c:v>
                </c:pt>
                <c:pt idx="9">
                  <c:v>-0.2592000000000001</c:v>
                </c:pt>
                <c:pt idx="10">
                  <c:v>-0.32</c:v>
                </c:pt>
                <c:pt idx="11">
                  <c:v>-0.38719999999999999</c:v>
                </c:pt>
                <c:pt idx="12">
                  <c:v>-0.46080000000000026</c:v>
                </c:pt>
                <c:pt idx="13">
                  <c:v>-0.54080000000000028</c:v>
                </c:pt>
                <c:pt idx="14">
                  <c:v>-0.6272000000000002</c:v>
                </c:pt>
                <c:pt idx="15">
                  <c:v>-0.71999999999999986</c:v>
                </c:pt>
                <c:pt idx="16">
                  <c:v>-0.81920000000000015</c:v>
                </c:pt>
                <c:pt idx="17">
                  <c:v>-0.92480000000000007</c:v>
                </c:pt>
                <c:pt idx="18">
                  <c:v>-1.0367999999999999</c:v>
                </c:pt>
                <c:pt idx="19">
                  <c:v>-1.1552</c:v>
                </c:pt>
                <c:pt idx="20">
                  <c:v>-1.2800000000000005</c:v>
                </c:pt>
                <c:pt idx="21">
                  <c:v>-1.4111999999999998</c:v>
                </c:pt>
                <c:pt idx="22">
                  <c:v>-1.5487999999999995</c:v>
                </c:pt>
                <c:pt idx="23">
                  <c:v>-1.6928000000000003</c:v>
                </c:pt>
                <c:pt idx="24">
                  <c:v>-1.8431999999999997</c:v>
                </c:pt>
                <c:pt idx="25">
                  <c:v>-1.9999999999999996</c:v>
                </c:pt>
                <c:pt idx="26">
                  <c:v>-2.1632000000000029</c:v>
                </c:pt>
                <c:pt idx="27">
                  <c:v>-2.3328000000000051</c:v>
                </c:pt>
                <c:pt idx="28">
                  <c:v>-2.5088000000000017</c:v>
                </c:pt>
                <c:pt idx="29">
                  <c:v>-2.6911999999999972</c:v>
                </c:pt>
                <c:pt idx="30">
                  <c:v>-2.8799999999999839</c:v>
                </c:pt>
                <c:pt idx="31">
                  <c:v>-3.0751999999999882</c:v>
                </c:pt>
                <c:pt idx="32">
                  <c:v>-3.2768000000000059</c:v>
                </c:pt>
                <c:pt idx="33">
                  <c:v>-3.484800000000035</c:v>
                </c:pt>
                <c:pt idx="34">
                  <c:v>-3.6992000000000718</c:v>
                </c:pt>
                <c:pt idx="35">
                  <c:v>-3.9199999999999022</c:v>
                </c:pt>
                <c:pt idx="36">
                  <c:v>-4.1472000000002085</c:v>
                </c:pt>
                <c:pt idx="37">
                  <c:v>-4.3808000000000593</c:v>
                </c:pt>
                <c:pt idx="38">
                  <c:v>-4.6207999999990603</c:v>
                </c:pt>
                <c:pt idx="39">
                  <c:v>-4.8671999999994444</c:v>
                </c:pt>
                <c:pt idx="40">
                  <c:v>-5.1199999999978445</c:v>
                </c:pt>
                <c:pt idx="41">
                  <c:v>-5.3791999999953282</c:v>
                </c:pt>
                <c:pt idx="42">
                  <c:v>-5.6448000000057101</c:v>
                </c:pt>
                <c:pt idx="43">
                  <c:v>-5.9167999999885881</c:v>
                </c:pt>
                <c:pt idx="44">
                  <c:v>-6.1951999999844141</c:v>
                </c:pt>
                <c:pt idx="45">
                  <c:v>-6.4799999999475135</c:v>
                </c:pt>
                <c:pt idx="46">
                  <c:v>-6.7712000000451855</c:v>
                </c:pt>
                <c:pt idx="47">
                  <c:v>-7.0687999999188849</c:v>
                </c:pt>
                <c:pt idx="48">
                  <c:v>-7.372800000052508</c:v>
                </c:pt>
                <c:pt idx="49">
                  <c:v>-7.6831999998493616</c:v>
                </c:pt>
                <c:pt idx="50">
                  <c:v>-7.9999999978177749</c:v>
                </c:pt>
              </c:numCache>
            </c:numRef>
          </c:xVal>
          <c:yVal>
            <c:numRef>
              <c:f>'Weibull (2)'!$X$9:$X$59</c:f>
              <c:numCache>
                <c:formatCode>0.0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6.0000000000000005E-2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0.18000000000000002</c:v>
                </c:pt>
                <c:pt idx="10">
                  <c:v>0.2</c:v>
                </c:pt>
                <c:pt idx="11">
                  <c:v>0.21999999999999997</c:v>
                </c:pt>
                <c:pt idx="12">
                  <c:v>0.24000000000000002</c:v>
                </c:pt>
                <c:pt idx="13">
                  <c:v>0.26000000000000006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0.33999999999999997</c:v>
                </c:pt>
                <c:pt idx="18">
                  <c:v>0.36000000000000004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0.43999999999999995</c:v>
                </c:pt>
                <c:pt idx="23">
                  <c:v>0.45999999999999996</c:v>
                </c:pt>
                <c:pt idx="24">
                  <c:v>0.48000000000000004</c:v>
                </c:pt>
                <c:pt idx="25">
                  <c:v>0.5</c:v>
                </c:pt>
                <c:pt idx="26">
                  <c:v>0.52000000000000013</c:v>
                </c:pt>
                <c:pt idx="27">
                  <c:v>0.53999999999999992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0.67999999999999994</c:v>
                </c:pt>
                <c:pt idx="35">
                  <c:v>0.70000000000000007</c:v>
                </c:pt>
                <c:pt idx="36">
                  <c:v>0.72000000000000008</c:v>
                </c:pt>
                <c:pt idx="37">
                  <c:v>0.73999999999999988</c:v>
                </c:pt>
                <c:pt idx="38">
                  <c:v>0.76</c:v>
                </c:pt>
                <c:pt idx="39">
                  <c:v>0.77999999999999992</c:v>
                </c:pt>
                <c:pt idx="40">
                  <c:v>0.8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0.8600000000000001</c:v>
                </c:pt>
                <c:pt idx="44">
                  <c:v>0.87999999999999989</c:v>
                </c:pt>
                <c:pt idx="45">
                  <c:v>0.89999999999999991</c:v>
                </c:pt>
                <c:pt idx="46">
                  <c:v>0.91999999999999993</c:v>
                </c:pt>
                <c:pt idx="47">
                  <c:v>0.94000000000000006</c:v>
                </c:pt>
                <c:pt idx="48">
                  <c:v>0.96000000000000008</c:v>
                </c:pt>
                <c:pt idx="49">
                  <c:v>0.98</c:v>
                </c:pt>
                <c:pt idx="5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86-4243-86EB-0B9E3664B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11519"/>
        <c:axId val="1"/>
      </c:scatterChart>
      <c:valAx>
        <c:axId val="152011519"/>
        <c:scaling>
          <c:orientation val="minMax"/>
          <c:min val="-8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Probability of exceedance</a:t>
                </a:r>
              </a:p>
            </c:rich>
          </c:tx>
          <c:layout>
            <c:manualLayout>
              <c:xMode val="edge"/>
              <c:yMode val="edge"/>
              <c:x val="0.37386569872958259"/>
              <c:y val="0.89450549450549455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At val="-8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/</a:t>
                </a: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Symbol"/>
                    <a:ea typeface="돋움"/>
                  </a:rPr>
                  <a:t>s</a:t>
                </a:r>
                <a:r>
                  <a:rPr lang="en-US" sz="1200" b="0" i="0" u="none" strike="noStrike" baseline="-25000">
                    <a:solidFill>
                      <a:srgbClr val="000000"/>
                    </a:solidFill>
                    <a:latin typeface="Times New Roman"/>
                    <a:ea typeface="돋움"/>
                    <a:cs typeface="Times New Roman"/>
                  </a:rPr>
                  <a:t>max</a:t>
                </a:r>
                <a:endParaRPr lang="en-US" sz="1200" b="0" i="0" u="none" strike="noStrike" baseline="-25000">
                  <a:solidFill>
                    <a:srgbClr val="000000"/>
                  </a:solidFill>
                  <a:latin typeface="Times New Roman"/>
                  <a:cs typeface="Times New Roman"/>
                </a:endParaRPr>
              </a:p>
            </c:rich>
          </c:tx>
          <c:layout>
            <c:manualLayout>
              <c:xMode val="edge"/>
              <c:yMode val="edge"/>
              <c:x val="2.1778584392014518E-2"/>
              <c:y val="7.03296703296703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52011519"/>
        <c:crossesAt val="-8"/>
        <c:crossBetween val="midCat"/>
        <c:majorUnit val="0.2"/>
        <c:min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sng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One Cycle for Low Cycle Fatigue Load</a:t>
            </a:r>
          </a:p>
        </c:rich>
      </c:tx>
      <c:layout>
        <c:manualLayout>
          <c:xMode val="edge"/>
          <c:yMode val="edge"/>
          <c:x val="0.21645067093885989"/>
          <c:y val="3.35365853658536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0822533698875682E-2"/>
          <c:y val="0.17682953153214845"/>
          <c:w val="0.98052155311813682"/>
          <c:h val="0.8109768170267498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LowCycle!$D$3:$D$8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</c:numCache>
            </c:numRef>
          </c:xVal>
          <c:yVal>
            <c:numRef>
              <c:f>LowCycle!$E$3:$E$8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36-4155-BA06-4858CB77E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25215"/>
        <c:axId val="1"/>
      </c:scatterChart>
      <c:valAx>
        <c:axId val="179525215"/>
        <c:scaling>
          <c:orientation val="minMax"/>
          <c:min val="-0.2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92786424424219693"/>
              <c:y val="0.591464374879969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9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Load</a:t>
                </a:r>
              </a:p>
            </c:rich>
          </c:tx>
          <c:layout>
            <c:manualLayout>
              <c:xMode val="edge"/>
              <c:yMode val="edge"/>
              <c:x val="8.8744815988910472E-2"/>
              <c:y val="0.17682958837462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7952521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sng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One Cycle for Low Cycle Fatigue Load</a:t>
            </a:r>
          </a:p>
        </c:rich>
      </c:tx>
      <c:layout>
        <c:manualLayout>
          <c:xMode val="edge"/>
          <c:yMode val="edge"/>
          <c:x val="0.27705695878924225"/>
          <c:y val="3.35365853658536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0822533698875682E-2"/>
          <c:y val="0.15548803634723399"/>
          <c:w val="0.98052155311813682"/>
          <c:h val="0.83231831221166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LowCycle!$D$12:$D$19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0.5</c:v>
                </c:pt>
                <c:pt idx="5">
                  <c:v>0.5</c:v>
                </c:pt>
                <c:pt idx="6">
                  <c:v>1</c:v>
                </c:pt>
                <c:pt idx="7">
                  <c:v>1</c:v>
                </c:pt>
              </c:numCache>
            </c:numRef>
          </c:xVal>
          <c:yVal>
            <c:numRef>
              <c:f>LowCycle!$E$12:$E$19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1.5</c:v>
                </c:pt>
                <c:pt idx="4">
                  <c:v>1.5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FD-46B0-82CE-C5A7C0917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22511"/>
        <c:axId val="1"/>
      </c:scatterChart>
      <c:valAx>
        <c:axId val="181022511"/>
        <c:scaling>
          <c:orientation val="minMax"/>
          <c:min val="-0.2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92786424424219693"/>
              <c:y val="0.58231803341655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9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Load</a:t>
                </a:r>
              </a:p>
            </c:rich>
          </c:tx>
          <c:layout>
            <c:manualLayout>
              <c:xMode val="edge"/>
              <c:yMode val="edge"/>
              <c:x val="8.8744815988910472E-2"/>
              <c:y val="0.155488124959989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8102251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sng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One Cycle for Low Cycle Fatigue Load</a:t>
            </a:r>
          </a:p>
        </c:rich>
      </c:tx>
      <c:layout>
        <c:manualLayout>
          <c:xMode val="edge"/>
          <c:yMode val="edge"/>
          <c:x val="0.17610128922563925"/>
          <c:y val="4.20560747663551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5723318725796992E-2"/>
          <c:y val="0.21028085362709373"/>
          <c:w val="0.97170109725425402"/>
          <c:h val="0.7710297966326770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LowCycle!$D$3:$D$8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</c:numCache>
            </c:numRef>
          </c:xVal>
          <c:yVal>
            <c:numRef>
              <c:f>LowCycle!$E$3:$E$8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B-4BD0-9FF2-4B31F0063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22991"/>
        <c:axId val="1"/>
      </c:scatterChart>
      <c:valAx>
        <c:axId val="181022991"/>
        <c:scaling>
          <c:orientation val="minMax"/>
          <c:min val="-0.2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9622905627362615"/>
              <c:y val="0.60280521009640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Load</a:t>
                </a:r>
              </a:p>
            </c:rich>
          </c:tx>
          <c:layout>
            <c:manualLayout>
              <c:xMode val="edge"/>
              <c:yMode val="edge"/>
              <c:x val="6.9182720084517743E-2"/>
              <c:y val="0.191589275639610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8102299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23918069654677"/>
          <c:y val="7.4359160554789056E-2"/>
          <c:w val="0.76413630551442724"/>
          <c:h val="0.7923096762562005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Sheet1!$A$24:$A$37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Sheet1!$D$24:$D$37</c:f>
              <c:numCache>
                <c:formatCode>0.0%</c:formatCode>
                <c:ptCount val="14"/>
                <c:pt idx="0">
                  <c:v>0.52573999999999999</c:v>
                </c:pt>
                <c:pt idx="1">
                  <c:v>0.68001999999999996</c:v>
                </c:pt>
                <c:pt idx="2">
                  <c:v>0.40183999999999997</c:v>
                </c:pt>
                <c:pt idx="3">
                  <c:v>0.20963999999999999</c:v>
                </c:pt>
                <c:pt idx="4">
                  <c:v>0.10145999999999999</c:v>
                </c:pt>
                <c:pt idx="5">
                  <c:v>4.6460000000000001E-2</c:v>
                </c:pt>
                <c:pt idx="6">
                  <c:v>2.036E-2</c:v>
                </c:pt>
                <c:pt idx="7">
                  <c:v>8.6400000000000001E-3</c:v>
                </c:pt>
                <c:pt idx="8">
                  <c:v>3.5599999999999998E-3</c:v>
                </c:pt>
                <c:pt idx="9">
                  <c:v>1.4E-3</c:v>
                </c:pt>
                <c:pt idx="10">
                  <c:v>5.5999999999999995E-4</c:v>
                </c:pt>
                <c:pt idx="11">
                  <c:v>2.2000000000000001E-4</c:v>
                </c:pt>
                <c:pt idx="12">
                  <c:v>8.0000000000000007E-5</c:v>
                </c:pt>
                <c:pt idx="13">
                  <c:v>2.0000000000000002E-5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CF-4B0D-B936-0185BB3F8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302399"/>
        <c:axId val="1"/>
      </c:barChart>
      <c:catAx>
        <c:axId val="1823023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230239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9014607422860503"/>
          <c:y val="0.43846261525001679"/>
          <c:w val="0.98707660734653713"/>
          <c:h val="0.50512955111380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45697617816867"/>
          <c:y val="6.0747663551401869E-2"/>
          <c:w val="0.8549395600338181"/>
          <c:h val="0.8808411214953271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Sheet2!$A$11:$A$23</c:f>
              <c:strCache>
                <c:ptCount val="13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</c:strCache>
            </c:strRef>
          </c:cat>
          <c:val>
            <c:numRef>
              <c:f>Sheet2!$B$11:$B$23</c:f>
              <c:numCache>
                <c:formatCode>0.000000</c:formatCode>
                <c:ptCount val="13"/>
                <c:pt idx="0" formatCode="General">
                  <c:v>1.12E-2</c:v>
                </c:pt>
                <c:pt idx="1">
                  <c:v>-7.1999999999999998E-3</c:v>
                </c:pt>
                <c:pt idx="2">
                  <c:v>3.2000000000000002E-3</c:v>
                </c:pt>
                <c:pt idx="3">
                  <c:v>8.0000000000000004E-4</c:v>
                </c:pt>
                <c:pt idx="4">
                  <c:v>8.8000000000000005E-3</c:v>
                </c:pt>
                <c:pt idx="5">
                  <c:v>-2.3999999999999998E-3</c:v>
                </c:pt>
                <c:pt idx="6">
                  <c:v>2E-3</c:v>
                </c:pt>
                <c:pt idx="7">
                  <c:v>-2.3999999999999998E-3</c:v>
                </c:pt>
                <c:pt idx="8">
                  <c:v>7.1999999999999998E-3</c:v>
                </c:pt>
                <c:pt idx="9">
                  <c:v>0</c:v>
                </c:pt>
                <c:pt idx="10">
                  <c:v>1.04E-2</c:v>
                </c:pt>
                <c:pt idx="11">
                  <c:v>5.5999999999999999E-3</c:v>
                </c:pt>
                <c:pt idx="12">
                  <c:v>1.12E-2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97-4F30-AB37-68EF6D57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630863"/>
        <c:axId val="1"/>
      </c:lineChart>
      <c:catAx>
        <c:axId val="18263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263086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14544442767332"/>
          <c:y val="7.9734348613911654E-2"/>
          <c:w val="0.86778556321571521"/>
          <c:h val="0.8438551894972317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Sheet2!$A$33:$A$37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Sheet2!$B$33:$B$37</c:f>
              <c:numCache>
                <c:formatCode>General</c:formatCode>
                <c:ptCount val="5"/>
                <c:pt idx="0">
                  <c:v>0</c:v>
                </c:pt>
                <c:pt idx="1">
                  <c:v>1.4999999999999999E-2</c:v>
                </c:pt>
                <c:pt idx="2">
                  <c:v>-1.4999999999999999E-2</c:v>
                </c:pt>
                <c:pt idx="3">
                  <c:v>1.4999999999999999E-2</c:v>
                </c:pt>
                <c:pt idx="4">
                  <c:v>-1.4999999999999999E-2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D-4AA3-BE15-DD0CDC107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622223"/>
        <c:axId val="1"/>
      </c:lineChart>
      <c:catAx>
        <c:axId val="182622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262222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851426705297979E-2"/>
          <c:y val="6.0747663551401869E-2"/>
          <c:w val="0.7269795718424783"/>
          <c:h val="0.8808411214953271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Sheet2!$B$42:$B$122</c:f>
              <c:numCache>
                <c:formatCode>General</c:formatCode>
                <c:ptCount val="81"/>
                <c:pt idx="0">
                  <c:v>0</c:v>
                </c:pt>
                <c:pt idx="1">
                  <c:v>2.9999999999999997E-4</c:v>
                </c:pt>
                <c:pt idx="2">
                  <c:v>5.9999999999999995E-4</c:v>
                </c:pt>
                <c:pt idx="3">
                  <c:v>8.9999999999999998E-4</c:v>
                </c:pt>
                <c:pt idx="4">
                  <c:v>1.1999999999999999E-3</c:v>
                </c:pt>
                <c:pt idx="5">
                  <c:v>1.5E-3</c:v>
                </c:pt>
                <c:pt idx="6">
                  <c:v>1.8E-3</c:v>
                </c:pt>
                <c:pt idx="7">
                  <c:v>2.0999999999999999E-3</c:v>
                </c:pt>
                <c:pt idx="8">
                  <c:v>2.3999999999999998E-3</c:v>
                </c:pt>
                <c:pt idx="9">
                  <c:v>2.7000000000000001E-3</c:v>
                </c:pt>
                <c:pt idx="10">
                  <c:v>3.0000000000000001E-3</c:v>
                </c:pt>
                <c:pt idx="11">
                  <c:v>3.2999999999999995E-3</c:v>
                </c:pt>
                <c:pt idx="12">
                  <c:v>3.5999999999999999E-3</c:v>
                </c:pt>
                <c:pt idx="13">
                  <c:v>3.9000000000000003E-3</c:v>
                </c:pt>
                <c:pt idx="14">
                  <c:v>4.1999999999999997E-3</c:v>
                </c:pt>
                <c:pt idx="15">
                  <c:v>4.4999999999999997E-3</c:v>
                </c:pt>
                <c:pt idx="16">
                  <c:v>3.0000000000000001E-3</c:v>
                </c:pt>
                <c:pt idx="17">
                  <c:v>6.0000000000000001E-3</c:v>
                </c:pt>
                <c:pt idx="18">
                  <c:v>8.9999999999999993E-3</c:v>
                </c:pt>
                <c:pt idx="19">
                  <c:v>1.2E-2</c:v>
                </c:pt>
                <c:pt idx="20">
                  <c:v>1.4999999999999999E-2</c:v>
                </c:pt>
                <c:pt idx="21">
                  <c:v>1.49E-2</c:v>
                </c:pt>
                <c:pt idx="22">
                  <c:v>1.4799999999999999E-2</c:v>
                </c:pt>
                <c:pt idx="23">
                  <c:v>1.47E-2</c:v>
                </c:pt>
                <c:pt idx="24">
                  <c:v>1.46E-2</c:v>
                </c:pt>
                <c:pt idx="25">
                  <c:v>1.4499999999999999E-2</c:v>
                </c:pt>
                <c:pt idx="26">
                  <c:v>1.44E-2</c:v>
                </c:pt>
                <c:pt idx="27">
                  <c:v>1.43E-2</c:v>
                </c:pt>
                <c:pt idx="28">
                  <c:v>1.4199999999999999E-2</c:v>
                </c:pt>
                <c:pt idx="29">
                  <c:v>1.41E-2</c:v>
                </c:pt>
                <c:pt idx="30">
                  <c:v>1.4E-2</c:v>
                </c:pt>
                <c:pt idx="31">
                  <c:v>1.3899999999999999E-2</c:v>
                </c:pt>
                <c:pt idx="32">
                  <c:v>1.38E-2</c:v>
                </c:pt>
                <c:pt idx="33">
                  <c:v>1.37E-2</c:v>
                </c:pt>
                <c:pt idx="34">
                  <c:v>1.3599999999999999E-2</c:v>
                </c:pt>
                <c:pt idx="35">
                  <c:v>1.35E-2</c:v>
                </c:pt>
                <c:pt idx="36">
                  <c:v>1.34E-2</c:v>
                </c:pt>
                <c:pt idx="37">
                  <c:v>1.3299999999999999E-2</c:v>
                </c:pt>
                <c:pt idx="38">
                  <c:v>1.32E-2</c:v>
                </c:pt>
                <c:pt idx="39">
                  <c:v>1.3100000000000001E-2</c:v>
                </c:pt>
                <c:pt idx="40">
                  <c:v>1.2999999999999999E-2</c:v>
                </c:pt>
                <c:pt idx="41">
                  <c:v>1.29E-2</c:v>
                </c:pt>
                <c:pt idx="42">
                  <c:v>1.2800000000000001E-2</c:v>
                </c:pt>
                <c:pt idx="43">
                  <c:v>1.2699999999999999E-2</c:v>
                </c:pt>
                <c:pt idx="44">
                  <c:v>1.26E-2</c:v>
                </c:pt>
                <c:pt idx="45">
                  <c:v>1.2500000000000001E-2</c:v>
                </c:pt>
                <c:pt idx="46">
                  <c:v>1.24E-2</c:v>
                </c:pt>
                <c:pt idx="47">
                  <c:v>1.23E-2</c:v>
                </c:pt>
                <c:pt idx="48">
                  <c:v>1.2200000000000001E-2</c:v>
                </c:pt>
                <c:pt idx="49">
                  <c:v>1.21E-2</c:v>
                </c:pt>
                <c:pt idx="50">
                  <c:v>1.2E-2</c:v>
                </c:pt>
                <c:pt idx="51">
                  <c:v>1.2E-2</c:v>
                </c:pt>
                <c:pt idx="52">
                  <c:v>8.9999999999999993E-3</c:v>
                </c:pt>
                <c:pt idx="53">
                  <c:v>6.0000000000000001E-3</c:v>
                </c:pt>
                <c:pt idx="54">
                  <c:v>3.0000000000000001E-3</c:v>
                </c:pt>
                <c:pt idx="55">
                  <c:v>0</c:v>
                </c:pt>
                <c:pt idx="56">
                  <c:v>-3.0000000000000001E-3</c:v>
                </c:pt>
                <c:pt idx="57">
                  <c:v>-6.0000000000000001E-3</c:v>
                </c:pt>
                <c:pt idx="58">
                  <c:v>-8.9999999999999993E-3</c:v>
                </c:pt>
                <c:pt idx="59">
                  <c:v>-1.2E-2</c:v>
                </c:pt>
                <c:pt idx="60">
                  <c:v>-1.4999999999999999E-2</c:v>
                </c:pt>
                <c:pt idx="61">
                  <c:v>-1.2E-2</c:v>
                </c:pt>
                <c:pt idx="62">
                  <c:v>-8.9999999999999993E-3</c:v>
                </c:pt>
                <c:pt idx="63">
                  <c:v>-6.0000000000000001E-3</c:v>
                </c:pt>
                <c:pt idx="64">
                  <c:v>-3.0000000000000001E-3</c:v>
                </c:pt>
                <c:pt idx="65">
                  <c:v>0</c:v>
                </c:pt>
                <c:pt idx="66">
                  <c:v>3.0000000000000001E-3</c:v>
                </c:pt>
                <c:pt idx="67">
                  <c:v>6.0000000000000001E-3</c:v>
                </c:pt>
                <c:pt idx="68">
                  <c:v>8.9999999999999993E-3</c:v>
                </c:pt>
                <c:pt idx="69">
                  <c:v>1.2E-2</c:v>
                </c:pt>
                <c:pt idx="70">
                  <c:v>1.4999999999999999E-2</c:v>
                </c:pt>
                <c:pt idx="71">
                  <c:v>1.2E-2</c:v>
                </c:pt>
                <c:pt idx="72">
                  <c:v>8.9999999999999993E-3</c:v>
                </c:pt>
                <c:pt idx="73">
                  <c:v>6.0000000000000001E-3</c:v>
                </c:pt>
                <c:pt idx="74">
                  <c:v>3.0000000000000001E-3</c:v>
                </c:pt>
                <c:pt idx="75">
                  <c:v>0</c:v>
                </c:pt>
                <c:pt idx="76">
                  <c:v>-3.0000000000000001E-3</c:v>
                </c:pt>
                <c:pt idx="77">
                  <c:v>-6.0000000000000001E-3</c:v>
                </c:pt>
                <c:pt idx="78">
                  <c:v>-8.9999999999999993E-3</c:v>
                </c:pt>
                <c:pt idx="79">
                  <c:v>-1.2E-2</c:v>
                </c:pt>
                <c:pt idx="80">
                  <c:v>-1.4999999999999999E-2</c:v>
                </c:pt>
              </c:numCache>
            </c:numRef>
          </c:xVal>
          <c:yVal>
            <c:numRef>
              <c:f>Sheet2!$E$42:$E$122</c:f>
              <c:numCache>
                <c:formatCode>0_ 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2-4061-8405-F44445F82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31343"/>
        <c:axId val="1"/>
      </c:scatterChart>
      <c:valAx>
        <c:axId val="18263134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2631343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5622038763732877"/>
          <c:y val="0.47663551401869159"/>
          <c:w val="0.98707677695376916"/>
          <c:h val="0.525700934579439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501036536127648E-2"/>
          <c:y val="6.0747663551401869E-2"/>
          <c:w val="0.68858865807530112"/>
          <c:h val="0.8808411214953271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Sheet2!$I$84:$I$95</c:f>
              <c:numCache>
                <c:formatCode>General</c:formatCode>
                <c:ptCount val="12"/>
                <c:pt idx="0">
                  <c:v>0</c:v>
                </c:pt>
                <c:pt idx="1">
                  <c:v>3.7499999999999999E-3</c:v>
                </c:pt>
                <c:pt idx="2">
                  <c:v>7.4999999999999997E-3</c:v>
                </c:pt>
                <c:pt idx="3">
                  <c:v>1.4999999999999999E-2</c:v>
                </c:pt>
                <c:pt idx="4">
                  <c:v>1.125E-2</c:v>
                </c:pt>
                <c:pt idx="5">
                  <c:v>7.4999999999999997E-3</c:v>
                </c:pt>
                <c:pt idx="6">
                  <c:v>3.7499999999999999E-3</c:v>
                </c:pt>
                <c:pt idx="7">
                  <c:v>0</c:v>
                </c:pt>
                <c:pt idx="8">
                  <c:v>-7.4999999999999997E-3</c:v>
                </c:pt>
                <c:pt idx="9">
                  <c:v>-1.4999999999999999E-2</c:v>
                </c:pt>
                <c:pt idx="10">
                  <c:v>-7.4999999999999997E-3</c:v>
                </c:pt>
                <c:pt idx="11">
                  <c:v>-3.7499999999999999E-3</c:v>
                </c:pt>
              </c:numCache>
            </c:numRef>
          </c:xVal>
          <c:yVal>
            <c:numRef>
              <c:f>Sheet2!$K$84:$K$95</c:f>
              <c:numCache>
                <c:formatCode>0_ </c:formatCode>
                <c:ptCount val="12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4-4E75-9F94-57BC1356D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24143"/>
        <c:axId val="1"/>
      </c:scatterChart>
      <c:valAx>
        <c:axId val="18262414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2624143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2785381034333949"/>
          <c:y val="0.47663551401869159"/>
          <c:w val="0.98452712753265603"/>
          <c:h val="0.525700934579439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/>
              <a:t>Cycle Stress Strain Curve</a:t>
            </a:r>
          </a:p>
        </c:rich>
      </c:tx>
      <c:layout>
        <c:manualLayout>
          <c:xMode val="edge"/>
          <c:yMode val="edge"/>
          <c:x val="0.36363686596591693"/>
          <c:y val="3.03738317757009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948988158187796"/>
          <c:y val="0.15186915887850466"/>
          <c:w val="0.77033612804047058"/>
          <c:h val="0.686915887850467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'ME-515'!$B$7:$B$29</c:f>
              <c:numCache>
                <c:formatCode>0.0000_ </c:formatCode>
                <c:ptCount val="23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3.0000000000000001E-3</c:v>
                </c:pt>
                <c:pt idx="6">
                  <c:v>4.0000000000000001E-3</c:v>
                </c:pt>
                <c:pt idx="7">
                  <c:v>5.0000000000000001E-3</c:v>
                </c:pt>
                <c:pt idx="8">
                  <c:v>6.0000000000000001E-3</c:v>
                </c:pt>
                <c:pt idx="9">
                  <c:v>7.0000000000000001E-3</c:v>
                </c:pt>
                <c:pt idx="10">
                  <c:v>8.0000000000000002E-3</c:v>
                </c:pt>
                <c:pt idx="11">
                  <c:v>8.9999999999999993E-3</c:v>
                </c:pt>
                <c:pt idx="12">
                  <c:v>0.01</c:v>
                </c:pt>
                <c:pt idx="13">
                  <c:v>1.0999999999999999E-2</c:v>
                </c:pt>
                <c:pt idx="14">
                  <c:v>1.2E-2</c:v>
                </c:pt>
                <c:pt idx="15">
                  <c:v>1.2999999999999999E-2</c:v>
                </c:pt>
                <c:pt idx="16">
                  <c:v>1.4E-2</c:v>
                </c:pt>
                <c:pt idx="17">
                  <c:v>1.4999999999999999E-2</c:v>
                </c:pt>
                <c:pt idx="18">
                  <c:v>1.6E-2</c:v>
                </c:pt>
                <c:pt idx="19">
                  <c:v>1.7000000000000001E-2</c:v>
                </c:pt>
                <c:pt idx="20">
                  <c:v>1.7999999999999999E-2</c:v>
                </c:pt>
                <c:pt idx="21">
                  <c:v>1.9E-2</c:v>
                </c:pt>
                <c:pt idx="22">
                  <c:v>0.02</c:v>
                </c:pt>
              </c:numCache>
            </c:numRef>
          </c:xVal>
          <c:yVal>
            <c:numRef>
              <c:f>'ME-515'!$C$7:$C$29</c:f>
              <c:numCache>
                <c:formatCode>0.0_ 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F-4D50-A685-396E6A59E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18191"/>
        <c:axId val="1"/>
      </c:scatterChart>
      <c:valAx>
        <c:axId val="181018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Strain</a:t>
                </a:r>
              </a:p>
            </c:rich>
          </c:tx>
          <c:layout>
            <c:manualLayout>
              <c:xMode val="edge"/>
              <c:yMode val="edge"/>
              <c:x val="0.51036766337222206"/>
              <c:y val="0.9135514018691588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Stress</a:t>
                </a:r>
              </a:p>
            </c:rich>
          </c:tx>
          <c:layout>
            <c:manualLayout>
              <c:xMode val="edge"/>
              <c:yMode val="edge"/>
              <c:x val="2.5518341307814992E-2"/>
              <c:y val="0.44158878504672899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101819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85245901639344"/>
          <c:y val="0.1235958446603007"/>
          <c:w val="0.84631147540983609"/>
          <c:h val="0.7584290467791179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'ME-515'!$A$32:$A$37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'ME-515'!$B$32:$B$37</c:f>
              <c:numCache>
                <c:formatCode>General</c:formatCode>
                <c:ptCount val="6"/>
                <c:pt idx="0">
                  <c:v>0</c:v>
                </c:pt>
                <c:pt idx="1">
                  <c:v>4.0000000000000001E-3</c:v>
                </c:pt>
                <c:pt idx="2">
                  <c:v>-4.0000000000000001E-3</c:v>
                </c:pt>
                <c:pt idx="3">
                  <c:v>4.0000000000000001E-3</c:v>
                </c:pt>
                <c:pt idx="4">
                  <c:v>-4.0000000000000001E-3</c:v>
                </c:pt>
                <c:pt idx="5">
                  <c:v>4.0000000000000001E-3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C6-4ED4-9899-C48D6D13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50415"/>
        <c:axId val="1"/>
      </c:scatterChart>
      <c:valAx>
        <c:axId val="18145041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Strain</a:t>
                </a:r>
              </a:p>
            </c:rich>
          </c:tx>
          <c:layout>
            <c:manualLayout>
              <c:xMode val="edge"/>
              <c:yMode val="edge"/>
              <c:x val="3.2786885245901641E-2"/>
              <c:y val="0.449439381875018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1450415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64864864864866"/>
          <c:y val="6.0606198568160345E-2"/>
          <c:w val="0.76640926640926643"/>
          <c:h val="0.88112088687556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'ME-515'!$B$43:$B$53</c:f>
              <c:numCache>
                <c:formatCode>General</c:formatCode>
                <c:ptCount val="11"/>
                <c:pt idx="0" formatCode="0.0000_ 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 formatCode="0.0000_ ">
                  <c:v>0.01</c:v>
                </c:pt>
                <c:pt idx="6">
                  <c:v>1.2E-2</c:v>
                </c:pt>
                <c:pt idx="7">
                  <c:v>1.4000000000000002E-2</c:v>
                </c:pt>
                <c:pt idx="8">
                  <c:v>1.6E-2</c:v>
                </c:pt>
                <c:pt idx="9">
                  <c:v>1.7999999999999999E-2</c:v>
                </c:pt>
                <c:pt idx="10">
                  <c:v>0.02</c:v>
                </c:pt>
              </c:numCache>
            </c:numRef>
          </c:xVal>
          <c:yVal>
            <c:numRef>
              <c:f>'ME-515'!$Q$43:$Q$53</c:f>
              <c:numCache>
                <c:formatCode>0.0_ 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D0-443A-8E09-21B5B31BAC6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'ME-515'!$C$43:$C$53</c:f>
              <c:numCache>
                <c:formatCode>General</c:formatCode>
                <c:ptCount val="11"/>
                <c:pt idx="0">
                  <c:v>0.02</c:v>
                </c:pt>
                <c:pt idx="1">
                  <c:v>1.9E-2</c:v>
                </c:pt>
                <c:pt idx="2">
                  <c:v>1.8000000000000002E-2</c:v>
                </c:pt>
                <c:pt idx="3">
                  <c:v>1.7000000000000001E-2</c:v>
                </c:pt>
                <c:pt idx="4">
                  <c:v>1.6E-2</c:v>
                </c:pt>
                <c:pt idx="5">
                  <c:v>1.4999999999999999E-2</c:v>
                </c:pt>
                <c:pt idx="6">
                  <c:v>1.4E-2</c:v>
                </c:pt>
                <c:pt idx="7">
                  <c:v>1.2999999999999999E-2</c:v>
                </c:pt>
                <c:pt idx="8">
                  <c:v>1.2E-2</c:v>
                </c:pt>
                <c:pt idx="9">
                  <c:v>1.1000000000000001E-2</c:v>
                </c:pt>
                <c:pt idx="10">
                  <c:v>0.01</c:v>
                </c:pt>
              </c:numCache>
            </c:numRef>
          </c:xVal>
          <c:yVal>
            <c:numRef>
              <c:f>'ME-515'!$R$43:$R$53</c:f>
              <c:numCache>
                <c:formatCode>0.0_ 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D0-443A-8E09-21B5B31BAC6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'ME-515'!$D$43:$D$53</c:f>
              <c:numCache>
                <c:formatCode>General</c:formatCode>
                <c:ptCount val="11"/>
                <c:pt idx="0">
                  <c:v>0.01</c:v>
                </c:pt>
                <c:pt idx="1">
                  <c:v>1.0500000000000001E-2</c:v>
                </c:pt>
                <c:pt idx="2">
                  <c:v>1.0999999999999999E-2</c:v>
                </c:pt>
                <c:pt idx="3">
                  <c:v>1.15E-2</c:v>
                </c:pt>
                <c:pt idx="4">
                  <c:v>1.2E-2</c:v>
                </c:pt>
                <c:pt idx="5">
                  <c:v>1.2500000000000001E-2</c:v>
                </c:pt>
                <c:pt idx="6">
                  <c:v>1.2999999999999999E-2</c:v>
                </c:pt>
                <c:pt idx="7">
                  <c:v>1.35E-2</c:v>
                </c:pt>
                <c:pt idx="8">
                  <c:v>1.3999999999999999E-2</c:v>
                </c:pt>
                <c:pt idx="9">
                  <c:v>1.4499999999999999E-2</c:v>
                </c:pt>
                <c:pt idx="10">
                  <c:v>1.4999999999999999E-2</c:v>
                </c:pt>
              </c:numCache>
            </c:numRef>
          </c:xVal>
          <c:yVal>
            <c:numRef>
              <c:f>'ME-515'!$S$43:$S$53</c:f>
              <c:numCache>
                <c:formatCode>0.0_ 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D0-443A-8E09-21B5B31BAC6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'ME-515'!$E$43:$E$53</c:f>
              <c:numCache>
                <c:formatCode>General</c:formatCode>
                <c:ptCount val="11"/>
                <c:pt idx="0">
                  <c:v>1.4999999999999999E-2</c:v>
                </c:pt>
                <c:pt idx="1">
                  <c:v>1.55E-2</c:v>
                </c:pt>
                <c:pt idx="2">
                  <c:v>1.6E-2</c:v>
                </c:pt>
                <c:pt idx="3">
                  <c:v>1.6500000000000001E-2</c:v>
                </c:pt>
                <c:pt idx="4">
                  <c:v>1.7000000000000001E-2</c:v>
                </c:pt>
                <c:pt idx="5">
                  <c:v>1.7500000000000002E-2</c:v>
                </c:pt>
                <c:pt idx="6">
                  <c:v>1.7999999999999999E-2</c:v>
                </c:pt>
                <c:pt idx="7">
                  <c:v>1.8499999999999999E-2</c:v>
                </c:pt>
                <c:pt idx="8">
                  <c:v>1.9E-2</c:v>
                </c:pt>
                <c:pt idx="9">
                  <c:v>1.95E-2</c:v>
                </c:pt>
                <c:pt idx="10">
                  <c:v>0.02</c:v>
                </c:pt>
              </c:numCache>
            </c:numRef>
          </c:xVal>
          <c:yVal>
            <c:numRef>
              <c:f>'ME-515'!$T$43:$T$53</c:f>
              <c:numCache>
                <c:formatCode>0.0_ 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D0-443A-8E09-21B5B31BA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45615"/>
        <c:axId val="1"/>
      </c:scatterChart>
      <c:valAx>
        <c:axId val="181445615"/>
        <c:scaling>
          <c:orientation val="minMax"/>
        </c:scaling>
        <c:delete val="0"/>
        <c:axPos val="b"/>
        <c:numFmt formatCode="0.000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81445615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Sheet3!$A$12:$D$12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Sheet3!$A$13:$D$13</c:f>
              <c:numCache>
                <c:formatCode>General</c:formatCode>
                <c:ptCount val="4"/>
                <c:pt idx="0">
                  <c:v>0</c:v>
                </c:pt>
                <c:pt idx="1">
                  <c:v>70</c:v>
                </c:pt>
                <c:pt idx="2">
                  <c:v>-64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04-4236-BADA-A6E4326A9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26063"/>
        <c:axId val="1"/>
      </c:scatterChart>
      <c:valAx>
        <c:axId val="182626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626063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1" fmlaLink="$B$12" fmlaRange="$B$71:$C$172" sel="1" val="0"/>
</file>

<file path=xl/ctrlProps/ctrlProp2.xml><?xml version="1.0" encoding="utf-8"?>
<formControlPr xmlns="http://schemas.microsoft.com/office/spreadsheetml/2009/9/main" objectType="Drop" dropStyle="combo" dx="21" fmlaLink="$B$13" fmlaRange="$B$71:$C$172" sel="1" val="0"/>
</file>

<file path=xl/ctrlProps/ctrlProp3.xml><?xml version="1.0" encoding="utf-8"?>
<formControlPr xmlns="http://schemas.microsoft.com/office/spreadsheetml/2009/9/main" objectType="Drop" dropStyle="combo" dx="21" fmlaLink="$B$14" fmlaRange="$B$71:$C$172" sel="1" val="0"/>
</file>

<file path=xl/ctrlProps/ctrlProp4.xml><?xml version="1.0" encoding="utf-8"?>
<formControlPr xmlns="http://schemas.microsoft.com/office/spreadsheetml/2009/9/main" objectType="Drop" dropStyle="combo" dx="21" fmlaLink="$B$11" fmlaRange="$B$71:$C$172" sel="22" val="20"/>
</file>

<file path=xl/ctrlProps/ctrlProp5.xml><?xml version="1.0" encoding="utf-8"?>
<formControlPr xmlns="http://schemas.microsoft.com/office/spreadsheetml/2009/9/main" objectType="Drop" dropLines="2" dropStyle="combo" dx="21" fmlaLink="$D$67" fmlaRange="$E$67:$E$68" sel="2" val="0"/>
</file>

<file path=xl/ctrlProps/ctrlProp6.xml><?xml version="1.0" encoding="utf-8"?>
<formControlPr xmlns="http://schemas.microsoft.com/office/spreadsheetml/2009/9/main" objectType="Drop" dropStyle="combo" dx="21" fmlaLink="$B$15" fmlaRange="$B$71:$C$172" sel="1" val="0"/>
</file>

<file path=xl/ctrlProps/ctrlProp7.xml><?xml version="1.0" encoding="utf-8"?>
<formControlPr xmlns="http://schemas.microsoft.com/office/spreadsheetml/2009/9/main" objectType="Drop" dropStyle="combo" dx="21" fmlaLink="$B$17" fmlaRange="$B$71:$C$172" sel="22" val="21"/>
</file>

<file path=xl/ctrlProps/ctrlProp8.xml><?xml version="1.0" encoding="utf-8"?>
<formControlPr xmlns="http://schemas.microsoft.com/office/spreadsheetml/2009/9/main" objectType="Drop" dropLines="2" dropStyle="combo" dx="21" fmlaLink="$H$67" fmlaRange="$I$67:$I$68" sel="2" val="0"/>
</file>

<file path=xl/ctrlProps/ctrlProp9.xml><?xml version="1.0" encoding="utf-8"?>
<formControlPr xmlns="http://schemas.microsoft.com/office/spreadsheetml/2009/9/main" objectType="Drop" dropStyle="combo" dx="21" fmlaLink="$B$3" fmlaRange="$AI$7:$AI$12" sel="4" val="0"/>
</file>

<file path=xl/ctrlProps/ctrlProp10.xml><?xml version="1.0" encoding="utf-8"?>
<formControlPr xmlns="http://schemas.microsoft.com/office/spreadsheetml/2009/9/main" objectType="Drop" dropStyle="combo" dx="21" fmlaLink="$F$51" fmlaRange="DesignSN!$B$71:$C$172" sel="31" val="26"/>
</file>

<file path=xl/ctrlProps/ctrlProp11.xml><?xml version="1.0" encoding="utf-8"?>
<formControlPr xmlns="http://schemas.microsoft.com/office/spreadsheetml/2009/9/main" objectType="Drop" dropLines="6" dropStyle="combo" dx="21" fmlaLink="$F$50" fmlaRange="FatigueLifeDnv!$B$75:$B$78" sel="4" val="0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8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24</xdr:row>
      <xdr:rowOff>133350</xdr:rowOff>
    </xdr:from>
    <xdr:to>
      <xdr:col>10</xdr:col>
      <xdr:colOff>504825</xdr:colOff>
      <xdr:row>50</xdr:row>
      <xdr:rowOff>57150</xdr:rowOff>
    </xdr:to>
    <xdr:graphicFrame macro="">
      <xdr:nvGraphicFramePr>
        <xdr:cNvPr id="29842" name="Chart 1">
          <a:extLst>
            <a:ext uri="{FF2B5EF4-FFF2-40B4-BE49-F238E27FC236}">
              <a16:creationId xmlns:a16="http://schemas.microsoft.com/office/drawing/2014/main" id="{9A46F8AD-577E-49EA-380A-41E631D2F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38100</xdr:colOff>
      <xdr:row>18</xdr:row>
      <xdr:rowOff>85725</xdr:rowOff>
    </xdr:from>
    <xdr:to>
      <xdr:col>8</xdr:col>
      <xdr:colOff>466725</xdr:colOff>
      <xdr:row>18</xdr:row>
      <xdr:rowOff>85725</xdr:rowOff>
    </xdr:to>
    <xdr:sp macro="" textlink="">
      <xdr:nvSpPr>
        <xdr:cNvPr id="29843" name="Line 87">
          <a:extLst>
            <a:ext uri="{FF2B5EF4-FFF2-40B4-BE49-F238E27FC236}">
              <a16:creationId xmlns:a16="http://schemas.microsoft.com/office/drawing/2014/main" id="{21413710-4273-7353-F3FD-60A1341C3E5E}"/>
            </a:ext>
          </a:extLst>
        </xdr:cNvPr>
        <xdr:cNvSpPr>
          <a:spLocks noChangeShapeType="1"/>
        </xdr:cNvSpPr>
      </xdr:nvSpPr>
      <xdr:spPr bwMode="auto">
        <a:xfrm>
          <a:off x="3028950" y="3971925"/>
          <a:ext cx="1514475" cy="0"/>
        </a:xfrm>
        <a:prstGeom prst="line">
          <a:avLst/>
        </a:prstGeom>
        <a:noFill/>
        <a:ln w="9525">
          <a:solidFill>
            <a:srgbClr val="FFFF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38100</xdr:colOff>
      <xdr:row>19</xdr:row>
      <xdr:rowOff>85725</xdr:rowOff>
    </xdr:from>
    <xdr:to>
      <xdr:col>8</xdr:col>
      <xdr:colOff>466725</xdr:colOff>
      <xdr:row>19</xdr:row>
      <xdr:rowOff>85725</xdr:rowOff>
    </xdr:to>
    <xdr:sp macro="" textlink="">
      <xdr:nvSpPr>
        <xdr:cNvPr id="29844" name="Line 88">
          <a:extLst>
            <a:ext uri="{FF2B5EF4-FFF2-40B4-BE49-F238E27FC236}">
              <a16:creationId xmlns:a16="http://schemas.microsoft.com/office/drawing/2014/main" id="{77D9449E-B9C1-C473-103B-4FC2BF17559D}"/>
            </a:ext>
          </a:extLst>
        </xdr:cNvPr>
        <xdr:cNvSpPr>
          <a:spLocks noChangeShapeType="1"/>
        </xdr:cNvSpPr>
      </xdr:nvSpPr>
      <xdr:spPr bwMode="auto">
        <a:xfrm>
          <a:off x="3028950" y="4143375"/>
          <a:ext cx="1514475" cy="0"/>
        </a:xfrm>
        <a:prstGeom prst="line">
          <a:avLst/>
        </a:prstGeom>
        <a:noFill/>
        <a:ln w="9525">
          <a:solidFill>
            <a:srgbClr val="FFFF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342900</xdr:colOff>
      <xdr:row>2</xdr:row>
      <xdr:rowOff>95250</xdr:rowOff>
    </xdr:from>
    <xdr:to>
      <xdr:col>31</xdr:col>
      <xdr:colOff>323850</xdr:colOff>
      <xdr:row>21</xdr:row>
      <xdr:rowOff>142875</xdr:rowOff>
    </xdr:to>
    <xdr:graphicFrame macro="">
      <xdr:nvGraphicFramePr>
        <xdr:cNvPr id="29845" name="Chart 101">
          <a:extLst>
            <a:ext uri="{FF2B5EF4-FFF2-40B4-BE49-F238E27FC236}">
              <a16:creationId xmlns:a16="http://schemas.microsoft.com/office/drawing/2014/main" id="{4F76098C-CA92-D4E4-5D9E-0A2003C0C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495300</xdr:colOff>
      <xdr:row>23</xdr:row>
      <xdr:rowOff>57150</xdr:rowOff>
    </xdr:from>
    <xdr:to>
      <xdr:col>35</xdr:col>
      <xdr:colOff>495300</xdr:colOff>
      <xdr:row>48</xdr:row>
      <xdr:rowOff>47625</xdr:rowOff>
    </xdr:to>
    <xdr:graphicFrame macro="">
      <xdr:nvGraphicFramePr>
        <xdr:cNvPr id="29846" name="Chart 102">
          <a:extLst>
            <a:ext uri="{FF2B5EF4-FFF2-40B4-BE49-F238E27FC236}">
              <a16:creationId xmlns:a16="http://schemas.microsoft.com/office/drawing/2014/main" id="{5A3BA8D2-5324-543C-22AB-6A827A3DA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50</xdr:row>
      <xdr:rowOff>0</xdr:rowOff>
    </xdr:from>
    <xdr:to>
      <xdr:col>36</xdr:col>
      <xdr:colOff>9525</xdr:colOff>
      <xdr:row>74</xdr:row>
      <xdr:rowOff>95250</xdr:rowOff>
    </xdr:to>
    <xdr:graphicFrame macro="">
      <xdr:nvGraphicFramePr>
        <xdr:cNvPr id="29847" name="Chart 103">
          <a:extLst>
            <a:ext uri="{FF2B5EF4-FFF2-40B4-BE49-F238E27FC236}">
              <a16:creationId xmlns:a16="http://schemas.microsoft.com/office/drawing/2014/main" id="{5F5590FB-80F6-31B3-F59D-2F1A8D098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34</xdr:row>
      <xdr:rowOff>0</xdr:rowOff>
    </xdr:from>
    <xdr:to>
      <xdr:col>21</xdr:col>
      <xdr:colOff>228600</xdr:colOff>
      <xdr:row>59</xdr:row>
      <xdr:rowOff>47625</xdr:rowOff>
    </xdr:to>
    <xdr:graphicFrame macro="">
      <xdr:nvGraphicFramePr>
        <xdr:cNvPr id="29848" name="Chart 1">
          <a:extLst>
            <a:ext uri="{FF2B5EF4-FFF2-40B4-BE49-F238E27FC236}">
              <a16:creationId xmlns:a16="http://schemas.microsoft.com/office/drawing/2014/main" id="{B9C7D7C2-5AC3-9357-7F37-17D13ACCF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C7BF5490-2E18-B099-D9E4-B645AD4E5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29700" name="Drop Dow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D8609A18-1D1A-3C10-FEE8-057360383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29701" name="Drop Dow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7A87FEC9-48E7-E0A7-2FBE-AFA1FC60E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9704" name="Drop Dow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A02CD69-931A-801A-4175-196D4B00B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7</xdr:row>
          <xdr:rowOff>19050</xdr:rowOff>
        </xdr:from>
        <xdr:to>
          <xdr:col>4</xdr:col>
          <xdr:colOff>19050</xdr:colOff>
          <xdr:row>7</xdr:row>
          <xdr:rowOff>209550</xdr:rowOff>
        </xdr:to>
        <xdr:sp macro="" textlink="">
          <xdr:nvSpPr>
            <xdr:cNvPr id="29705" name="Drop Dow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BA3D27AE-6401-46A2-0C8D-3385AD3E6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9750" name="Drop Down 54" hidden="1">
              <a:extLst>
                <a:ext uri="{63B3BB69-23CF-44E3-9099-C40C66FF867C}">
                  <a14:compatExt spid="_x0000_s29750"/>
                </a:ext>
                <a:ext uri="{FF2B5EF4-FFF2-40B4-BE49-F238E27FC236}">
                  <a16:creationId xmlns:a16="http://schemas.microsoft.com/office/drawing/2014/main" id="{387D49B5-8BF8-34AF-09C4-28BE354F1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16</xdr:row>
          <xdr:rowOff>0</xdr:rowOff>
        </xdr:from>
        <xdr:to>
          <xdr:col>3</xdr:col>
          <xdr:colOff>514350</xdr:colOff>
          <xdr:row>17</xdr:row>
          <xdr:rowOff>38100</xdr:rowOff>
        </xdr:to>
        <xdr:sp macro="" textlink="">
          <xdr:nvSpPr>
            <xdr:cNvPr id="29751" name="Drop Down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F2CEAF56-F22F-0581-02D8-0CA81FD86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7</xdr:row>
          <xdr:rowOff>9525</xdr:rowOff>
        </xdr:from>
        <xdr:to>
          <xdr:col>8</xdr:col>
          <xdr:colOff>0</xdr:colOff>
          <xdr:row>7</xdr:row>
          <xdr:rowOff>200025</xdr:rowOff>
        </xdr:to>
        <xdr:sp macro="" textlink="">
          <xdr:nvSpPr>
            <xdr:cNvPr id="29782" name="Drop Down 86" hidden="1">
              <a:extLst>
                <a:ext uri="{63B3BB69-23CF-44E3-9099-C40C66FF867C}">
                  <a14:compatExt spid="_x0000_s29782"/>
                </a:ext>
                <a:ext uri="{FF2B5EF4-FFF2-40B4-BE49-F238E27FC236}">
                  <a16:creationId xmlns:a16="http://schemas.microsoft.com/office/drawing/2014/main" id="{7D5C5D25-69FE-3975-65A6-649161F38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8</xdr:col>
          <xdr:colOff>0</xdr:colOff>
          <xdr:row>3</xdr:row>
          <xdr:rowOff>190500</xdr:rowOff>
        </xdr:to>
        <xdr:sp macro="" textlink="">
          <xdr:nvSpPr>
            <xdr:cNvPr id="29793" name="Object 97" hidden="1">
              <a:extLst>
                <a:ext uri="{63B3BB69-23CF-44E3-9099-C40C66FF867C}">
                  <a14:compatExt spid="_x0000_s29793"/>
                </a:ext>
                <a:ext uri="{FF2B5EF4-FFF2-40B4-BE49-F238E27FC236}">
                  <a16:creationId xmlns:a16="http://schemas.microsoft.com/office/drawing/2014/main" id="{02014D16-B9D2-BF3A-ACB0-FED9DBCE9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4</xdr:row>
          <xdr:rowOff>238125</xdr:rowOff>
        </xdr:from>
        <xdr:to>
          <xdr:col>10</xdr:col>
          <xdr:colOff>400050</xdr:colOff>
          <xdr:row>5</xdr:row>
          <xdr:rowOff>209550</xdr:rowOff>
        </xdr:to>
        <xdr:sp macro="" textlink="">
          <xdr:nvSpPr>
            <xdr:cNvPr id="29794" name="Object 98" hidden="1">
              <a:extLst>
                <a:ext uri="{63B3BB69-23CF-44E3-9099-C40C66FF867C}">
                  <a14:compatExt spid="_x0000_s29794"/>
                </a:ext>
                <a:ext uri="{FF2B5EF4-FFF2-40B4-BE49-F238E27FC236}">
                  <a16:creationId xmlns:a16="http://schemas.microsoft.com/office/drawing/2014/main" id="{15F90697-1320-D5F6-EF46-2BBEAB7FF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8</xdr:col>
          <xdr:colOff>0</xdr:colOff>
          <xdr:row>4</xdr:row>
          <xdr:rowOff>190500</xdr:rowOff>
        </xdr:to>
        <xdr:sp macro="" textlink="">
          <xdr:nvSpPr>
            <xdr:cNvPr id="29795" name="Object 99" hidden="1">
              <a:extLst>
                <a:ext uri="{63B3BB69-23CF-44E3-9099-C40C66FF867C}">
                  <a14:compatExt spid="_x0000_s29795"/>
                </a:ext>
                <a:ext uri="{FF2B5EF4-FFF2-40B4-BE49-F238E27FC236}">
                  <a16:creationId xmlns:a16="http://schemas.microsoft.com/office/drawing/2014/main" id="{C40BB6C1-65BA-5CAE-FA41-28005B726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8</xdr:row>
      <xdr:rowOff>9525</xdr:rowOff>
    </xdr:from>
    <xdr:to>
      <xdr:col>11</xdr:col>
      <xdr:colOff>485775</xdr:colOff>
      <xdr:row>30</xdr:row>
      <xdr:rowOff>9525</xdr:rowOff>
    </xdr:to>
    <xdr:graphicFrame macro="">
      <xdr:nvGraphicFramePr>
        <xdr:cNvPr id="49217" name="Chart 5">
          <a:extLst>
            <a:ext uri="{FF2B5EF4-FFF2-40B4-BE49-F238E27FC236}">
              <a16:creationId xmlns:a16="http://schemas.microsoft.com/office/drawing/2014/main" id="{B95245B6-6B3A-55B5-E0DE-21EA9EF8F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123825</xdr:colOff>
      <xdr:row>30</xdr:row>
      <xdr:rowOff>123825</xdr:rowOff>
    </xdr:from>
    <xdr:to>
      <xdr:col>20</xdr:col>
      <xdr:colOff>342900</xdr:colOff>
      <xdr:row>62</xdr:row>
      <xdr:rowOff>66675</xdr:rowOff>
    </xdr:to>
    <xdr:graphicFrame macro="">
      <xdr:nvGraphicFramePr>
        <xdr:cNvPr id="49218" name="Chart 8">
          <a:extLst>
            <a:ext uri="{FF2B5EF4-FFF2-40B4-BE49-F238E27FC236}">
              <a16:creationId xmlns:a16="http://schemas.microsoft.com/office/drawing/2014/main" id="{FFDABEE9-4CB2-7295-9349-9087D29A5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38100</xdr:colOff>
      <xdr:row>80</xdr:row>
      <xdr:rowOff>95250</xdr:rowOff>
    </xdr:from>
    <xdr:to>
      <xdr:col>9</xdr:col>
      <xdr:colOff>114300</xdr:colOff>
      <xdr:row>90</xdr:row>
      <xdr:rowOff>114300</xdr:rowOff>
    </xdr:to>
    <xdr:pic>
      <xdr:nvPicPr>
        <xdr:cNvPr id="49219" name="Picture 9" descr="bvrules3421">
          <a:extLst>
            <a:ext uri="{FF2B5EF4-FFF2-40B4-BE49-F238E27FC236}">
              <a16:creationId xmlns:a16="http://schemas.microsoft.com/office/drawing/2014/main" id="{2B5E4F8D-3986-DCE0-2FA5-1C1DF634CD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3363575"/>
          <a:ext cx="4648200" cy="163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95250</xdr:colOff>
      <xdr:row>95</xdr:row>
      <xdr:rowOff>0</xdr:rowOff>
    </xdr:from>
    <xdr:to>
      <xdr:col>4</xdr:col>
      <xdr:colOff>447675</xdr:colOff>
      <xdr:row>96</xdr:row>
      <xdr:rowOff>9525</xdr:rowOff>
    </xdr:to>
    <xdr:pic>
      <xdr:nvPicPr>
        <xdr:cNvPr id="49220" name="Picture 11" descr="bvrules2057">
          <a:extLst>
            <a:ext uri="{FF2B5EF4-FFF2-40B4-BE49-F238E27FC236}">
              <a16:creationId xmlns:a16="http://schemas.microsoft.com/office/drawing/2014/main" id="{94452E75-0333-BF89-C24B-1B9F89F61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15697200"/>
          <a:ext cx="971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101</xdr:row>
      <xdr:rowOff>152400</xdr:rowOff>
    </xdr:from>
    <xdr:to>
      <xdr:col>4</xdr:col>
      <xdr:colOff>485775</xdr:colOff>
      <xdr:row>103</xdr:row>
      <xdr:rowOff>0</xdr:rowOff>
    </xdr:to>
    <xdr:pic>
      <xdr:nvPicPr>
        <xdr:cNvPr id="49221" name="Picture 12" descr="bvrules2058">
          <a:extLst>
            <a:ext uri="{FF2B5EF4-FFF2-40B4-BE49-F238E27FC236}">
              <a16:creationId xmlns:a16="http://schemas.microsoft.com/office/drawing/2014/main" id="{3627D5F2-2572-9167-1C39-011A5D5CE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0675" y="16821150"/>
          <a:ext cx="1028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523875</xdr:colOff>
      <xdr:row>78</xdr:row>
      <xdr:rowOff>133350</xdr:rowOff>
    </xdr:from>
    <xdr:to>
      <xdr:col>27</xdr:col>
      <xdr:colOff>228600</xdr:colOff>
      <xdr:row>104</xdr:row>
      <xdr:rowOff>19050</xdr:rowOff>
    </xdr:to>
    <xdr:graphicFrame macro="">
      <xdr:nvGraphicFramePr>
        <xdr:cNvPr id="49222" name="Chart 13">
          <a:extLst>
            <a:ext uri="{FF2B5EF4-FFF2-40B4-BE49-F238E27FC236}">
              <a16:creationId xmlns:a16="http://schemas.microsoft.com/office/drawing/2014/main" id="{6EABA328-6F22-4CF8-0A37-36BCA8CC6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13</xdr:col>
      <xdr:colOff>400050</xdr:colOff>
      <xdr:row>63</xdr:row>
      <xdr:rowOff>209550</xdr:rowOff>
    </xdr:from>
    <xdr:to>
      <xdr:col>16</xdr:col>
      <xdr:colOff>238125</xdr:colOff>
      <xdr:row>67</xdr:row>
      <xdr:rowOff>28575</xdr:rowOff>
    </xdr:to>
    <xdr:pic>
      <xdr:nvPicPr>
        <xdr:cNvPr id="49223" name="Picture 15">
          <a:extLst>
            <a:ext uri="{FF2B5EF4-FFF2-40B4-BE49-F238E27FC236}">
              <a16:creationId xmlns:a16="http://schemas.microsoft.com/office/drawing/2014/main" id="{EABBE899-3C50-EC94-69DC-8DE9AD9BF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10648950"/>
          <a:ext cx="16383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19050</xdr:colOff>
      <xdr:row>106</xdr:row>
      <xdr:rowOff>95250</xdr:rowOff>
    </xdr:from>
    <xdr:to>
      <xdr:col>13</xdr:col>
      <xdr:colOff>514350</xdr:colOff>
      <xdr:row>109</xdr:row>
      <xdr:rowOff>152400</xdr:rowOff>
    </xdr:to>
    <xdr:pic>
      <xdr:nvPicPr>
        <xdr:cNvPr id="49224" name="Picture 16">
          <a:extLst>
            <a:ext uri="{FF2B5EF4-FFF2-40B4-BE49-F238E27FC236}">
              <a16:creationId xmlns:a16="http://schemas.microsoft.com/office/drawing/2014/main" id="{5202C602-AABA-61CF-B364-CDBE1F8D1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25" y="17602200"/>
          <a:ext cx="15811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123825</xdr:rowOff>
        </xdr:from>
        <xdr:to>
          <xdr:col>3</xdr:col>
          <xdr:colOff>485775</xdr:colOff>
          <xdr:row>7</xdr:row>
          <xdr:rowOff>47625</xdr:rowOff>
        </xdr:to>
        <xdr:sp macro="" textlink="">
          <xdr:nvSpPr>
            <xdr:cNvPr id="49156" name="Object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A032F52B-C096-3811-2BF2-2DF15602F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133350</xdr:rowOff>
        </xdr:from>
        <xdr:to>
          <xdr:col>8</xdr:col>
          <xdr:colOff>142875</xdr:colOff>
          <xdr:row>7</xdr:row>
          <xdr:rowOff>95250</xdr:rowOff>
        </xdr:to>
        <xdr:sp macro="" textlink="">
          <xdr:nvSpPr>
            <xdr:cNvPr id="49159" name="Object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97D1BEF5-2470-A5EB-9130-BF99EECCF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65</xdr:row>
          <xdr:rowOff>95250</xdr:rowOff>
        </xdr:from>
        <xdr:to>
          <xdr:col>12</xdr:col>
          <xdr:colOff>114300</xdr:colOff>
          <xdr:row>69</xdr:row>
          <xdr:rowOff>19050</xdr:rowOff>
        </xdr:to>
        <xdr:sp macro="" textlink="">
          <xdr:nvSpPr>
            <xdr:cNvPr id="49166" name="Object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BE63B481-E873-8BF4-C884-026E256C6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30</xdr:row>
      <xdr:rowOff>0</xdr:rowOff>
    </xdr:from>
    <xdr:to>
      <xdr:col>10</xdr:col>
      <xdr:colOff>400050</xdr:colOff>
      <xdr:row>59</xdr:row>
      <xdr:rowOff>0</xdr:rowOff>
    </xdr:to>
    <xdr:graphicFrame macro="">
      <xdr:nvGraphicFramePr>
        <xdr:cNvPr id="20558" name="Chart 2">
          <a:extLst>
            <a:ext uri="{FF2B5EF4-FFF2-40B4-BE49-F238E27FC236}">
              <a16:creationId xmlns:a16="http://schemas.microsoft.com/office/drawing/2014/main" id="{733C967D-39EF-2544-AACA-47369238D4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266700</xdr:colOff>
      <xdr:row>63</xdr:row>
      <xdr:rowOff>38100</xdr:rowOff>
    </xdr:from>
    <xdr:to>
      <xdr:col>17</xdr:col>
      <xdr:colOff>609600</xdr:colOff>
      <xdr:row>92</xdr:row>
      <xdr:rowOff>85725</xdr:rowOff>
    </xdr:to>
    <xdr:graphicFrame macro="">
      <xdr:nvGraphicFramePr>
        <xdr:cNvPr id="20559" name="Chart 49">
          <a:extLst>
            <a:ext uri="{FF2B5EF4-FFF2-40B4-BE49-F238E27FC236}">
              <a16:creationId xmlns:a16="http://schemas.microsoft.com/office/drawing/2014/main" id="{3D3EBC71-32D2-9595-53A2-354BC7066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390525</xdr:colOff>
      <xdr:row>114</xdr:row>
      <xdr:rowOff>9525</xdr:rowOff>
    </xdr:from>
    <xdr:to>
      <xdr:col>19</xdr:col>
      <xdr:colOff>133350</xdr:colOff>
      <xdr:row>141</xdr:row>
      <xdr:rowOff>142875</xdr:rowOff>
    </xdr:to>
    <xdr:graphicFrame macro="">
      <xdr:nvGraphicFramePr>
        <xdr:cNvPr id="20560" name="Chart 55">
          <a:extLst>
            <a:ext uri="{FF2B5EF4-FFF2-40B4-BE49-F238E27FC236}">
              <a16:creationId xmlns:a16="http://schemas.microsoft.com/office/drawing/2014/main" id="{DECA16B4-4DC9-E52A-0FC3-044225041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63</xdr:row>
          <xdr:rowOff>114300</xdr:rowOff>
        </xdr:from>
        <xdr:to>
          <xdr:col>8</xdr:col>
          <xdr:colOff>114300</xdr:colOff>
          <xdr:row>67</xdr:row>
          <xdr:rowOff>38100</xdr:rowOff>
        </xdr:to>
        <xdr:sp macro="" textlink="">
          <xdr:nvSpPr>
            <xdr:cNvPr id="20515" name="Object 35" hidden="1">
              <a:extLst>
                <a:ext uri="{63B3BB69-23CF-44E3-9099-C40C66FF867C}">
                  <a14:compatExt spid="_x0000_s20515"/>
                </a:ext>
                <a:ext uri="{FF2B5EF4-FFF2-40B4-BE49-F238E27FC236}">
                  <a16:creationId xmlns:a16="http://schemas.microsoft.com/office/drawing/2014/main" id="{54E95F07-AEE2-5F6C-538A-E3F3037AF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57150</xdr:rowOff>
        </xdr:from>
        <xdr:to>
          <xdr:col>4</xdr:col>
          <xdr:colOff>438150</xdr:colOff>
          <xdr:row>16</xdr:row>
          <xdr:rowOff>57150</xdr:rowOff>
        </xdr:to>
        <xdr:sp macro="" textlink="">
          <xdr:nvSpPr>
            <xdr:cNvPr id="20519" name="Object 39" hidden="1">
              <a:extLst>
                <a:ext uri="{63B3BB69-23CF-44E3-9099-C40C66FF867C}">
                  <a14:compatExt spid="_x0000_s20519"/>
                </a:ext>
                <a:ext uri="{FF2B5EF4-FFF2-40B4-BE49-F238E27FC236}">
                  <a16:creationId xmlns:a16="http://schemas.microsoft.com/office/drawing/2014/main" id="{E8F69CBD-DCCC-A0D5-9503-6D7DAF43C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123825</xdr:rowOff>
        </xdr:from>
        <xdr:to>
          <xdr:col>4</xdr:col>
          <xdr:colOff>95250</xdr:colOff>
          <xdr:row>67</xdr:row>
          <xdr:rowOff>47625</xdr:rowOff>
        </xdr:to>
        <xdr:sp macro="" textlink="">
          <xdr:nvSpPr>
            <xdr:cNvPr id="20520" name="Object 40" hidden="1">
              <a:extLst>
                <a:ext uri="{63B3BB69-23CF-44E3-9099-C40C66FF867C}">
                  <a14:compatExt spid="_x0000_s20520"/>
                </a:ext>
                <a:ext uri="{FF2B5EF4-FFF2-40B4-BE49-F238E27FC236}">
                  <a16:creationId xmlns:a16="http://schemas.microsoft.com/office/drawing/2014/main" id="{07A04131-059E-8E65-D359-3FFC98C93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142875</xdr:rowOff>
        </xdr:from>
        <xdr:to>
          <xdr:col>11</xdr:col>
          <xdr:colOff>152400</xdr:colOff>
          <xdr:row>3</xdr:row>
          <xdr:rowOff>19050</xdr:rowOff>
        </xdr:to>
        <xdr:sp macro="" textlink="">
          <xdr:nvSpPr>
            <xdr:cNvPr id="20532" name="Drop Down 52" hidden="1">
              <a:extLst>
                <a:ext uri="{63B3BB69-23CF-44E3-9099-C40C66FF867C}">
                  <a14:compatExt spid="_x0000_s20532"/>
                </a:ext>
                <a:ext uri="{FF2B5EF4-FFF2-40B4-BE49-F238E27FC236}">
                  <a16:creationId xmlns:a16="http://schemas.microsoft.com/office/drawing/2014/main" id="{339AB4B4-9454-6E96-6B2A-14E86D3C8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100</xdr:row>
          <xdr:rowOff>133350</xdr:rowOff>
        </xdr:from>
        <xdr:to>
          <xdr:col>5</xdr:col>
          <xdr:colOff>295275</xdr:colOff>
          <xdr:row>104</xdr:row>
          <xdr:rowOff>95250</xdr:rowOff>
        </xdr:to>
        <xdr:sp macro="" textlink="">
          <xdr:nvSpPr>
            <xdr:cNvPr id="20534" name="Object 54" hidden="1">
              <a:extLst>
                <a:ext uri="{63B3BB69-23CF-44E3-9099-C40C66FF867C}">
                  <a14:compatExt spid="_x0000_s20534"/>
                </a:ext>
                <a:ext uri="{FF2B5EF4-FFF2-40B4-BE49-F238E27FC236}">
                  <a16:creationId xmlns:a16="http://schemas.microsoft.com/office/drawing/2014/main" id="{79EBCDF1-3FF1-30D5-BD2D-946CC1A0F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</xdr:row>
      <xdr:rowOff>123825</xdr:rowOff>
    </xdr:from>
    <xdr:to>
      <xdr:col>7</xdr:col>
      <xdr:colOff>361950</xdr:colOff>
      <xdr:row>13</xdr:row>
      <xdr:rowOff>38100</xdr:rowOff>
    </xdr:to>
    <xdr:grpSp>
      <xdr:nvGrpSpPr>
        <xdr:cNvPr id="23088" name="Group 100">
          <a:extLst>
            <a:ext uri="{FF2B5EF4-FFF2-40B4-BE49-F238E27FC236}">
              <a16:creationId xmlns:a16="http://schemas.microsoft.com/office/drawing/2014/main" id="{F328570A-4E22-04CC-CFFE-23070AD71950}"/>
            </a:ext>
          </a:extLst>
        </xdr:cNvPr>
        <xdr:cNvGrpSpPr>
          <a:grpSpLocks/>
        </xdr:cNvGrpSpPr>
      </xdr:nvGrpSpPr>
      <xdr:grpSpPr bwMode="auto">
        <a:xfrm>
          <a:off x="190500" y="466725"/>
          <a:ext cx="5438775" cy="1800225"/>
          <a:chOff x="20" y="49"/>
          <a:chExt cx="571" cy="189"/>
        </a:xfrm>
      </xdr:grpSpPr>
      <xdr:grpSp>
        <xdr:nvGrpSpPr>
          <xdr:cNvPr id="23132" name="Group 44">
            <a:extLst>
              <a:ext uri="{FF2B5EF4-FFF2-40B4-BE49-F238E27FC236}">
                <a16:creationId xmlns:a16="http://schemas.microsoft.com/office/drawing/2014/main" id="{E2B4B56C-0115-287E-31B5-B04F70F52427}"/>
              </a:ext>
            </a:extLst>
          </xdr:cNvPr>
          <xdr:cNvGrpSpPr>
            <a:grpSpLocks/>
          </xdr:cNvGrpSpPr>
        </xdr:nvGrpSpPr>
        <xdr:grpSpPr bwMode="auto">
          <a:xfrm>
            <a:off x="20" y="51"/>
            <a:ext cx="443" cy="187"/>
            <a:chOff x="20" y="1195"/>
            <a:chExt cx="443" cy="187"/>
          </a:xfrm>
        </xdr:grpSpPr>
        <xdr:sp macro="" textlink="">
          <xdr:nvSpPr>
            <xdr:cNvPr id="23142" name="Rectangle 45">
              <a:extLst>
                <a:ext uri="{FF2B5EF4-FFF2-40B4-BE49-F238E27FC236}">
                  <a16:creationId xmlns:a16="http://schemas.microsoft.com/office/drawing/2014/main" id="{EA9246F6-A2B9-B8AE-46F5-DF85D4E73043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" y="1233"/>
              <a:ext cx="44" cy="149"/>
            </a:xfrm>
            <a:prstGeom prst="rect">
              <a:avLst/>
            </a:prstGeom>
            <a:solidFill>
              <a:srgbClr val="80808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3143" name="Rectangle 46">
              <a:extLst>
                <a:ext uri="{FF2B5EF4-FFF2-40B4-BE49-F238E27FC236}">
                  <a16:creationId xmlns:a16="http://schemas.microsoft.com/office/drawing/2014/main" id="{51394CFB-0234-9B16-985F-5678C85AB62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" y="1267"/>
              <a:ext cx="39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3144" name="Line 47">
              <a:extLst>
                <a:ext uri="{FF2B5EF4-FFF2-40B4-BE49-F238E27FC236}">
                  <a16:creationId xmlns:a16="http://schemas.microsoft.com/office/drawing/2014/main" id="{3A2CBEB1-7DD2-6065-1B8A-A1D1584F03BF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4" y="1332"/>
              <a:ext cx="0" cy="5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45" name="Line 48">
              <a:extLst>
                <a:ext uri="{FF2B5EF4-FFF2-40B4-BE49-F238E27FC236}">
                  <a16:creationId xmlns:a16="http://schemas.microsoft.com/office/drawing/2014/main" id="{D7551E0C-289C-6A8B-B4A8-9AE6C6210C8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" y="1357"/>
              <a:ext cx="39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46" name="Line 49">
              <a:extLst>
                <a:ext uri="{FF2B5EF4-FFF2-40B4-BE49-F238E27FC236}">
                  <a16:creationId xmlns:a16="http://schemas.microsoft.com/office/drawing/2014/main" id="{9B05879E-F352-CB75-328C-7F5A896BC298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61" y="1288"/>
              <a:ext cx="0" cy="9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47" name="Rectangle 50" descr="밝은 수직선">
              <a:extLst>
                <a:ext uri="{FF2B5EF4-FFF2-40B4-BE49-F238E27FC236}">
                  <a16:creationId xmlns:a16="http://schemas.microsoft.com/office/drawing/2014/main" id="{169DE330-21B3-963D-260A-725E7825EEC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6" y="1219"/>
              <a:ext cx="237" cy="48"/>
            </a:xfrm>
            <a:prstGeom prst="rect">
              <a:avLst/>
            </a:prstGeom>
            <a:pattFill prst="ltVert">
              <a:fgClr>
                <a:srgbClr val="000000"/>
              </a:fgClr>
              <a:bgClr>
                <a:srgbClr val="FFFFFF"/>
              </a:bgClr>
            </a:patt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3148" name="Line 51">
              <a:extLst>
                <a:ext uri="{FF2B5EF4-FFF2-40B4-BE49-F238E27FC236}">
                  <a16:creationId xmlns:a16="http://schemas.microsoft.com/office/drawing/2014/main" id="{D48123EB-AE5E-085D-1E7C-3089F8BDD06B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26" y="1292"/>
              <a:ext cx="0" cy="4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49" name="Line 52">
              <a:extLst>
                <a:ext uri="{FF2B5EF4-FFF2-40B4-BE49-F238E27FC236}">
                  <a16:creationId xmlns:a16="http://schemas.microsoft.com/office/drawing/2014/main" id="{287897CD-A07E-58D3-3ADF-25EF50FDA36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26" y="1321"/>
              <a:ext cx="234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581" name="Text Box 53">
              <a:extLst>
                <a:ext uri="{FF2B5EF4-FFF2-40B4-BE49-F238E27FC236}">
                  <a16:creationId xmlns:a16="http://schemas.microsoft.com/office/drawing/2014/main" id="{A698075C-E55C-1835-3C4D-A77FDC7D41BF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36" y="1360"/>
              <a:ext cx="11" cy="2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27432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돋움"/>
                  <a:ea typeface="돋움"/>
                </a:rPr>
                <a:t>L</a:t>
              </a:r>
            </a:p>
          </xdr:txBody>
        </xdr:sp>
        <xdr:sp macro="" textlink="">
          <xdr:nvSpPr>
            <xdr:cNvPr id="22582" name="Text Box 54">
              <a:extLst>
                <a:ext uri="{FF2B5EF4-FFF2-40B4-BE49-F238E27FC236}">
                  <a16:creationId xmlns:a16="http://schemas.microsoft.com/office/drawing/2014/main" id="{05263CE1-A336-E018-A240-BF6CEF74026A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33" y="1294"/>
              <a:ext cx="11" cy="2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27432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돋움"/>
                  <a:ea typeface="돋움"/>
                </a:rPr>
                <a:t>b</a:t>
              </a:r>
            </a:p>
          </xdr:txBody>
        </xdr:sp>
        <xdr:sp macro="" textlink="">
          <xdr:nvSpPr>
            <xdr:cNvPr id="23152" name="Line 55">
              <a:extLst>
                <a:ext uri="{FF2B5EF4-FFF2-40B4-BE49-F238E27FC236}">
                  <a16:creationId xmlns:a16="http://schemas.microsoft.com/office/drawing/2014/main" id="{36BA8987-A0AA-2073-701E-A7DE4939E061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4" y="1321"/>
              <a:ext cx="16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584" name="Text Box 56">
              <a:extLst>
                <a:ext uri="{FF2B5EF4-FFF2-40B4-BE49-F238E27FC236}">
                  <a16:creationId xmlns:a16="http://schemas.microsoft.com/office/drawing/2014/main" id="{04B0B562-995C-978F-3EB4-0A437634F94B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39" y="1296"/>
              <a:ext cx="11" cy="2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27432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돋움"/>
                  <a:ea typeface="돋움"/>
                </a:rPr>
                <a:t>a</a:t>
              </a:r>
            </a:p>
          </xdr:txBody>
        </xdr:sp>
        <xdr:sp macro="" textlink="">
          <xdr:nvSpPr>
            <xdr:cNvPr id="22585" name="Text Box 57">
              <a:extLst>
                <a:ext uri="{FF2B5EF4-FFF2-40B4-BE49-F238E27FC236}">
                  <a16:creationId xmlns:a16="http://schemas.microsoft.com/office/drawing/2014/main" id="{89DDA0C8-5B8C-DA6D-BE45-D49A7D34F016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37" y="1195"/>
              <a:ext cx="11" cy="2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27432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돋움"/>
                  <a:ea typeface="돋움"/>
                </a:rPr>
                <a:t>q</a:t>
              </a:r>
            </a:p>
          </xdr:txBody>
        </xdr:sp>
        <xdr:sp macro="" textlink="">
          <xdr:nvSpPr>
            <xdr:cNvPr id="23155" name="Line 58">
              <a:extLst>
                <a:ext uri="{FF2B5EF4-FFF2-40B4-BE49-F238E27FC236}">
                  <a16:creationId xmlns:a16="http://schemas.microsoft.com/office/drawing/2014/main" id="{212DC7ED-6213-D1DF-4CE5-864FBC571A5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90" y="1238"/>
              <a:ext cx="0" cy="6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56" name="Line 59">
              <a:extLst>
                <a:ext uri="{FF2B5EF4-FFF2-40B4-BE49-F238E27FC236}">
                  <a16:creationId xmlns:a16="http://schemas.microsoft.com/office/drawing/2014/main" id="{C959CFAB-0341-1A5A-1F6D-DC72BD3C841A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90" y="1304"/>
              <a:ext cx="22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57" name="Line 60">
              <a:extLst>
                <a:ext uri="{FF2B5EF4-FFF2-40B4-BE49-F238E27FC236}">
                  <a16:creationId xmlns:a16="http://schemas.microsoft.com/office/drawing/2014/main" id="{270EA5A4-2DF9-3014-0658-1BE84ED90751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92" y="1238"/>
              <a:ext cx="22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589" name="Text Box 61">
              <a:extLst>
                <a:ext uri="{FF2B5EF4-FFF2-40B4-BE49-F238E27FC236}">
                  <a16:creationId xmlns:a16="http://schemas.microsoft.com/office/drawing/2014/main" id="{A80846F5-4752-D832-8F6F-5580B33A76BA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47" y="1208"/>
              <a:ext cx="41" cy="22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  <a:effectLst/>
          </xdr:spPr>
          <xdr:txBody>
            <a:bodyPr vertOverflow="clip" wrap="square" lIns="36576" tIns="18288" rIns="0" bIns="0" anchor="t" upright="1"/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돋움"/>
                  <a:ea typeface="돋움"/>
                </a:rPr>
                <a:t>SEC</a:t>
              </a:r>
            </a:p>
          </xdr:txBody>
        </xdr:sp>
      </xdr:grpSp>
      <xdr:grpSp>
        <xdr:nvGrpSpPr>
          <xdr:cNvPr id="23133" name="Group 74">
            <a:extLst>
              <a:ext uri="{FF2B5EF4-FFF2-40B4-BE49-F238E27FC236}">
                <a16:creationId xmlns:a16="http://schemas.microsoft.com/office/drawing/2014/main" id="{F5920FCF-2557-7F86-6F70-11CD2A462F57}"/>
              </a:ext>
            </a:extLst>
          </xdr:cNvPr>
          <xdr:cNvGrpSpPr>
            <a:grpSpLocks/>
          </xdr:cNvGrpSpPr>
        </xdr:nvGrpSpPr>
        <xdr:grpSpPr bwMode="auto">
          <a:xfrm>
            <a:off x="518" y="49"/>
            <a:ext cx="73" cy="189"/>
            <a:chOff x="518" y="49"/>
            <a:chExt cx="73" cy="189"/>
          </a:xfrm>
        </xdr:grpSpPr>
        <xdr:sp macro="" textlink="">
          <xdr:nvSpPr>
            <xdr:cNvPr id="22591" name="Text Box 63">
              <a:extLst>
                <a:ext uri="{FF2B5EF4-FFF2-40B4-BE49-F238E27FC236}">
                  <a16:creationId xmlns:a16="http://schemas.microsoft.com/office/drawing/2014/main" id="{640B8D8B-DE05-3E3A-EB47-F89393718FA3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18" y="49"/>
              <a:ext cx="41" cy="22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  <a:effectLst/>
          </xdr:spPr>
          <xdr:txBody>
            <a:bodyPr vertOverflow="clip" wrap="square" lIns="36576" tIns="18288" rIns="0" bIns="0" anchor="t" upright="1"/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돋움"/>
                  <a:ea typeface="돋움"/>
                </a:rPr>
                <a:t>SEC</a:t>
              </a:r>
            </a:p>
          </xdr:txBody>
        </xdr:sp>
        <xdr:sp macro="" textlink="">
          <xdr:nvSpPr>
            <xdr:cNvPr id="23135" name="Rectangle 64">
              <a:extLst>
                <a:ext uri="{FF2B5EF4-FFF2-40B4-BE49-F238E27FC236}">
                  <a16:creationId xmlns:a16="http://schemas.microsoft.com/office/drawing/2014/main" id="{AAA2C948-12DD-193F-FEF5-67E728F4E629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7" y="79"/>
              <a:ext cx="23" cy="12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3136" name="Line 65">
              <a:extLst>
                <a:ext uri="{FF2B5EF4-FFF2-40B4-BE49-F238E27FC236}">
                  <a16:creationId xmlns:a16="http://schemas.microsoft.com/office/drawing/2014/main" id="{F8541B3C-FD27-B493-63D5-0AEC329BC921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60" y="80"/>
              <a:ext cx="2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37" name="Line 66">
              <a:extLst>
                <a:ext uri="{FF2B5EF4-FFF2-40B4-BE49-F238E27FC236}">
                  <a16:creationId xmlns:a16="http://schemas.microsoft.com/office/drawing/2014/main" id="{9245D669-194D-7FCC-999D-0BE7B2FBEFC7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63" y="199"/>
              <a:ext cx="2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38" name="Line 67">
              <a:extLst>
                <a:ext uri="{FF2B5EF4-FFF2-40B4-BE49-F238E27FC236}">
                  <a16:creationId xmlns:a16="http://schemas.microsoft.com/office/drawing/2014/main" id="{9D459FEE-BD1B-B392-6B11-C87DFF261B8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74" y="80"/>
              <a:ext cx="0" cy="11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39" name="Line 69">
              <a:extLst>
                <a:ext uri="{FF2B5EF4-FFF2-40B4-BE49-F238E27FC236}">
                  <a16:creationId xmlns:a16="http://schemas.microsoft.com/office/drawing/2014/main" id="{5C34B0FC-89A7-6CC0-E8D0-5E731A53051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28" y="209"/>
              <a:ext cx="0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40" name="Line 70">
              <a:extLst>
                <a:ext uri="{FF2B5EF4-FFF2-40B4-BE49-F238E27FC236}">
                  <a16:creationId xmlns:a16="http://schemas.microsoft.com/office/drawing/2014/main" id="{DE6F8914-3811-E783-2CF8-58118086E29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9" y="210"/>
              <a:ext cx="0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141" name="Line 71">
              <a:extLst>
                <a:ext uri="{FF2B5EF4-FFF2-40B4-BE49-F238E27FC236}">
                  <a16:creationId xmlns:a16="http://schemas.microsoft.com/office/drawing/2014/main" id="{1E028ED3-EB69-8F9E-DB33-1B561339AE4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29" y="222"/>
              <a:ext cx="2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6</xdr:col>
      <xdr:colOff>733425</xdr:colOff>
      <xdr:row>16</xdr:row>
      <xdr:rowOff>152400</xdr:rowOff>
    </xdr:from>
    <xdr:to>
      <xdr:col>14</xdr:col>
      <xdr:colOff>0</xdr:colOff>
      <xdr:row>35</xdr:row>
      <xdr:rowOff>95250</xdr:rowOff>
    </xdr:to>
    <xdr:graphicFrame macro="">
      <xdr:nvGraphicFramePr>
        <xdr:cNvPr id="23089" name="Chart 73">
          <a:extLst>
            <a:ext uri="{FF2B5EF4-FFF2-40B4-BE49-F238E27FC236}">
              <a16:creationId xmlns:a16="http://schemas.microsoft.com/office/drawing/2014/main" id="{9514746F-31C6-8895-78E2-6245C24CA6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695325</xdr:colOff>
      <xdr:row>36</xdr:row>
      <xdr:rowOff>161925</xdr:rowOff>
    </xdr:from>
    <xdr:to>
      <xdr:col>5</xdr:col>
      <xdr:colOff>704850</xdr:colOff>
      <xdr:row>49</xdr:row>
      <xdr:rowOff>9525</xdr:rowOff>
    </xdr:to>
    <xdr:grpSp>
      <xdr:nvGrpSpPr>
        <xdr:cNvPr id="23090" name="Group 87">
          <a:extLst>
            <a:ext uri="{FF2B5EF4-FFF2-40B4-BE49-F238E27FC236}">
              <a16:creationId xmlns:a16="http://schemas.microsoft.com/office/drawing/2014/main" id="{C5B47E71-9E01-9BF1-F02B-EF54A67E21C1}"/>
            </a:ext>
          </a:extLst>
        </xdr:cNvPr>
        <xdr:cNvGrpSpPr>
          <a:grpSpLocks/>
        </xdr:cNvGrpSpPr>
      </xdr:nvGrpSpPr>
      <xdr:grpSpPr bwMode="auto">
        <a:xfrm>
          <a:off x="695325" y="6334125"/>
          <a:ext cx="3771900" cy="2076450"/>
          <a:chOff x="73" y="665"/>
          <a:chExt cx="396" cy="218"/>
        </a:xfrm>
      </xdr:grpSpPr>
      <xdr:sp macro="" textlink="">
        <xdr:nvSpPr>
          <xdr:cNvPr id="23121" name="Line 76">
            <a:extLst>
              <a:ext uri="{FF2B5EF4-FFF2-40B4-BE49-F238E27FC236}">
                <a16:creationId xmlns:a16="http://schemas.microsoft.com/office/drawing/2014/main" id="{BAD6947B-D813-BD7E-44AA-6AD06E3775F5}"/>
              </a:ext>
            </a:extLst>
          </xdr:cNvPr>
          <xdr:cNvSpPr>
            <a:spLocks noChangeShapeType="1"/>
          </xdr:cNvSpPr>
        </xdr:nvSpPr>
        <xdr:spPr bwMode="auto">
          <a:xfrm flipV="1">
            <a:off x="83" y="744"/>
            <a:ext cx="377" cy="0"/>
          </a:xfrm>
          <a:prstGeom prst="line">
            <a:avLst/>
          </a:prstGeom>
          <a:noFill/>
          <a:ln w="381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22" name="AutoShape 77">
            <a:extLst>
              <a:ext uri="{FF2B5EF4-FFF2-40B4-BE49-F238E27FC236}">
                <a16:creationId xmlns:a16="http://schemas.microsoft.com/office/drawing/2014/main" id="{DB7CE687-9E3D-0C48-A16D-96DE3D1D6DB0}"/>
              </a:ext>
            </a:extLst>
          </xdr:cNvPr>
          <xdr:cNvSpPr>
            <a:spLocks noChangeArrowheads="1"/>
          </xdr:cNvSpPr>
        </xdr:nvSpPr>
        <xdr:spPr bwMode="auto">
          <a:xfrm>
            <a:off x="73" y="744"/>
            <a:ext cx="23" cy="27"/>
          </a:xfrm>
          <a:prstGeom prst="triangle">
            <a:avLst>
              <a:gd name="adj" fmla="val 50000"/>
            </a:avLst>
          </a:prstGeom>
          <a:solidFill>
            <a:srgbClr val="00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123" name="AutoShape 78">
            <a:extLst>
              <a:ext uri="{FF2B5EF4-FFF2-40B4-BE49-F238E27FC236}">
                <a16:creationId xmlns:a16="http://schemas.microsoft.com/office/drawing/2014/main" id="{621CE754-3197-FCF8-EF4C-003088AB0CEA}"/>
              </a:ext>
            </a:extLst>
          </xdr:cNvPr>
          <xdr:cNvSpPr>
            <a:spLocks noChangeArrowheads="1"/>
          </xdr:cNvSpPr>
        </xdr:nvSpPr>
        <xdr:spPr bwMode="auto">
          <a:xfrm>
            <a:off x="446" y="744"/>
            <a:ext cx="23" cy="27"/>
          </a:xfrm>
          <a:prstGeom prst="triangle">
            <a:avLst>
              <a:gd name="adj" fmla="val 50000"/>
            </a:avLst>
          </a:prstGeom>
          <a:solidFill>
            <a:srgbClr val="00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124" name="Line 79">
            <a:extLst>
              <a:ext uri="{FF2B5EF4-FFF2-40B4-BE49-F238E27FC236}">
                <a16:creationId xmlns:a16="http://schemas.microsoft.com/office/drawing/2014/main" id="{E5666E98-FFF5-6D7F-AA6C-6C9393E7FC2C}"/>
              </a:ext>
            </a:extLst>
          </xdr:cNvPr>
          <xdr:cNvSpPr>
            <a:spLocks noChangeShapeType="1"/>
          </xdr:cNvSpPr>
        </xdr:nvSpPr>
        <xdr:spPr bwMode="auto">
          <a:xfrm>
            <a:off x="286" y="665"/>
            <a:ext cx="0" cy="7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25" name="Line 80">
            <a:extLst>
              <a:ext uri="{FF2B5EF4-FFF2-40B4-BE49-F238E27FC236}">
                <a16:creationId xmlns:a16="http://schemas.microsoft.com/office/drawing/2014/main" id="{A9EE1DC9-3DAB-ED79-FAE1-315C9F258918}"/>
              </a:ext>
            </a:extLst>
          </xdr:cNvPr>
          <xdr:cNvSpPr>
            <a:spLocks noChangeShapeType="1"/>
          </xdr:cNvSpPr>
        </xdr:nvSpPr>
        <xdr:spPr bwMode="auto">
          <a:xfrm flipH="1">
            <a:off x="82" y="777"/>
            <a:ext cx="0" cy="10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26" name="Line 81">
            <a:extLst>
              <a:ext uri="{FF2B5EF4-FFF2-40B4-BE49-F238E27FC236}">
                <a16:creationId xmlns:a16="http://schemas.microsoft.com/office/drawing/2014/main" id="{53992EFE-CFEC-63BB-86C2-0BB7046D42B6}"/>
              </a:ext>
            </a:extLst>
          </xdr:cNvPr>
          <xdr:cNvSpPr>
            <a:spLocks noChangeShapeType="1"/>
          </xdr:cNvSpPr>
        </xdr:nvSpPr>
        <xdr:spPr bwMode="auto">
          <a:xfrm>
            <a:off x="286" y="766"/>
            <a:ext cx="0" cy="5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27" name="Line 82">
            <a:extLst>
              <a:ext uri="{FF2B5EF4-FFF2-40B4-BE49-F238E27FC236}">
                <a16:creationId xmlns:a16="http://schemas.microsoft.com/office/drawing/2014/main" id="{9B8C738E-EEF5-FA5F-201E-F659D0E3700F}"/>
              </a:ext>
            </a:extLst>
          </xdr:cNvPr>
          <xdr:cNvSpPr>
            <a:spLocks noChangeShapeType="1"/>
          </xdr:cNvSpPr>
        </xdr:nvSpPr>
        <xdr:spPr bwMode="auto">
          <a:xfrm>
            <a:off x="455" y="776"/>
            <a:ext cx="0" cy="6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28" name="Line 83">
            <a:extLst>
              <a:ext uri="{FF2B5EF4-FFF2-40B4-BE49-F238E27FC236}">
                <a16:creationId xmlns:a16="http://schemas.microsoft.com/office/drawing/2014/main" id="{BE7F21F9-D28D-F9E9-BFC0-DD0B4B5838D4}"/>
              </a:ext>
            </a:extLst>
          </xdr:cNvPr>
          <xdr:cNvSpPr>
            <a:spLocks noChangeShapeType="1"/>
          </xdr:cNvSpPr>
        </xdr:nvSpPr>
        <xdr:spPr bwMode="auto">
          <a:xfrm>
            <a:off x="82" y="796"/>
            <a:ext cx="20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29" name="Line 84">
            <a:extLst>
              <a:ext uri="{FF2B5EF4-FFF2-40B4-BE49-F238E27FC236}">
                <a16:creationId xmlns:a16="http://schemas.microsoft.com/office/drawing/2014/main" id="{8A26E486-D12E-AC43-D0F2-CA0A89E86A23}"/>
              </a:ext>
            </a:extLst>
          </xdr:cNvPr>
          <xdr:cNvSpPr>
            <a:spLocks noChangeShapeType="1"/>
          </xdr:cNvSpPr>
        </xdr:nvSpPr>
        <xdr:spPr bwMode="auto">
          <a:xfrm>
            <a:off x="286" y="796"/>
            <a:ext cx="1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0" name="Line 85">
            <a:extLst>
              <a:ext uri="{FF2B5EF4-FFF2-40B4-BE49-F238E27FC236}">
                <a16:creationId xmlns:a16="http://schemas.microsoft.com/office/drawing/2014/main" id="{3B748352-2218-B6D5-EDA4-103C25461CA9}"/>
              </a:ext>
            </a:extLst>
          </xdr:cNvPr>
          <xdr:cNvSpPr>
            <a:spLocks noChangeShapeType="1"/>
          </xdr:cNvSpPr>
        </xdr:nvSpPr>
        <xdr:spPr bwMode="auto">
          <a:xfrm>
            <a:off x="82" y="825"/>
            <a:ext cx="37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1" name="Line 86">
            <a:extLst>
              <a:ext uri="{FF2B5EF4-FFF2-40B4-BE49-F238E27FC236}">
                <a16:creationId xmlns:a16="http://schemas.microsoft.com/office/drawing/2014/main" id="{ADF724AB-41C8-CA83-89ED-4A63DD0C4AE2}"/>
              </a:ext>
            </a:extLst>
          </xdr:cNvPr>
          <xdr:cNvSpPr>
            <a:spLocks noChangeShapeType="1"/>
          </xdr:cNvSpPr>
        </xdr:nvSpPr>
        <xdr:spPr bwMode="auto">
          <a:xfrm>
            <a:off x="83" y="866"/>
            <a:ext cx="19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742950</xdr:colOff>
      <xdr:row>71</xdr:row>
      <xdr:rowOff>114300</xdr:rowOff>
    </xdr:from>
    <xdr:to>
      <xdr:col>8</xdr:col>
      <xdr:colOff>428625</xdr:colOff>
      <xdr:row>87</xdr:row>
      <xdr:rowOff>133350</xdr:rowOff>
    </xdr:to>
    <xdr:graphicFrame macro="">
      <xdr:nvGraphicFramePr>
        <xdr:cNvPr id="23091" name="Chart 90">
          <a:extLst>
            <a:ext uri="{FF2B5EF4-FFF2-40B4-BE49-F238E27FC236}">
              <a16:creationId xmlns:a16="http://schemas.microsoft.com/office/drawing/2014/main" id="{D603FF03-3948-D39E-6F96-B32FB9269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514350</xdr:colOff>
      <xdr:row>38</xdr:row>
      <xdr:rowOff>95250</xdr:rowOff>
    </xdr:from>
    <xdr:to>
      <xdr:col>7</xdr:col>
      <xdr:colOff>457200</xdr:colOff>
      <xdr:row>49</xdr:row>
      <xdr:rowOff>9525</xdr:rowOff>
    </xdr:to>
    <xdr:grpSp>
      <xdr:nvGrpSpPr>
        <xdr:cNvPr id="23092" name="Group 91">
          <a:extLst>
            <a:ext uri="{FF2B5EF4-FFF2-40B4-BE49-F238E27FC236}">
              <a16:creationId xmlns:a16="http://schemas.microsoft.com/office/drawing/2014/main" id="{EECD4FA1-4E0A-BDE5-503A-F0DCD1AD82BA}"/>
            </a:ext>
          </a:extLst>
        </xdr:cNvPr>
        <xdr:cNvGrpSpPr>
          <a:grpSpLocks/>
        </xdr:cNvGrpSpPr>
      </xdr:nvGrpSpPr>
      <xdr:grpSpPr bwMode="auto">
        <a:xfrm>
          <a:off x="5029200" y="6610350"/>
          <a:ext cx="695325" cy="1800225"/>
          <a:chOff x="518" y="49"/>
          <a:chExt cx="73" cy="189"/>
        </a:xfrm>
      </xdr:grpSpPr>
      <xdr:sp macro="" textlink="">
        <xdr:nvSpPr>
          <xdr:cNvPr id="22620" name="Text Box 92">
            <a:extLst>
              <a:ext uri="{FF2B5EF4-FFF2-40B4-BE49-F238E27FC236}">
                <a16:creationId xmlns:a16="http://schemas.microsoft.com/office/drawing/2014/main" id="{D70E69E3-FF8A-0B36-F84B-0EDA4694BC0B}"/>
              </a:ext>
            </a:extLst>
          </xdr:cNvPr>
          <xdr:cNvSpPr txBox="1">
            <a:spLocks noChangeArrowheads="1"/>
          </xdr:cNvSpPr>
        </xdr:nvSpPr>
        <xdr:spPr bwMode="auto">
          <a:xfrm>
            <a:off x="518" y="49"/>
            <a:ext cx="41" cy="22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36576" tIns="18288" rIns="0" bIns="0" anchor="t" upright="1"/>
          <a:lstStyle/>
          <a:p>
            <a:pPr algn="l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돋움"/>
                <a:ea typeface="돋움"/>
              </a:rPr>
              <a:t>SEC</a:t>
            </a:r>
          </a:p>
        </xdr:txBody>
      </xdr:sp>
      <xdr:sp macro="" textlink="">
        <xdr:nvSpPr>
          <xdr:cNvPr id="23114" name="Rectangle 93">
            <a:extLst>
              <a:ext uri="{FF2B5EF4-FFF2-40B4-BE49-F238E27FC236}">
                <a16:creationId xmlns:a16="http://schemas.microsoft.com/office/drawing/2014/main" id="{EFAA7C30-A509-FA8F-7FD1-A64708BFB7F1}"/>
              </a:ext>
            </a:extLst>
          </xdr:cNvPr>
          <xdr:cNvSpPr>
            <a:spLocks noChangeArrowheads="1"/>
          </xdr:cNvSpPr>
        </xdr:nvSpPr>
        <xdr:spPr bwMode="auto">
          <a:xfrm>
            <a:off x="527" y="79"/>
            <a:ext cx="23" cy="12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115" name="Line 94">
            <a:extLst>
              <a:ext uri="{FF2B5EF4-FFF2-40B4-BE49-F238E27FC236}">
                <a16:creationId xmlns:a16="http://schemas.microsoft.com/office/drawing/2014/main" id="{74E71F2C-3E33-9A15-7096-69EDEDFDDFA2}"/>
              </a:ext>
            </a:extLst>
          </xdr:cNvPr>
          <xdr:cNvSpPr>
            <a:spLocks noChangeShapeType="1"/>
          </xdr:cNvSpPr>
        </xdr:nvSpPr>
        <xdr:spPr bwMode="auto">
          <a:xfrm>
            <a:off x="560" y="80"/>
            <a:ext cx="2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16" name="Line 95">
            <a:extLst>
              <a:ext uri="{FF2B5EF4-FFF2-40B4-BE49-F238E27FC236}">
                <a16:creationId xmlns:a16="http://schemas.microsoft.com/office/drawing/2014/main" id="{7878EFA9-7E3F-AE5A-50AD-10407CEC84A5}"/>
              </a:ext>
            </a:extLst>
          </xdr:cNvPr>
          <xdr:cNvSpPr>
            <a:spLocks noChangeShapeType="1"/>
          </xdr:cNvSpPr>
        </xdr:nvSpPr>
        <xdr:spPr bwMode="auto">
          <a:xfrm>
            <a:off x="563" y="199"/>
            <a:ext cx="2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17" name="Line 96">
            <a:extLst>
              <a:ext uri="{FF2B5EF4-FFF2-40B4-BE49-F238E27FC236}">
                <a16:creationId xmlns:a16="http://schemas.microsoft.com/office/drawing/2014/main" id="{B07ADABC-EA02-9C69-B529-D55AF3F37B4B}"/>
              </a:ext>
            </a:extLst>
          </xdr:cNvPr>
          <xdr:cNvSpPr>
            <a:spLocks noChangeShapeType="1"/>
          </xdr:cNvSpPr>
        </xdr:nvSpPr>
        <xdr:spPr bwMode="auto">
          <a:xfrm>
            <a:off x="574" y="80"/>
            <a:ext cx="0" cy="11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18" name="Line 97">
            <a:extLst>
              <a:ext uri="{FF2B5EF4-FFF2-40B4-BE49-F238E27FC236}">
                <a16:creationId xmlns:a16="http://schemas.microsoft.com/office/drawing/2014/main" id="{946CB90B-CF3D-967C-B266-3C31EFCE2E1A}"/>
              </a:ext>
            </a:extLst>
          </xdr:cNvPr>
          <xdr:cNvSpPr>
            <a:spLocks noChangeShapeType="1"/>
          </xdr:cNvSpPr>
        </xdr:nvSpPr>
        <xdr:spPr bwMode="auto">
          <a:xfrm>
            <a:off x="528" y="209"/>
            <a:ext cx="0" cy="2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19" name="Line 98">
            <a:extLst>
              <a:ext uri="{FF2B5EF4-FFF2-40B4-BE49-F238E27FC236}">
                <a16:creationId xmlns:a16="http://schemas.microsoft.com/office/drawing/2014/main" id="{0C4530C6-75CB-D46A-28CB-7A5FA6B8471E}"/>
              </a:ext>
            </a:extLst>
          </xdr:cNvPr>
          <xdr:cNvSpPr>
            <a:spLocks noChangeShapeType="1"/>
          </xdr:cNvSpPr>
        </xdr:nvSpPr>
        <xdr:spPr bwMode="auto">
          <a:xfrm>
            <a:off x="549" y="210"/>
            <a:ext cx="0" cy="2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20" name="Line 99">
            <a:extLst>
              <a:ext uri="{FF2B5EF4-FFF2-40B4-BE49-F238E27FC236}">
                <a16:creationId xmlns:a16="http://schemas.microsoft.com/office/drawing/2014/main" id="{9642D032-87F1-EFA8-044A-8BFE2A70C761}"/>
              </a:ext>
            </a:extLst>
          </xdr:cNvPr>
          <xdr:cNvSpPr>
            <a:spLocks noChangeShapeType="1"/>
          </xdr:cNvSpPr>
        </xdr:nvSpPr>
        <xdr:spPr bwMode="auto">
          <a:xfrm>
            <a:off x="529" y="222"/>
            <a:ext cx="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66675</xdr:colOff>
      <xdr:row>96</xdr:row>
      <xdr:rowOff>95250</xdr:rowOff>
    </xdr:from>
    <xdr:to>
      <xdr:col>1</xdr:col>
      <xdr:colOff>485775</xdr:colOff>
      <xdr:row>104</xdr:row>
      <xdr:rowOff>142875</xdr:rowOff>
    </xdr:to>
    <xdr:sp macro="" textlink="">
      <xdr:nvSpPr>
        <xdr:cNvPr id="23093" name="Rectangle 104">
          <a:extLst>
            <a:ext uri="{FF2B5EF4-FFF2-40B4-BE49-F238E27FC236}">
              <a16:creationId xmlns:a16="http://schemas.microsoft.com/office/drawing/2014/main" id="{150A5B16-7046-A176-6FD6-DF2D63A9172F}"/>
            </a:ext>
          </a:extLst>
        </xdr:cNvPr>
        <xdr:cNvSpPr>
          <a:spLocks noChangeArrowheads="1"/>
        </xdr:cNvSpPr>
      </xdr:nvSpPr>
      <xdr:spPr bwMode="auto">
        <a:xfrm>
          <a:off x="819150" y="16554450"/>
          <a:ext cx="419100" cy="1419225"/>
        </a:xfrm>
        <a:prstGeom prst="rect">
          <a:avLst/>
        </a:prstGeom>
        <a:solidFill>
          <a:srgbClr val="808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485775</xdr:colOff>
      <xdr:row>98</xdr:row>
      <xdr:rowOff>76200</xdr:rowOff>
    </xdr:from>
    <xdr:to>
      <xdr:col>6</xdr:col>
      <xdr:colOff>523875</xdr:colOff>
      <xdr:row>99</xdr:row>
      <xdr:rowOff>76200</xdr:rowOff>
    </xdr:to>
    <xdr:sp macro="" textlink="">
      <xdr:nvSpPr>
        <xdr:cNvPr id="23094" name="Rectangle 105">
          <a:extLst>
            <a:ext uri="{FF2B5EF4-FFF2-40B4-BE49-F238E27FC236}">
              <a16:creationId xmlns:a16="http://schemas.microsoft.com/office/drawing/2014/main" id="{A02C6D16-0958-30DD-F61A-3080DB16D045}"/>
            </a:ext>
          </a:extLst>
        </xdr:cNvPr>
        <xdr:cNvSpPr>
          <a:spLocks noChangeArrowheads="1"/>
        </xdr:cNvSpPr>
      </xdr:nvSpPr>
      <xdr:spPr bwMode="auto">
        <a:xfrm>
          <a:off x="1238250" y="16878300"/>
          <a:ext cx="3800475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485775</xdr:colOff>
      <xdr:row>102</xdr:row>
      <xdr:rowOff>9525</xdr:rowOff>
    </xdr:from>
    <xdr:to>
      <xdr:col>1</xdr:col>
      <xdr:colOff>485775</xdr:colOff>
      <xdr:row>104</xdr:row>
      <xdr:rowOff>142875</xdr:rowOff>
    </xdr:to>
    <xdr:sp macro="" textlink="">
      <xdr:nvSpPr>
        <xdr:cNvPr id="23095" name="Line 106">
          <a:extLst>
            <a:ext uri="{FF2B5EF4-FFF2-40B4-BE49-F238E27FC236}">
              <a16:creationId xmlns:a16="http://schemas.microsoft.com/office/drawing/2014/main" id="{EBB33589-4D21-1DFF-4C0B-94AC318102BB}"/>
            </a:ext>
          </a:extLst>
        </xdr:cNvPr>
        <xdr:cNvSpPr>
          <a:spLocks noChangeShapeType="1"/>
        </xdr:cNvSpPr>
      </xdr:nvSpPr>
      <xdr:spPr bwMode="auto">
        <a:xfrm>
          <a:off x="1238250" y="17497425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495300</xdr:colOff>
      <xdr:row>103</xdr:row>
      <xdr:rowOff>76200</xdr:rowOff>
    </xdr:from>
    <xdr:to>
      <xdr:col>6</xdr:col>
      <xdr:colOff>495300</xdr:colOff>
      <xdr:row>103</xdr:row>
      <xdr:rowOff>76200</xdr:rowOff>
    </xdr:to>
    <xdr:sp macro="" textlink="">
      <xdr:nvSpPr>
        <xdr:cNvPr id="23096" name="Line 107">
          <a:extLst>
            <a:ext uri="{FF2B5EF4-FFF2-40B4-BE49-F238E27FC236}">
              <a16:creationId xmlns:a16="http://schemas.microsoft.com/office/drawing/2014/main" id="{555F9274-3A58-A3F4-3151-E7247A02982C}"/>
            </a:ext>
          </a:extLst>
        </xdr:cNvPr>
        <xdr:cNvSpPr>
          <a:spLocks noChangeShapeType="1"/>
        </xdr:cNvSpPr>
      </xdr:nvSpPr>
      <xdr:spPr bwMode="auto">
        <a:xfrm>
          <a:off x="1247775" y="17735550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504825</xdr:colOff>
      <xdr:row>99</xdr:row>
      <xdr:rowOff>104775</xdr:rowOff>
    </xdr:from>
    <xdr:to>
      <xdr:col>6</xdr:col>
      <xdr:colOff>504825</xdr:colOff>
      <xdr:row>104</xdr:row>
      <xdr:rowOff>114300</xdr:rowOff>
    </xdr:to>
    <xdr:sp macro="" textlink="">
      <xdr:nvSpPr>
        <xdr:cNvPr id="23097" name="Line 108">
          <a:extLst>
            <a:ext uri="{FF2B5EF4-FFF2-40B4-BE49-F238E27FC236}">
              <a16:creationId xmlns:a16="http://schemas.microsoft.com/office/drawing/2014/main" id="{F3A18D16-4EF7-F38D-568A-3770E1EC8B7C}"/>
            </a:ext>
          </a:extLst>
        </xdr:cNvPr>
        <xdr:cNvSpPr>
          <a:spLocks noChangeShapeType="1"/>
        </xdr:cNvSpPr>
      </xdr:nvSpPr>
      <xdr:spPr bwMode="auto">
        <a:xfrm flipH="1">
          <a:off x="5019675" y="17078325"/>
          <a:ext cx="0" cy="866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485775</xdr:colOff>
      <xdr:row>95</xdr:row>
      <xdr:rowOff>133350</xdr:rowOff>
    </xdr:from>
    <xdr:to>
      <xdr:col>6</xdr:col>
      <xdr:colOff>523875</xdr:colOff>
      <xdr:row>98</xdr:row>
      <xdr:rowOff>76200</xdr:rowOff>
    </xdr:to>
    <xdr:sp macro="" textlink="">
      <xdr:nvSpPr>
        <xdr:cNvPr id="23098" name="Rectangle 109" descr="밝은 수직선">
          <a:extLst>
            <a:ext uri="{FF2B5EF4-FFF2-40B4-BE49-F238E27FC236}">
              <a16:creationId xmlns:a16="http://schemas.microsoft.com/office/drawing/2014/main" id="{75039B35-43A4-C53C-D6BC-D2A35E6C964F}"/>
            </a:ext>
          </a:extLst>
        </xdr:cNvPr>
        <xdr:cNvSpPr>
          <a:spLocks noChangeArrowheads="1"/>
        </xdr:cNvSpPr>
      </xdr:nvSpPr>
      <xdr:spPr bwMode="auto">
        <a:xfrm>
          <a:off x="1238250" y="16421100"/>
          <a:ext cx="3800475" cy="457200"/>
        </a:xfrm>
        <a:prstGeom prst="rect">
          <a:avLst/>
        </a:prstGeom>
        <a:pattFill prst="ltVert">
          <a:fgClr>
            <a:srgbClr val="000000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523875</xdr:colOff>
      <xdr:row>101</xdr:row>
      <xdr:rowOff>76200</xdr:rowOff>
    </xdr:from>
    <xdr:to>
      <xdr:col>6</xdr:col>
      <xdr:colOff>495300</xdr:colOff>
      <xdr:row>101</xdr:row>
      <xdr:rowOff>76200</xdr:rowOff>
    </xdr:to>
    <xdr:sp macro="" textlink="">
      <xdr:nvSpPr>
        <xdr:cNvPr id="23099" name="Line 111">
          <a:extLst>
            <a:ext uri="{FF2B5EF4-FFF2-40B4-BE49-F238E27FC236}">
              <a16:creationId xmlns:a16="http://schemas.microsoft.com/office/drawing/2014/main" id="{C06F2B69-C226-5818-A353-DFFC30D91563}"/>
            </a:ext>
          </a:extLst>
        </xdr:cNvPr>
        <xdr:cNvSpPr>
          <a:spLocks noChangeShapeType="1"/>
        </xdr:cNvSpPr>
      </xdr:nvSpPr>
      <xdr:spPr bwMode="auto">
        <a:xfrm>
          <a:off x="2781300" y="17392650"/>
          <a:ext cx="2228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3</xdr:col>
      <xdr:colOff>619125</xdr:colOff>
      <xdr:row>103</xdr:row>
      <xdr:rowOff>104775</xdr:rowOff>
    </xdr:from>
    <xdr:ext cx="104003" cy="201850"/>
    <xdr:sp macro="" textlink="">
      <xdr:nvSpPr>
        <xdr:cNvPr id="22640" name="Text Box 112">
          <a:extLst>
            <a:ext uri="{FF2B5EF4-FFF2-40B4-BE49-F238E27FC236}">
              <a16:creationId xmlns:a16="http://schemas.microsoft.com/office/drawing/2014/main" id="{2B9C4204-D614-2F2B-D0F5-1C2B3623BC68}"/>
            </a:ext>
          </a:extLst>
        </xdr:cNvPr>
        <xdr:cNvSpPr txBox="1">
          <a:spLocks noChangeArrowheads="1"/>
        </xdr:cNvSpPr>
      </xdr:nvSpPr>
      <xdr:spPr bwMode="auto">
        <a:xfrm>
          <a:off x="2876550" y="17764125"/>
          <a:ext cx="104003" cy="2018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wrap="none" lIns="27432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돋움"/>
              <a:ea typeface="돋움"/>
            </a:rPr>
            <a:t>L</a:t>
          </a:r>
        </a:p>
      </xdr:txBody>
    </xdr:sp>
    <xdr:clientData/>
  </xdr:oneCellAnchor>
  <xdr:oneCellAnchor>
    <xdr:from>
      <xdr:col>5</xdr:col>
      <xdr:colOff>38100</xdr:colOff>
      <xdr:row>99</xdr:row>
      <xdr:rowOff>161925</xdr:rowOff>
    </xdr:from>
    <xdr:ext cx="95219" cy="201850"/>
    <xdr:sp macro="" textlink="">
      <xdr:nvSpPr>
        <xdr:cNvPr id="22641" name="Text Box 113">
          <a:extLst>
            <a:ext uri="{FF2B5EF4-FFF2-40B4-BE49-F238E27FC236}">
              <a16:creationId xmlns:a16="http://schemas.microsoft.com/office/drawing/2014/main" id="{2F62F28D-7D4C-78BF-6A17-D5BE21562EE9}"/>
            </a:ext>
          </a:extLst>
        </xdr:cNvPr>
        <xdr:cNvSpPr txBox="1">
          <a:spLocks noChangeArrowheads="1"/>
        </xdr:cNvSpPr>
      </xdr:nvSpPr>
      <xdr:spPr bwMode="auto">
        <a:xfrm>
          <a:off x="3800475" y="17135475"/>
          <a:ext cx="95219" cy="2018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wrap="none" lIns="27432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돋움"/>
              <a:ea typeface="돋움"/>
            </a:rPr>
            <a:t>x</a:t>
          </a:r>
        </a:p>
      </xdr:txBody>
    </xdr:sp>
    <xdr:clientData/>
  </xdr:oneCellAnchor>
  <xdr:oneCellAnchor>
    <xdr:from>
      <xdr:col>3</xdr:col>
      <xdr:colOff>733425</xdr:colOff>
      <xdr:row>94</xdr:row>
      <xdr:rowOff>76200</xdr:rowOff>
    </xdr:from>
    <xdr:ext cx="112851" cy="201850"/>
    <xdr:sp macro="" textlink="">
      <xdr:nvSpPr>
        <xdr:cNvPr id="22644" name="Text Box 116">
          <a:extLst>
            <a:ext uri="{FF2B5EF4-FFF2-40B4-BE49-F238E27FC236}">
              <a16:creationId xmlns:a16="http://schemas.microsoft.com/office/drawing/2014/main" id="{3C523236-AF5D-E462-0B48-D3ADCC2A8CC2}"/>
            </a:ext>
          </a:extLst>
        </xdr:cNvPr>
        <xdr:cNvSpPr txBox="1">
          <a:spLocks noChangeArrowheads="1"/>
        </xdr:cNvSpPr>
      </xdr:nvSpPr>
      <xdr:spPr bwMode="auto">
        <a:xfrm>
          <a:off x="2990850" y="16192500"/>
          <a:ext cx="112851" cy="2018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wrap="none" lIns="27432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돋움"/>
              <a:ea typeface="돋움"/>
            </a:rPr>
            <a:t>q</a:t>
          </a:r>
        </a:p>
      </xdr:txBody>
    </xdr:sp>
    <xdr:clientData/>
  </xdr:oneCellAnchor>
  <xdr:twoCellAnchor>
    <xdr:from>
      <xdr:col>7</xdr:col>
      <xdr:colOff>295275</xdr:colOff>
      <xdr:row>94</xdr:row>
      <xdr:rowOff>57150</xdr:rowOff>
    </xdr:from>
    <xdr:to>
      <xdr:col>8</xdr:col>
      <xdr:colOff>238125</xdr:colOff>
      <xdr:row>104</xdr:row>
      <xdr:rowOff>142875</xdr:rowOff>
    </xdr:to>
    <xdr:grpSp>
      <xdr:nvGrpSpPr>
        <xdr:cNvPr id="23103" name="Group 121">
          <a:extLst>
            <a:ext uri="{FF2B5EF4-FFF2-40B4-BE49-F238E27FC236}">
              <a16:creationId xmlns:a16="http://schemas.microsoft.com/office/drawing/2014/main" id="{30C48A39-482C-65AC-874E-B73997F5F2FA}"/>
            </a:ext>
          </a:extLst>
        </xdr:cNvPr>
        <xdr:cNvGrpSpPr>
          <a:grpSpLocks/>
        </xdr:cNvGrpSpPr>
      </xdr:nvGrpSpPr>
      <xdr:grpSpPr bwMode="auto">
        <a:xfrm>
          <a:off x="5562600" y="16173450"/>
          <a:ext cx="695325" cy="1800225"/>
          <a:chOff x="518" y="49"/>
          <a:chExt cx="73" cy="189"/>
        </a:xfrm>
      </xdr:grpSpPr>
      <xdr:sp macro="" textlink="">
        <xdr:nvSpPr>
          <xdr:cNvPr id="22650" name="Text Box 122">
            <a:extLst>
              <a:ext uri="{FF2B5EF4-FFF2-40B4-BE49-F238E27FC236}">
                <a16:creationId xmlns:a16="http://schemas.microsoft.com/office/drawing/2014/main" id="{A8908F78-2B6D-E340-D6C2-D7318D73F0B8}"/>
              </a:ext>
            </a:extLst>
          </xdr:cNvPr>
          <xdr:cNvSpPr txBox="1">
            <a:spLocks noChangeArrowheads="1"/>
          </xdr:cNvSpPr>
        </xdr:nvSpPr>
        <xdr:spPr bwMode="auto">
          <a:xfrm>
            <a:off x="518" y="49"/>
            <a:ext cx="41" cy="22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36576" tIns="18288" rIns="0" bIns="0" anchor="t" upright="1"/>
          <a:lstStyle/>
          <a:p>
            <a:pPr algn="l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돋움"/>
                <a:ea typeface="돋움"/>
              </a:rPr>
              <a:t>SEC</a:t>
            </a:r>
          </a:p>
        </xdr:txBody>
      </xdr:sp>
      <xdr:sp macro="" textlink="">
        <xdr:nvSpPr>
          <xdr:cNvPr id="23106" name="Rectangle 123">
            <a:extLst>
              <a:ext uri="{FF2B5EF4-FFF2-40B4-BE49-F238E27FC236}">
                <a16:creationId xmlns:a16="http://schemas.microsoft.com/office/drawing/2014/main" id="{A99D667C-4EB1-04BD-00F9-520A035CE554}"/>
              </a:ext>
            </a:extLst>
          </xdr:cNvPr>
          <xdr:cNvSpPr>
            <a:spLocks noChangeArrowheads="1"/>
          </xdr:cNvSpPr>
        </xdr:nvSpPr>
        <xdr:spPr bwMode="auto">
          <a:xfrm>
            <a:off x="527" y="79"/>
            <a:ext cx="23" cy="12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107" name="Line 124">
            <a:extLst>
              <a:ext uri="{FF2B5EF4-FFF2-40B4-BE49-F238E27FC236}">
                <a16:creationId xmlns:a16="http://schemas.microsoft.com/office/drawing/2014/main" id="{D09E91C2-1F2E-9E04-1FE4-22EB0D3F0DE1}"/>
              </a:ext>
            </a:extLst>
          </xdr:cNvPr>
          <xdr:cNvSpPr>
            <a:spLocks noChangeShapeType="1"/>
          </xdr:cNvSpPr>
        </xdr:nvSpPr>
        <xdr:spPr bwMode="auto">
          <a:xfrm>
            <a:off x="560" y="80"/>
            <a:ext cx="2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08" name="Line 125">
            <a:extLst>
              <a:ext uri="{FF2B5EF4-FFF2-40B4-BE49-F238E27FC236}">
                <a16:creationId xmlns:a16="http://schemas.microsoft.com/office/drawing/2014/main" id="{0D291040-2469-DD6D-1EC5-2C721EC467FE}"/>
              </a:ext>
            </a:extLst>
          </xdr:cNvPr>
          <xdr:cNvSpPr>
            <a:spLocks noChangeShapeType="1"/>
          </xdr:cNvSpPr>
        </xdr:nvSpPr>
        <xdr:spPr bwMode="auto">
          <a:xfrm>
            <a:off x="563" y="199"/>
            <a:ext cx="2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09" name="Line 126">
            <a:extLst>
              <a:ext uri="{FF2B5EF4-FFF2-40B4-BE49-F238E27FC236}">
                <a16:creationId xmlns:a16="http://schemas.microsoft.com/office/drawing/2014/main" id="{E9A16C3C-B959-136C-EE77-FAD946283912}"/>
              </a:ext>
            </a:extLst>
          </xdr:cNvPr>
          <xdr:cNvSpPr>
            <a:spLocks noChangeShapeType="1"/>
          </xdr:cNvSpPr>
        </xdr:nvSpPr>
        <xdr:spPr bwMode="auto">
          <a:xfrm>
            <a:off x="574" y="80"/>
            <a:ext cx="0" cy="11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10" name="Line 127">
            <a:extLst>
              <a:ext uri="{FF2B5EF4-FFF2-40B4-BE49-F238E27FC236}">
                <a16:creationId xmlns:a16="http://schemas.microsoft.com/office/drawing/2014/main" id="{E91919C4-87E3-3BA9-3FBA-97A6DE4998A1}"/>
              </a:ext>
            </a:extLst>
          </xdr:cNvPr>
          <xdr:cNvSpPr>
            <a:spLocks noChangeShapeType="1"/>
          </xdr:cNvSpPr>
        </xdr:nvSpPr>
        <xdr:spPr bwMode="auto">
          <a:xfrm>
            <a:off x="528" y="209"/>
            <a:ext cx="0" cy="2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11" name="Line 128">
            <a:extLst>
              <a:ext uri="{FF2B5EF4-FFF2-40B4-BE49-F238E27FC236}">
                <a16:creationId xmlns:a16="http://schemas.microsoft.com/office/drawing/2014/main" id="{920D1919-D584-405A-CD05-40968B8EC507}"/>
              </a:ext>
            </a:extLst>
          </xdr:cNvPr>
          <xdr:cNvSpPr>
            <a:spLocks noChangeShapeType="1"/>
          </xdr:cNvSpPr>
        </xdr:nvSpPr>
        <xdr:spPr bwMode="auto">
          <a:xfrm>
            <a:off x="549" y="210"/>
            <a:ext cx="0" cy="2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12" name="Line 129">
            <a:extLst>
              <a:ext uri="{FF2B5EF4-FFF2-40B4-BE49-F238E27FC236}">
                <a16:creationId xmlns:a16="http://schemas.microsoft.com/office/drawing/2014/main" id="{F82B9B81-A401-77C7-21A8-42C339876AA3}"/>
              </a:ext>
            </a:extLst>
          </xdr:cNvPr>
          <xdr:cNvSpPr>
            <a:spLocks noChangeShapeType="1"/>
          </xdr:cNvSpPr>
        </xdr:nvSpPr>
        <xdr:spPr bwMode="auto">
          <a:xfrm>
            <a:off x="529" y="222"/>
            <a:ext cx="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619125</xdr:colOff>
      <xdr:row>135</xdr:row>
      <xdr:rowOff>28575</xdr:rowOff>
    </xdr:from>
    <xdr:to>
      <xdr:col>9</xdr:col>
      <xdr:colOff>628650</xdr:colOff>
      <xdr:row>153</xdr:row>
      <xdr:rowOff>95250</xdr:rowOff>
    </xdr:to>
    <xdr:graphicFrame macro="">
      <xdr:nvGraphicFramePr>
        <xdr:cNvPr id="23104" name="Chart 133">
          <a:extLst>
            <a:ext uri="{FF2B5EF4-FFF2-40B4-BE49-F238E27FC236}">
              <a16:creationId xmlns:a16="http://schemas.microsoft.com/office/drawing/2014/main" id="{E80C3FB7-9AD1-7E88-6CAF-3BD2B4CB7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49</xdr:row>
          <xdr:rowOff>152400</xdr:rowOff>
        </xdr:from>
        <xdr:to>
          <xdr:col>4</xdr:col>
          <xdr:colOff>352425</xdr:colOff>
          <xdr:row>52</xdr:row>
          <xdr:rowOff>38100</xdr:rowOff>
        </xdr:to>
        <xdr:sp macro="" textlink="">
          <xdr:nvSpPr>
            <xdr:cNvPr id="22616" name="Object 88" hidden="1">
              <a:extLst>
                <a:ext uri="{63B3BB69-23CF-44E3-9099-C40C66FF867C}">
                  <a14:compatExt spid="_x0000_s22616"/>
                </a:ext>
                <a:ext uri="{FF2B5EF4-FFF2-40B4-BE49-F238E27FC236}">
                  <a16:creationId xmlns:a16="http://schemas.microsoft.com/office/drawing/2014/main" id="{A494F34C-0A73-BDD3-D3D5-C3CE4284D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107</xdr:row>
          <xdr:rowOff>0</xdr:rowOff>
        </xdr:from>
        <xdr:to>
          <xdr:col>3</xdr:col>
          <xdr:colOff>638175</xdr:colOff>
          <xdr:row>109</xdr:row>
          <xdr:rowOff>161925</xdr:rowOff>
        </xdr:to>
        <xdr:sp macro="" textlink="">
          <xdr:nvSpPr>
            <xdr:cNvPr id="22630" name="Object 102" hidden="1">
              <a:extLst>
                <a:ext uri="{63B3BB69-23CF-44E3-9099-C40C66FF867C}">
                  <a14:compatExt spid="_x0000_s22630"/>
                </a:ext>
                <a:ext uri="{FF2B5EF4-FFF2-40B4-BE49-F238E27FC236}">
                  <a16:creationId xmlns:a16="http://schemas.microsoft.com/office/drawing/2014/main" id="{36C69F01-809F-6540-7EEB-62AFE4EDD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15</xdr:row>
          <xdr:rowOff>19050</xdr:rowOff>
        </xdr:from>
        <xdr:to>
          <xdr:col>3</xdr:col>
          <xdr:colOff>85725</xdr:colOff>
          <xdr:row>17</xdr:row>
          <xdr:rowOff>133350</xdr:rowOff>
        </xdr:to>
        <xdr:sp macro="" textlink="">
          <xdr:nvSpPr>
            <xdr:cNvPr id="22571" name="Object 43" hidden="1">
              <a:extLst>
                <a:ext uri="{63B3BB69-23CF-44E3-9099-C40C66FF867C}">
                  <a14:compatExt spid="_x0000_s22571"/>
                </a:ext>
                <a:ext uri="{FF2B5EF4-FFF2-40B4-BE49-F238E27FC236}">
                  <a16:creationId xmlns:a16="http://schemas.microsoft.com/office/drawing/2014/main" id="{11531AA5-0775-31A4-BF1E-40DDCDAF2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47625</xdr:rowOff>
    </xdr:from>
    <xdr:to>
      <xdr:col>9</xdr:col>
      <xdr:colOff>457200</xdr:colOff>
      <xdr:row>19</xdr:row>
      <xdr:rowOff>104775</xdr:rowOff>
    </xdr:to>
    <xdr:grpSp>
      <xdr:nvGrpSpPr>
        <xdr:cNvPr id="242726" name="Group 80">
          <a:extLst>
            <a:ext uri="{FF2B5EF4-FFF2-40B4-BE49-F238E27FC236}">
              <a16:creationId xmlns:a16="http://schemas.microsoft.com/office/drawing/2014/main" id="{065D5204-90E0-41A3-70B8-5B95C8C7B8AA}"/>
            </a:ext>
          </a:extLst>
        </xdr:cNvPr>
        <xdr:cNvGrpSpPr>
          <a:grpSpLocks/>
        </xdr:cNvGrpSpPr>
      </xdr:nvGrpSpPr>
      <xdr:grpSpPr bwMode="auto">
        <a:xfrm>
          <a:off x="57150" y="381000"/>
          <a:ext cx="5114925" cy="2971800"/>
          <a:chOff x="48" y="54"/>
          <a:chExt cx="537" cy="329"/>
        </a:xfrm>
      </xdr:grpSpPr>
      <xdr:grpSp>
        <xdr:nvGrpSpPr>
          <xdr:cNvPr id="242821" name="Group 1">
            <a:extLst>
              <a:ext uri="{FF2B5EF4-FFF2-40B4-BE49-F238E27FC236}">
                <a16:creationId xmlns:a16="http://schemas.microsoft.com/office/drawing/2014/main" id="{4CEA9782-C03C-24FF-4723-881537F99B7E}"/>
              </a:ext>
            </a:extLst>
          </xdr:cNvPr>
          <xdr:cNvGrpSpPr>
            <a:grpSpLocks/>
          </xdr:cNvGrpSpPr>
        </xdr:nvGrpSpPr>
        <xdr:grpSpPr bwMode="auto">
          <a:xfrm>
            <a:off x="48" y="54"/>
            <a:ext cx="537" cy="329"/>
            <a:chOff x="95" y="54"/>
            <a:chExt cx="537" cy="329"/>
          </a:xfrm>
        </xdr:grpSpPr>
        <xdr:sp macro="" textlink="">
          <xdr:nvSpPr>
            <xdr:cNvPr id="242826" name="Rectangle 2">
              <a:extLst>
                <a:ext uri="{FF2B5EF4-FFF2-40B4-BE49-F238E27FC236}">
                  <a16:creationId xmlns:a16="http://schemas.microsoft.com/office/drawing/2014/main" id="{3A9BED2B-E8B5-9A1B-0B61-86BA67B0B66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827" name="Rectangle 3">
              <a:extLst>
                <a:ext uri="{FF2B5EF4-FFF2-40B4-BE49-F238E27FC236}">
                  <a16:creationId xmlns:a16="http://schemas.microsoft.com/office/drawing/2014/main" id="{91A20327-386D-820C-3707-D82151355875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4" y="252"/>
              <a:ext cx="63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828" name="Rectangle 4">
              <a:extLst>
                <a:ext uri="{FF2B5EF4-FFF2-40B4-BE49-F238E27FC236}">
                  <a16:creationId xmlns:a16="http://schemas.microsoft.com/office/drawing/2014/main" id="{A1DC582D-8840-57B9-3D38-45CC2F6EAC46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7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829" name="Rectangle 5">
              <a:extLst>
                <a:ext uri="{FF2B5EF4-FFF2-40B4-BE49-F238E27FC236}">
                  <a16:creationId xmlns:a16="http://schemas.microsoft.com/office/drawing/2014/main" id="{ACE7BDEF-128D-6AC4-008C-5D850C6671F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6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830" name="Rectangle 6">
              <a:extLst>
                <a:ext uri="{FF2B5EF4-FFF2-40B4-BE49-F238E27FC236}">
                  <a16:creationId xmlns:a16="http://schemas.microsoft.com/office/drawing/2014/main" id="{6BA5B13E-8775-41AB-A828-BA9ED0993AA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5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831" name="Rectangle 7">
              <a:extLst>
                <a:ext uri="{FF2B5EF4-FFF2-40B4-BE49-F238E27FC236}">
                  <a16:creationId xmlns:a16="http://schemas.microsoft.com/office/drawing/2014/main" id="{CDDA3CFE-488B-8423-9138-65B41011475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74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832" name="Rectangle 8">
              <a:extLst>
                <a:ext uri="{FF2B5EF4-FFF2-40B4-BE49-F238E27FC236}">
                  <a16:creationId xmlns:a16="http://schemas.microsoft.com/office/drawing/2014/main" id="{2C36D19A-733D-F4C3-0C1B-5FA781BCCF8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53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833" name="Rectangle 9">
              <a:extLst>
                <a:ext uri="{FF2B5EF4-FFF2-40B4-BE49-F238E27FC236}">
                  <a16:creationId xmlns:a16="http://schemas.microsoft.com/office/drawing/2014/main" id="{FB6EE79F-1F3B-D557-9785-1A57131981A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9" y="54"/>
              <a:ext cx="18" cy="19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834" name="AutoShape 10">
              <a:extLst>
                <a:ext uri="{FF2B5EF4-FFF2-40B4-BE49-F238E27FC236}">
                  <a16:creationId xmlns:a16="http://schemas.microsoft.com/office/drawing/2014/main" id="{D9A02AC9-F7AD-0EBE-70BC-5846E2FFCCD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7" y="234"/>
              <a:ext cx="16" cy="18"/>
            </a:xfrm>
            <a:prstGeom prst="rtTriangle">
              <a:avLst/>
            </a:prstGeom>
            <a:solidFill>
              <a:srgbClr val="00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835" name="Line 11">
              <a:extLst>
                <a:ext uri="{FF2B5EF4-FFF2-40B4-BE49-F238E27FC236}">
                  <a16:creationId xmlns:a16="http://schemas.microsoft.com/office/drawing/2014/main" id="{638A5097-14FC-6EA9-B9BD-8A8260F7326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7" y="252"/>
              <a:ext cx="0" cy="5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36" name="Line 12">
              <a:extLst>
                <a:ext uri="{FF2B5EF4-FFF2-40B4-BE49-F238E27FC236}">
                  <a16:creationId xmlns:a16="http://schemas.microsoft.com/office/drawing/2014/main" id="{BC48316F-DB2B-B83A-866F-2F99CD18A26F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6" y="252"/>
              <a:ext cx="0" cy="7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37" name="Line 13">
              <a:extLst>
                <a:ext uri="{FF2B5EF4-FFF2-40B4-BE49-F238E27FC236}">
                  <a16:creationId xmlns:a16="http://schemas.microsoft.com/office/drawing/2014/main" id="{84EB850D-2228-0811-986B-306BF8A0C1A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35" y="252"/>
              <a:ext cx="0" cy="9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38" name="Line 14">
              <a:extLst>
                <a:ext uri="{FF2B5EF4-FFF2-40B4-BE49-F238E27FC236}">
                  <a16:creationId xmlns:a16="http://schemas.microsoft.com/office/drawing/2014/main" id="{5C06D8E8-8FB4-9375-491B-8DFF6274AAE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14" y="252"/>
              <a:ext cx="0" cy="1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39" name="Line 15">
              <a:extLst>
                <a:ext uri="{FF2B5EF4-FFF2-40B4-BE49-F238E27FC236}">
                  <a16:creationId xmlns:a16="http://schemas.microsoft.com/office/drawing/2014/main" id="{E989BF6E-E1B0-385A-8AC9-BCF1B2AEA80F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9" y="301"/>
              <a:ext cx="3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40" name="Line 16">
              <a:extLst>
                <a:ext uri="{FF2B5EF4-FFF2-40B4-BE49-F238E27FC236}">
                  <a16:creationId xmlns:a16="http://schemas.microsoft.com/office/drawing/2014/main" id="{8E329EBF-EDB8-5850-5EA8-9EAF7C0A357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6" y="324"/>
              <a:ext cx="12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41" name="Line 17">
              <a:extLst>
                <a:ext uri="{FF2B5EF4-FFF2-40B4-BE49-F238E27FC236}">
                  <a16:creationId xmlns:a16="http://schemas.microsoft.com/office/drawing/2014/main" id="{BFC17337-2861-7E02-2B40-39EF123896A7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6" y="342"/>
              <a:ext cx="19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42" name="Line 18">
              <a:extLst>
                <a:ext uri="{FF2B5EF4-FFF2-40B4-BE49-F238E27FC236}">
                  <a16:creationId xmlns:a16="http://schemas.microsoft.com/office/drawing/2014/main" id="{3D1BE8A9-F9C7-25E7-50B0-89A05665902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7" y="361"/>
              <a:ext cx="27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43" name="Line 19">
              <a:extLst>
                <a:ext uri="{FF2B5EF4-FFF2-40B4-BE49-F238E27FC236}">
                  <a16:creationId xmlns:a16="http://schemas.microsoft.com/office/drawing/2014/main" id="{14F76DCC-971C-173D-FF49-F069FE3EBA9B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7" y="269"/>
              <a:ext cx="0" cy="9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1524" name="Text Box 20">
              <a:extLst>
                <a:ext uri="{FF2B5EF4-FFF2-40B4-BE49-F238E27FC236}">
                  <a16:creationId xmlns:a16="http://schemas.microsoft.com/office/drawing/2014/main" id="{E38144FD-FEE3-BA63-FCD4-D4E954679691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4" y="287"/>
              <a:ext cx="18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x1</a:t>
              </a:r>
            </a:p>
          </xdr:txBody>
        </xdr:sp>
        <xdr:sp macro="" textlink="">
          <xdr:nvSpPr>
            <xdr:cNvPr id="21525" name="Text Box 21">
              <a:extLst>
                <a:ext uri="{FF2B5EF4-FFF2-40B4-BE49-F238E27FC236}">
                  <a16:creationId xmlns:a16="http://schemas.microsoft.com/office/drawing/2014/main" id="{B88C792C-AFC7-68B5-FDE5-C9F599031C73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68" y="320"/>
              <a:ext cx="18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x2</a:t>
              </a:r>
            </a:p>
          </xdr:txBody>
        </xdr:sp>
        <xdr:sp macro="" textlink="">
          <xdr:nvSpPr>
            <xdr:cNvPr id="21526" name="Text Box 22">
              <a:extLst>
                <a:ext uri="{FF2B5EF4-FFF2-40B4-BE49-F238E27FC236}">
                  <a16:creationId xmlns:a16="http://schemas.microsoft.com/office/drawing/2014/main" id="{D4276D06-DC1B-7C07-C7E0-2B84AFB07F8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47" y="339"/>
              <a:ext cx="18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x3</a:t>
              </a:r>
            </a:p>
          </xdr:txBody>
        </xdr:sp>
        <xdr:sp macro="" textlink="">
          <xdr:nvSpPr>
            <xdr:cNvPr id="21527" name="Text Box 23">
              <a:extLst>
                <a:ext uri="{FF2B5EF4-FFF2-40B4-BE49-F238E27FC236}">
                  <a16:creationId xmlns:a16="http://schemas.microsoft.com/office/drawing/2014/main" id="{7226DF2D-BC13-CBA6-2BA3-B07B0C041DAF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31" y="359"/>
              <a:ext cx="18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x4</a:t>
              </a:r>
            </a:p>
          </xdr:txBody>
        </xdr:sp>
        <xdr:sp macro="" textlink="">
          <xdr:nvSpPr>
            <xdr:cNvPr id="242848" name="Line 24">
              <a:extLst>
                <a:ext uri="{FF2B5EF4-FFF2-40B4-BE49-F238E27FC236}">
                  <a16:creationId xmlns:a16="http://schemas.microsoft.com/office/drawing/2014/main" id="{F3AD18F0-030A-A33E-3BD0-3A1FA8728158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292" y="136"/>
              <a:ext cx="0" cy="11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49" name="Line 25">
              <a:extLst>
                <a:ext uri="{FF2B5EF4-FFF2-40B4-BE49-F238E27FC236}">
                  <a16:creationId xmlns:a16="http://schemas.microsoft.com/office/drawing/2014/main" id="{249D97F0-8A84-45AE-B3C0-AE3F88B4A567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67" y="187"/>
              <a:ext cx="0" cy="6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50" name="Line 26">
              <a:extLst>
                <a:ext uri="{FF2B5EF4-FFF2-40B4-BE49-F238E27FC236}">
                  <a16:creationId xmlns:a16="http://schemas.microsoft.com/office/drawing/2014/main" id="{4DC176DA-01F8-65EF-322D-51859D6983EB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254" y="59"/>
              <a:ext cx="0" cy="19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51" name="Freeform 27">
              <a:extLst>
                <a:ext uri="{FF2B5EF4-FFF2-40B4-BE49-F238E27FC236}">
                  <a16:creationId xmlns:a16="http://schemas.microsoft.com/office/drawing/2014/main" id="{B8B72A26-2ACD-AFCA-5D40-D4581D7659EC}"/>
                </a:ext>
              </a:extLst>
            </xdr:cNvPr>
            <xdr:cNvSpPr>
              <a:spLocks/>
            </xdr:cNvSpPr>
          </xdr:nvSpPr>
          <xdr:spPr bwMode="auto">
            <a:xfrm>
              <a:off x="254" y="66"/>
              <a:ext cx="282" cy="157"/>
            </a:xfrm>
            <a:custGeom>
              <a:avLst/>
              <a:gdLst>
                <a:gd name="T0" fmla="*/ 0 w 282"/>
                <a:gd name="T1" fmla="*/ 0 h 157"/>
                <a:gd name="T2" fmla="*/ 33 w 282"/>
                <a:gd name="T3" fmla="*/ 65 h 157"/>
                <a:gd name="T4" fmla="*/ 111 w 282"/>
                <a:gd name="T5" fmla="*/ 120 h 157"/>
                <a:gd name="T6" fmla="*/ 282 w 282"/>
                <a:gd name="T7" fmla="*/ 157 h 157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282"/>
                <a:gd name="T13" fmla="*/ 0 h 157"/>
                <a:gd name="T14" fmla="*/ 282 w 282"/>
                <a:gd name="T15" fmla="*/ 157 h 157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82" h="157">
                  <a:moveTo>
                    <a:pt x="0" y="0"/>
                  </a:moveTo>
                  <a:cubicBezTo>
                    <a:pt x="5" y="11"/>
                    <a:pt x="15" y="45"/>
                    <a:pt x="33" y="65"/>
                  </a:cubicBezTo>
                  <a:cubicBezTo>
                    <a:pt x="51" y="85"/>
                    <a:pt x="70" y="105"/>
                    <a:pt x="111" y="120"/>
                  </a:cubicBezTo>
                  <a:cubicBezTo>
                    <a:pt x="152" y="135"/>
                    <a:pt x="247" y="149"/>
                    <a:pt x="282" y="157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242852" name="Line 28">
              <a:extLst>
                <a:ext uri="{FF2B5EF4-FFF2-40B4-BE49-F238E27FC236}">
                  <a16:creationId xmlns:a16="http://schemas.microsoft.com/office/drawing/2014/main" id="{C2011065-E79A-1CCE-6A2E-2743D2F9B54B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254" y="111"/>
              <a:ext cx="113" cy="7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53" name="Line 29">
              <a:extLst>
                <a:ext uri="{FF2B5EF4-FFF2-40B4-BE49-F238E27FC236}">
                  <a16:creationId xmlns:a16="http://schemas.microsoft.com/office/drawing/2014/main" id="{93CED680-88F2-E77B-4425-A01167CF8755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85" y="111"/>
              <a:ext cx="6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54" name="Line 30">
              <a:extLst>
                <a:ext uri="{FF2B5EF4-FFF2-40B4-BE49-F238E27FC236}">
                  <a16:creationId xmlns:a16="http://schemas.microsoft.com/office/drawing/2014/main" id="{FB6219E2-710F-431D-3589-CAFED2EFE75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93" y="111"/>
              <a:ext cx="0" cy="14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1535" name="Text Box 31">
              <a:extLst>
                <a:ext uri="{FF2B5EF4-FFF2-40B4-BE49-F238E27FC236}">
                  <a16:creationId xmlns:a16="http://schemas.microsoft.com/office/drawing/2014/main" id="{06F0B482-D071-F1FA-172C-3D78B565F1C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8" y="175"/>
              <a:ext cx="29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Symbol"/>
                </a:rPr>
                <a:t>s</a:t>
              </a: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hot</a:t>
              </a:r>
            </a:p>
          </xdr:txBody>
        </xdr:sp>
        <xdr:sp macro="" textlink="">
          <xdr:nvSpPr>
            <xdr:cNvPr id="242856" name="Line 32">
              <a:extLst>
                <a:ext uri="{FF2B5EF4-FFF2-40B4-BE49-F238E27FC236}">
                  <a16:creationId xmlns:a16="http://schemas.microsoft.com/office/drawing/2014/main" id="{26B6AF07-405B-A7BA-61D0-1E452CF7485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4" y="221"/>
              <a:ext cx="3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57" name="Line 33">
              <a:extLst>
                <a:ext uri="{FF2B5EF4-FFF2-40B4-BE49-F238E27FC236}">
                  <a16:creationId xmlns:a16="http://schemas.microsoft.com/office/drawing/2014/main" id="{82E488FD-4F7B-781B-5CC2-56627436B56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4" y="198"/>
              <a:ext cx="11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1538" name="Text Box 34">
              <a:extLst>
                <a:ext uri="{FF2B5EF4-FFF2-40B4-BE49-F238E27FC236}">
                  <a16:creationId xmlns:a16="http://schemas.microsoft.com/office/drawing/2014/main" id="{4AA6B897-D39C-A8DA-755D-FBFF59EDB76E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16" y="210"/>
              <a:ext cx="24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0.5t</a:t>
              </a:r>
            </a:p>
          </xdr:txBody>
        </xdr:sp>
        <xdr:sp macro="" textlink="">
          <xdr:nvSpPr>
            <xdr:cNvPr id="21539" name="Text Box 35">
              <a:extLst>
                <a:ext uri="{FF2B5EF4-FFF2-40B4-BE49-F238E27FC236}">
                  <a16:creationId xmlns:a16="http://schemas.microsoft.com/office/drawing/2014/main" id="{8EECDE35-3319-392F-3FC7-43A293087309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16" y="185"/>
              <a:ext cx="24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1.5t</a:t>
              </a:r>
            </a:p>
          </xdr:txBody>
        </xdr:sp>
        <xdr:sp macro="" textlink="">
          <xdr:nvSpPr>
            <xdr:cNvPr id="242860" name="Line 36">
              <a:extLst>
                <a:ext uri="{FF2B5EF4-FFF2-40B4-BE49-F238E27FC236}">
                  <a16:creationId xmlns:a16="http://schemas.microsoft.com/office/drawing/2014/main" id="{F9C6265F-A23B-F160-26E5-B8B517F1472E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23" y="67"/>
              <a:ext cx="13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861" name="Line 37">
              <a:extLst>
                <a:ext uri="{FF2B5EF4-FFF2-40B4-BE49-F238E27FC236}">
                  <a16:creationId xmlns:a16="http://schemas.microsoft.com/office/drawing/2014/main" id="{C4A3EFF0-C015-12F1-A453-136DBD12F14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34" y="67"/>
              <a:ext cx="0" cy="18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1542" name="Text Box 38">
              <a:extLst>
                <a:ext uri="{FF2B5EF4-FFF2-40B4-BE49-F238E27FC236}">
                  <a16:creationId xmlns:a16="http://schemas.microsoft.com/office/drawing/2014/main" id="{BEC7F251-6A9E-2783-CB55-27DE6DD0AEE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" y="165"/>
              <a:ext cx="29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Symbol"/>
                </a:rPr>
                <a:t>s</a:t>
              </a: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not</a:t>
              </a:r>
            </a:p>
          </xdr:txBody>
        </xdr:sp>
        <xdr:sp macro="" textlink="">
          <xdr:nvSpPr>
            <xdr:cNvPr id="242863" name="Line 39">
              <a:extLst>
                <a:ext uri="{FF2B5EF4-FFF2-40B4-BE49-F238E27FC236}">
                  <a16:creationId xmlns:a16="http://schemas.microsoft.com/office/drawing/2014/main" id="{5BFD32DA-92BC-134A-29F7-7C7A42FD7391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17" y="301"/>
              <a:ext cx="2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42822" name="Oval 75">
            <a:extLst>
              <a:ext uri="{FF2B5EF4-FFF2-40B4-BE49-F238E27FC236}">
                <a16:creationId xmlns:a16="http://schemas.microsoft.com/office/drawing/2014/main" id="{6D5F2182-C5D6-48C1-D683-CDC642E3A576}"/>
              </a:ext>
            </a:extLst>
          </xdr:cNvPr>
          <xdr:cNvSpPr>
            <a:spLocks noChangeArrowheads="1"/>
          </xdr:cNvSpPr>
        </xdr:nvSpPr>
        <xdr:spPr bwMode="auto">
          <a:xfrm>
            <a:off x="226" y="248"/>
            <a:ext cx="8" cy="8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2823" name="Oval 76">
            <a:extLst>
              <a:ext uri="{FF2B5EF4-FFF2-40B4-BE49-F238E27FC236}">
                <a16:creationId xmlns:a16="http://schemas.microsoft.com/office/drawing/2014/main" id="{AD4A0B82-19BB-AE26-903B-FC431EFA3B08}"/>
              </a:ext>
            </a:extLst>
          </xdr:cNvPr>
          <xdr:cNvSpPr>
            <a:spLocks noChangeArrowheads="1"/>
          </xdr:cNvSpPr>
        </xdr:nvSpPr>
        <xdr:spPr bwMode="auto">
          <a:xfrm>
            <a:off x="305" y="248"/>
            <a:ext cx="8" cy="8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2824" name="Oval 77">
            <a:extLst>
              <a:ext uri="{FF2B5EF4-FFF2-40B4-BE49-F238E27FC236}">
                <a16:creationId xmlns:a16="http://schemas.microsoft.com/office/drawing/2014/main" id="{A188CADA-4372-F291-2EA5-F8804906F733}"/>
              </a:ext>
            </a:extLst>
          </xdr:cNvPr>
          <xdr:cNvSpPr>
            <a:spLocks noChangeArrowheads="1"/>
          </xdr:cNvSpPr>
        </xdr:nvSpPr>
        <xdr:spPr bwMode="auto">
          <a:xfrm>
            <a:off x="384" y="248"/>
            <a:ext cx="8" cy="8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2825" name="Oval 78">
            <a:extLst>
              <a:ext uri="{FF2B5EF4-FFF2-40B4-BE49-F238E27FC236}">
                <a16:creationId xmlns:a16="http://schemas.microsoft.com/office/drawing/2014/main" id="{765F0507-08A1-E536-BEA8-448D3CD0BDE0}"/>
              </a:ext>
            </a:extLst>
          </xdr:cNvPr>
          <xdr:cNvSpPr>
            <a:spLocks noChangeArrowheads="1"/>
          </xdr:cNvSpPr>
        </xdr:nvSpPr>
        <xdr:spPr bwMode="auto">
          <a:xfrm>
            <a:off x="463" y="248"/>
            <a:ext cx="8" cy="8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23</xdr:row>
      <xdr:rowOff>47625</xdr:rowOff>
    </xdr:from>
    <xdr:to>
      <xdr:col>18</xdr:col>
      <xdr:colOff>571500</xdr:colOff>
      <xdr:row>39</xdr:row>
      <xdr:rowOff>38100</xdr:rowOff>
    </xdr:to>
    <xdr:grpSp>
      <xdr:nvGrpSpPr>
        <xdr:cNvPr id="242727" name="Group 126">
          <a:extLst>
            <a:ext uri="{FF2B5EF4-FFF2-40B4-BE49-F238E27FC236}">
              <a16:creationId xmlns:a16="http://schemas.microsoft.com/office/drawing/2014/main" id="{D8179AD3-5306-E9A5-DBD6-15BE0132AF14}"/>
            </a:ext>
          </a:extLst>
        </xdr:cNvPr>
        <xdr:cNvGrpSpPr>
          <a:grpSpLocks/>
        </xdr:cNvGrpSpPr>
      </xdr:nvGrpSpPr>
      <xdr:grpSpPr bwMode="auto">
        <a:xfrm>
          <a:off x="6267450" y="3952875"/>
          <a:ext cx="5086350" cy="2867025"/>
          <a:chOff x="705" y="415"/>
          <a:chExt cx="537" cy="301"/>
        </a:xfrm>
      </xdr:grpSpPr>
      <xdr:sp macro="" textlink="">
        <xdr:nvSpPr>
          <xdr:cNvPr id="242779" name="Rectangle 84">
            <a:extLst>
              <a:ext uri="{FF2B5EF4-FFF2-40B4-BE49-F238E27FC236}">
                <a16:creationId xmlns:a16="http://schemas.microsoft.com/office/drawing/2014/main" id="{4E2AB260-34FA-8C6A-715D-5E81E76AB919}"/>
              </a:ext>
            </a:extLst>
          </xdr:cNvPr>
          <xdr:cNvSpPr>
            <a:spLocks noChangeArrowheads="1"/>
          </xdr:cNvSpPr>
        </xdr:nvSpPr>
        <xdr:spPr bwMode="auto">
          <a:xfrm>
            <a:off x="705" y="602"/>
            <a:ext cx="79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80" name="Rectangle 85">
            <a:extLst>
              <a:ext uri="{FF2B5EF4-FFF2-40B4-BE49-F238E27FC236}">
                <a16:creationId xmlns:a16="http://schemas.microsoft.com/office/drawing/2014/main" id="{DFA9F61B-6499-C3DC-BEA4-B475E879D37D}"/>
              </a:ext>
            </a:extLst>
          </xdr:cNvPr>
          <xdr:cNvSpPr>
            <a:spLocks noChangeArrowheads="1"/>
          </xdr:cNvSpPr>
        </xdr:nvSpPr>
        <xdr:spPr bwMode="auto">
          <a:xfrm>
            <a:off x="784" y="602"/>
            <a:ext cx="63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81" name="Rectangle 86">
            <a:extLst>
              <a:ext uri="{FF2B5EF4-FFF2-40B4-BE49-F238E27FC236}">
                <a16:creationId xmlns:a16="http://schemas.microsoft.com/office/drawing/2014/main" id="{C765ED0B-C406-8092-EB86-1D1C500DB43B}"/>
              </a:ext>
            </a:extLst>
          </xdr:cNvPr>
          <xdr:cNvSpPr>
            <a:spLocks noChangeArrowheads="1"/>
          </xdr:cNvSpPr>
        </xdr:nvSpPr>
        <xdr:spPr bwMode="auto">
          <a:xfrm>
            <a:off x="847" y="602"/>
            <a:ext cx="79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82" name="Rectangle 87">
            <a:extLst>
              <a:ext uri="{FF2B5EF4-FFF2-40B4-BE49-F238E27FC236}">
                <a16:creationId xmlns:a16="http://schemas.microsoft.com/office/drawing/2014/main" id="{B0D1837A-8FCE-8297-9EDF-9EA015145D2A}"/>
              </a:ext>
            </a:extLst>
          </xdr:cNvPr>
          <xdr:cNvSpPr>
            <a:spLocks noChangeArrowheads="1"/>
          </xdr:cNvSpPr>
        </xdr:nvSpPr>
        <xdr:spPr bwMode="auto">
          <a:xfrm>
            <a:off x="926" y="602"/>
            <a:ext cx="79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83" name="Rectangle 88">
            <a:extLst>
              <a:ext uri="{FF2B5EF4-FFF2-40B4-BE49-F238E27FC236}">
                <a16:creationId xmlns:a16="http://schemas.microsoft.com/office/drawing/2014/main" id="{2A8F92AA-267F-DAAF-655C-9DFC4298A7FF}"/>
              </a:ext>
            </a:extLst>
          </xdr:cNvPr>
          <xdr:cNvSpPr>
            <a:spLocks noChangeArrowheads="1"/>
          </xdr:cNvSpPr>
        </xdr:nvSpPr>
        <xdr:spPr bwMode="auto">
          <a:xfrm>
            <a:off x="1005" y="602"/>
            <a:ext cx="79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84" name="Rectangle 89">
            <a:extLst>
              <a:ext uri="{FF2B5EF4-FFF2-40B4-BE49-F238E27FC236}">
                <a16:creationId xmlns:a16="http://schemas.microsoft.com/office/drawing/2014/main" id="{5E313AD2-A123-A415-B2AB-49988F694821}"/>
              </a:ext>
            </a:extLst>
          </xdr:cNvPr>
          <xdr:cNvSpPr>
            <a:spLocks noChangeArrowheads="1"/>
          </xdr:cNvSpPr>
        </xdr:nvSpPr>
        <xdr:spPr bwMode="auto">
          <a:xfrm>
            <a:off x="1084" y="602"/>
            <a:ext cx="79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85" name="Rectangle 90">
            <a:extLst>
              <a:ext uri="{FF2B5EF4-FFF2-40B4-BE49-F238E27FC236}">
                <a16:creationId xmlns:a16="http://schemas.microsoft.com/office/drawing/2014/main" id="{9B5E7748-394E-2300-FDE6-61DBA833936F}"/>
              </a:ext>
            </a:extLst>
          </xdr:cNvPr>
          <xdr:cNvSpPr>
            <a:spLocks noChangeArrowheads="1"/>
          </xdr:cNvSpPr>
        </xdr:nvSpPr>
        <xdr:spPr bwMode="auto">
          <a:xfrm>
            <a:off x="1163" y="602"/>
            <a:ext cx="79" cy="1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86" name="Rectangle 91">
            <a:extLst>
              <a:ext uri="{FF2B5EF4-FFF2-40B4-BE49-F238E27FC236}">
                <a16:creationId xmlns:a16="http://schemas.microsoft.com/office/drawing/2014/main" id="{D4383AA0-8F30-2895-7CD2-EBF17F338CB1}"/>
              </a:ext>
            </a:extLst>
          </xdr:cNvPr>
          <xdr:cNvSpPr>
            <a:spLocks noChangeArrowheads="1"/>
          </xdr:cNvSpPr>
        </xdr:nvSpPr>
        <xdr:spPr bwMode="auto">
          <a:xfrm>
            <a:off x="838" y="415"/>
            <a:ext cx="18" cy="18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87" name="AutoShape 92">
            <a:extLst>
              <a:ext uri="{FF2B5EF4-FFF2-40B4-BE49-F238E27FC236}">
                <a16:creationId xmlns:a16="http://schemas.microsoft.com/office/drawing/2014/main" id="{9F5C6414-8B3E-2A70-7AAA-7D5B05BB0FEA}"/>
              </a:ext>
            </a:extLst>
          </xdr:cNvPr>
          <xdr:cNvSpPr>
            <a:spLocks noChangeArrowheads="1"/>
          </xdr:cNvSpPr>
        </xdr:nvSpPr>
        <xdr:spPr bwMode="auto">
          <a:xfrm>
            <a:off x="856" y="585"/>
            <a:ext cx="16" cy="17"/>
          </a:xfrm>
          <a:prstGeom prst="rtTriangle">
            <a:avLst/>
          </a:prstGeom>
          <a:solidFill>
            <a:srgbClr val="00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88" name="Line 93">
            <a:extLst>
              <a:ext uri="{FF2B5EF4-FFF2-40B4-BE49-F238E27FC236}">
                <a16:creationId xmlns:a16="http://schemas.microsoft.com/office/drawing/2014/main" id="{DF73C0F1-DF8E-20E8-34D7-47C7AD240A8F}"/>
              </a:ext>
            </a:extLst>
          </xdr:cNvPr>
          <xdr:cNvSpPr>
            <a:spLocks noChangeShapeType="1"/>
          </xdr:cNvSpPr>
        </xdr:nvSpPr>
        <xdr:spPr bwMode="auto">
          <a:xfrm>
            <a:off x="887" y="602"/>
            <a:ext cx="0" cy="5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789" name="Line 94">
            <a:extLst>
              <a:ext uri="{FF2B5EF4-FFF2-40B4-BE49-F238E27FC236}">
                <a16:creationId xmlns:a16="http://schemas.microsoft.com/office/drawing/2014/main" id="{3BDEB06B-D861-A40D-64EF-41E9FA0B5469}"/>
              </a:ext>
            </a:extLst>
          </xdr:cNvPr>
          <xdr:cNvSpPr>
            <a:spLocks noChangeShapeType="1"/>
          </xdr:cNvSpPr>
        </xdr:nvSpPr>
        <xdr:spPr bwMode="auto">
          <a:xfrm>
            <a:off x="966" y="602"/>
            <a:ext cx="0" cy="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790" name="Line 95">
            <a:extLst>
              <a:ext uri="{FF2B5EF4-FFF2-40B4-BE49-F238E27FC236}">
                <a16:creationId xmlns:a16="http://schemas.microsoft.com/office/drawing/2014/main" id="{12DC5B7D-640E-8CC1-3EA0-D4FE91A4947D}"/>
              </a:ext>
            </a:extLst>
          </xdr:cNvPr>
          <xdr:cNvSpPr>
            <a:spLocks noChangeShapeType="1"/>
          </xdr:cNvSpPr>
        </xdr:nvSpPr>
        <xdr:spPr bwMode="auto">
          <a:xfrm>
            <a:off x="1045" y="602"/>
            <a:ext cx="0" cy="8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791" name="Line 96">
            <a:extLst>
              <a:ext uri="{FF2B5EF4-FFF2-40B4-BE49-F238E27FC236}">
                <a16:creationId xmlns:a16="http://schemas.microsoft.com/office/drawing/2014/main" id="{5F4D3808-98C9-BC9C-2B4B-0CBD6696B58F}"/>
              </a:ext>
            </a:extLst>
          </xdr:cNvPr>
          <xdr:cNvSpPr>
            <a:spLocks noChangeShapeType="1"/>
          </xdr:cNvSpPr>
        </xdr:nvSpPr>
        <xdr:spPr bwMode="auto">
          <a:xfrm>
            <a:off x="1124" y="602"/>
            <a:ext cx="0" cy="10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792" name="Line 97">
            <a:extLst>
              <a:ext uri="{FF2B5EF4-FFF2-40B4-BE49-F238E27FC236}">
                <a16:creationId xmlns:a16="http://schemas.microsoft.com/office/drawing/2014/main" id="{621F80E2-0BDF-FFC3-50C0-5D8CA6A3D3E2}"/>
              </a:ext>
            </a:extLst>
          </xdr:cNvPr>
          <xdr:cNvSpPr>
            <a:spLocks noChangeShapeType="1"/>
          </xdr:cNvSpPr>
        </xdr:nvSpPr>
        <xdr:spPr bwMode="auto">
          <a:xfrm>
            <a:off x="848" y="649"/>
            <a:ext cx="3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793" name="Line 98">
            <a:extLst>
              <a:ext uri="{FF2B5EF4-FFF2-40B4-BE49-F238E27FC236}">
                <a16:creationId xmlns:a16="http://schemas.microsoft.com/office/drawing/2014/main" id="{A4E1E8EC-1CC5-5B5D-B032-75EDD81D55CC}"/>
              </a:ext>
            </a:extLst>
          </xdr:cNvPr>
          <xdr:cNvSpPr>
            <a:spLocks noChangeShapeType="1"/>
          </xdr:cNvSpPr>
        </xdr:nvSpPr>
        <xdr:spPr bwMode="auto">
          <a:xfrm>
            <a:off x="846" y="671"/>
            <a:ext cx="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794" name="Line 99">
            <a:extLst>
              <a:ext uri="{FF2B5EF4-FFF2-40B4-BE49-F238E27FC236}">
                <a16:creationId xmlns:a16="http://schemas.microsoft.com/office/drawing/2014/main" id="{713D7AA7-4A1A-B136-2DA4-EFC2E16BF8F7}"/>
              </a:ext>
            </a:extLst>
          </xdr:cNvPr>
          <xdr:cNvSpPr>
            <a:spLocks noChangeShapeType="1"/>
          </xdr:cNvSpPr>
        </xdr:nvSpPr>
        <xdr:spPr bwMode="auto">
          <a:xfrm>
            <a:off x="846" y="688"/>
            <a:ext cx="19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795" name="Line 100">
            <a:extLst>
              <a:ext uri="{FF2B5EF4-FFF2-40B4-BE49-F238E27FC236}">
                <a16:creationId xmlns:a16="http://schemas.microsoft.com/office/drawing/2014/main" id="{7D05B3E5-B769-38C7-2276-D97E90CF5B21}"/>
              </a:ext>
            </a:extLst>
          </xdr:cNvPr>
          <xdr:cNvSpPr>
            <a:spLocks noChangeShapeType="1"/>
          </xdr:cNvSpPr>
        </xdr:nvSpPr>
        <xdr:spPr bwMode="auto">
          <a:xfrm>
            <a:off x="847" y="706"/>
            <a:ext cx="27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796" name="Line 101">
            <a:extLst>
              <a:ext uri="{FF2B5EF4-FFF2-40B4-BE49-F238E27FC236}">
                <a16:creationId xmlns:a16="http://schemas.microsoft.com/office/drawing/2014/main" id="{84C40BD8-E3C2-BA11-DA8A-C60104B70932}"/>
              </a:ext>
            </a:extLst>
          </xdr:cNvPr>
          <xdr:cNvSpPr>
            <a:spLocks noChangeShapeType="1"/>
          </xdr:cNvSpPr>
        </xdr:nvSpPr>
        <xdr:spPr bwMode="auto">
          <a:xfrm>
            <a:off x="847" y="619"/>
            <a:ext cx="0" cy="9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606" name="Text Box 102">
            <a:extLst>
              <a:ext uri="{FF2B5EF4-FFF2-40B4-BE49-F238E27FC236}">
                <a16:creationId xmlns:a16="http://schemas.microsoft.com/office/drawing/2014/main" id="{A200D182-DA6C-934E-8DA1-6C3291CB3167}"/>
              </a:ext>
            </a:extLst>
          </xdr:cNvPr>
          <xdr:cNvSpPr txBox="1">
            <a:spLocks noChangeArrowheads="1"/>
          </xdr:cNvSpPr>
        </xdr:nvSpPr>
        <xdr:spPr bwMode="auto">
          <a:xfrm>
            <a:off x="890" y="636"/>
            <a:ext cx="18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7432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x1</a:t>
            </a:r>
          </a:p>
        </xdr:txBody>
      </xdr:sp>
      <xdr:sp macro="" textlink="">
        <xdr:nvSpPr>
          <xdr:cNvPr id="21607" name="Text Box 103">
            <a:extLst>
              <a:ext uri="{FF2B5EF4-FFF2-40B4-BE49-F238E27FC236}">
                <a16:creationId xmlns:a16="http://schemas.microsoft.com/office/drawing/2014/main" id="{2D16F782-BFFB-C582-2DB4-12F7D8E42F9F}"/>
              </a:ext>
            </a:extLst>
          </xdr:cNvPr>
          <xdr:cNvSpPr txBox="1">
            <a:spLocks noChangeArrowheads="1"/>
          </xdr:cNvSpPr>
        </xdr:nvSpPr>
        <xdr:spPr bwMode="auto">
          <a:xfrm>
            <a:off x="969" y="656"/>
            <a:ext cx="18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7432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x2</a:t>
            </a:r>
          </a:p>
        </xdr:txBody>
      </xdr:sp>
      <xdr:sp macro="" textlink="">
        <xdr:nvSpPr>
          <xdr:cNvPr id="21608" name="Text Box 104">
            <a:extLst>
              <a:ext uri="{FF2B5EF4-FFF2-40B4-BE49-F238E27FC236}">
                <a16:creationId xmlns:a16="http://schemas.microsoft.com/office/drawing/2014/main" id="{3E243CF5-F72E-7382-6D0F-AC424107594C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7" y="674"/>
            <a:ext cx="18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7432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x3</a:t>
            </a:r>
          </a:p>
        </xdr:txBody>
      </xdr:sp>
      <xdr:sp macro="" textlink="">
        <xdr:nvSpPr>
          <xdr:cNvPr id="21609" name="Text Box 105">
            <a:extLst>
              <a:ext uri="{FF2B5EF4-FFF2-40B4-BE49-F238E27FC236}">
                <a16:creationId xmlns:a16="http://schemas.microsoft.com/office/drawing/2014/main" id="{75641A98-D36B-277D-B053-16F2E8AF05CA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28" y="693"/>
            <a:ext cx="18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7432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x4</a:t>
            </a:r>
          </a:p>
        </xdr:txBody>
      </xdr:sp>
      <xdr:sp macro="" textlink="">
        <xdr:nvSpPr>
          <xdr:cNvPr id="242801" name="Line 106">
            <a:extLst>
              <a:ext uri="{FF2B5EF4-FFF2-40B4-BE49-F238E27FC236}">
                <a16:creationId xmlns:a16="http://schemas.microsoft.com/office/drawing/2014/main" id="{3BC9EC0A-3F9F-AA6D-6ADD-C396C6730A39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911" y="493"/>
            <a:ext cx="0" cy="10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802" name="Line 107">
            <a:extLst>
              <a:ext uri="{FF2B5EF4-FFF2-40B4-BE49-F238E27FC236}">
                <a16:creationId xmlns:a16="http://schemas.microsoft.com/office/drawing/2014/main" id="{57C9F650-081E-F870-3787-DEFEB1248315}"/>
              </a:ext>
            </a:extLst>
          </xdr:cNvPr>
          <xdr:cNvSpPr>
            <a:spLocks noChangeShapeType="1"/>
          </xdr:cNvSpPr>
        </xdr:nvSpPr>
        <xdr:spPr bwMode="auto">
          <a:xfrm flipV="1">
            <a:off x="986" y="541"/>
            <a:ext cx="0" cy="6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803" name="Line 108">
            <a:extLst>
              <a:ext uri="{FF2B5EF4-FFF2-40B4-BE49-F238E27FC236}">
                <a16:creationId xmlns:a16="http://schemas.microsoft.com/office/drawing/2014/main" id="{E5585BD9-711F-2597-9A05-A9813B77FCB9}"/>
              </a:ext>
            </a:extLst>
          </xdr:cNvPr>
          <xdr:cNvSpPr>
            <a:spLocks noChangeShapeType="1"/>
          </xdr:cNvSpPr>
        </xdr:nvSpPr>
        <xdr:spPr bwMode="auto">
          <a:xfrm flipV="1">
            <a:off x="873" y="420"/>
            <a:ext cx="0" cy="18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804" name="Freeform 109">
            <a:extLst>
              <a:ext uri="{FF2B5EF4-FFF2-40B4-BE49-F238E27FC236}">
                <a16:creationId xmlns:a16="http://schemas.microsoft.com/office/drawing/2014/main" id="{571E3A51-39F9-F898-7B1B-D020A56EB06B}"/>
              </a:ext>
            </a:extLst>
          </xdr:cNvPr>
          <xdr:cNvSpPr>
            <a:spLocks/>
          </xdr:cNvSpPr>
        </xdr:nvSpPr>
        <xdr:spPr bwMode="auto">
          <a:xfrm>
            <a:off x="873" y="426"/>
            <a:ext cx="282" cy="149"/>
          </a:xfrm>
          <a:custGeom>
            <a:avLst/>
            <a:gdLst>
              <a:gd name="T0" fmla="*/ 0 w 282"/>
              <a:gd name="T1" fmla="*/ 0 h 157"/>
              <a:gd name="T2" fmla="*/ 33 w 282"/>
              <a:gd name="T3" fmla="*/ 59 h 157"/>
              <a:gd name="T4" fmla="*/ 111 w 282"/>
              <a:gd name="T5" fmla="*/ 108 h 157"/>
              <a:gd name="T6" fmla="*/ 282 w 282"/>
              <a:gd name="T7" fmla="*/ 141 h 157"/>
              <a:gd name="T8" fmla="*/ 0 60000 65536"/>
              <a:gd name="T9" fmla="*/ 0 60000 65536"/>
              <a:gd name="T10" fmla="*/ 0 60000 65536"/>
              <a:gd name="T11" fmla="*/ 0 60000 65536"/>
              <a:gd name="T12" fmla="*/ 0 w 282"/>
              <a:gd name="T13" fmla="*/ 0 h 157"/>
              <a:gd name="T14" fmla="*/ 282 w 282"/>
              <a:gd name="T15" fmla="*/ 157 h 157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82" h="157">
                <a:moveTo>
                  <a:pt x="0" y="0"/>
                </a:moveTo>
                <a:cubicBezTo>
                  <a:pt x="5" y="11"/>
                  <a:pt x="15" y="45"/>
                  <a:pt x="33" y="65"/>
                </a:cubicBezTo>
                <a:cubicBezTo>
                  <a:pt x="51" y="85"/>
                  <a:pt x="70" y="105"/>
                  <a:pt x="111" y="120"/>
                </a:cubicBezTo>
                <a:cubicBezTo>
                  <a:pt x="152" y="135"/>
                  <a:pt x="247" y="149"/>
                  <a:pt x="282" y="157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42805" name="Line 110">
            <a:extLst>
              <a:ext uri="{FF2B5EF4-FFF2-40B4-BE49-F238E27FC236}">
                <a16:creationId xmlns:a16="http://schemas.microsoft.com/office/drawing/2014/main" id="{2E027C3E-B542-A990-D6E1-88AFDD136385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873" y="469"/>
            <a:ext cx="113" cy="7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806" name="Line 111">
            <a:extLst>
              <a:ext uri="{FF2B5EF4-FFF2-40B4-BE49-F238E27FC236}">
                <a16:creationId xmlns:a16="http://schemas.microsoft.com/office/drawing/2014/main" id="{C3BCDFEB-BB74-16F3-DAB0-CF22D811E353}"/>
              </a:ext>
            </a:extLst>
          </xdr:cNvPr>
          <xdr:cNvSpPr>
            <a:spLocks noChangeShapeType="1"/>
          </xdr:cNvSpPr>
        </xdr:nvSpPr>
        <xdr:spPr bwMode="auto">
          <a:xfrm flipH="1">
            <a:off x="804" y="469"/>
            <a:ext cx="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807" name="Line 112">
            <a:extLst>
              <a:ext uri="{FF2B5EF4-FFF2-40B4-BE49-F238E27FC236}">
                <a16:creationId xmlns:a16="http://schemas.microsoft.com/office/drawing/2014/main" id="{73B897DE-C4E4-4CBE-B98C-A51755101188}"/>
              </a:ext>
            </a:extLst>
          </xdr:cNvPr>
          <xdr:cNvSpPr>
            <a:spLocks noChangeShapeType="1"/>
          </xdr:cNvSpPr>
        </xdr:nvSpPr>
        <xdr:spPr bwMode="auto">
          <a:xfrm>
            <a:off x="812" y="469"/>
            <a:ext cx="0" cy="13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617" name="Text Box 113">
            <a:extLst>
              <a:ext uri="{FF2B5EF4-FFF2-40B4-BE49-F238E27FC236}">
                <a16:creationId xmlns:a16="http://schemas.microsoft.com/office/drawing/2014/main" id="{587AD3D3-7341-ADC5-BCC0-848B673D504B}"/>
              </a:ext>
            </a:extLst>
          </xdr:cNvPr>
          <xdr:cNvSpPr txBox="1">
            <a:spLocks noChangeArrowheads="1"/>
          </xdr:cNvSpPr>
        </xdr:nvSpPr>
        <xdr:spPr bwMode="auto">
          <a:xfrm>
            <a:off x="777" y="530"/>
            <a:ext cx="29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Symbol"/>
              </a:rPr>
              <a:t>s</a:t>
            </a: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hot</a:t>
            </a:r>
          </a:p>
        </xdr:txBody>
      </xdr:sp>
      <xdr:sp macro="" textlink="">
        <xdr:nvSpPr>
          <xdr:cNvPr id="242809" name="Line 114">
            <a:extLst>
              <a:ext uri="{FF2B5EF4-FFF2-40B4-BE49-F238E27FC236}">
                <a16:creationId xmlns:a16="http://schemas.microsoft.com/office/drawing/2014/main" id="{A772A82B-A7DE-30D1-76A3-691641E8D35C}"/>
              </a:ext>
            </a:extLst>
          </xdr:cNvPr>
          <xdr:cNvSpPr>
            <a:spLocks noChangeShapeType="1"/>
          </xdr:cNvSpPr>
        </xdr:nvSpPr>
        <xdr:spPr bwMode="auto">
          <a:xfrm>
            <a:off x="873" y="573"/>
            <a:ext cx="3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810" name="Line 115">
            <a:extLst>
              <a:ext uri="{FF2B5EF4-FFF2-40B4-BE49-F238E27FC236}">
                <a16:creationId xmlns:a16="http://schemas.microsoft.com/office/drawing/2014/main" id="{C92DFDED-CB92-5394-E8DB-31945F89C848}"/>
              </a:ext>
            </a:extLst>
          </xdr:cNvPr>
          <xdr:cNvSpPr>
            <a:spLocks noChangeShapeType="1"/>
          </xdr:cNvSpPr>
        </xdr:nvSpPr>
        <xdr:spPr bwMode="auto">
          <a:xfrm>
            <a:off x="873" y="551"/>
            <a:ext cx="11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620" name="Text Box 116">
            <a:extLst>
              <a:ext uri="{FF2B5EF4-FFF2-40B4-BE49-F238E27FC236}">
                <a16:creationId xmlns:a16="http://schemas.microsoft.com/office/drawing/2014/main" id="{9CDE34F0-1B4C-4292-3156-45B72B47A3C3}"/>
              </a:ext>
            </a:extLst>
          </xdr:cNvPr>
          <xdr:cNvSpPr txBox="1">
            <a:spLocks noChangeArrowheads="1"/>
          </xdr:cNvSpPr>
        </xdr:nvSpPr>
        <xdr:spPr bwMode="auto">
          <a:xfrm>
            <a:off x="935" y="563"/>
            <a:ext cx="24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0.5t</a:t>
            </a:r>
          </a:p>
        </xdr:txBody>
      </xdr:sp>
      <xdr:sp macro="" textlink="">
        <xdr:nvSpPr>
          <xdr:cNvPr id="21621" name="Text Box 117">
            <a:extLst>
              <a:ext uri="{FF2B5EF4-FFF2-40B4-BE49-F238E27FC236}">
                <a16:creationId xmlns:a16="http://schemas.microsoft.com/office/drawing/2014/main" id="{27F36C20-B0BA-1CD1-E79A-DDC6FDE2230C}"/>
              </a:ext>
            </a:extLst>
          </xdr:cNvPr>
          <xdr:cNvSpPr txBox="1">
            <a:spLocks noChangeArrowheads="1"/>
          </xdr:cNvSpPr>
        </xdr:nvSpPr>
        <xdr:spPr bwMode="auto">
          <a:xfrm>
            <a:off x="935" y="533"/>
            <a:ext cx="24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1.5t</a:t>
            </a:r>
          </a:p>
        </xdr:txBody>
      </xdr:sp>
      <xdr:sp macro="" textlink="">
        <xdr:nvSpPr>
          <xdr:cNvPr id="242813" name="Line 118">
            <a:extLst>
              <a:ext uri="{FF2B5EF4-FFF2-40B4-BE49-F238E27FC236}">
                <a16:creationId xmlns:a16="http://schemas.microsoft.com/office/drawing/2014/main" id="{97AB2A4A-844C-136D-00E4-47AA8531101A}"/>
              </a:ext>
            </a:extLst>
          </xdr:cNvPr>
          <xdr:cNvSpPr>
            <a:spLocks noChangeShapeType="1"/>
          </xdr:cNvSpPr>
        </xdr:nvSpPr>
        <xdr:spPr bwMode="auto">
          <a:xfrm flipH="1">
            <a:off x="742" y="427"/>
            <a:ext cx="1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814" name="Line 119">
            <a:extLst>
              <a:ext uri="{FF2B5EF4-FFF2-40B4-BE49-F238E27FC236}">
                <a16:creationId xmlns:a16="http://schemas.microsoft.com/office/drawing/2014/main" id="{855D983A-2118-62CD-069F-8B4B6FA07DC8}"/>
              </a:ext>
            </a:extLst>
          </xdr:cNvPr>
          <xdr:cNvSpPr>
            <a:spLocks noChangeShapeType="1"/>
          </xdr:cNvSpPr>
        </xdr:nvSpPr>
        <xdr:spPr bwMode="auto">
          <a:xfrm>
            <a:off x="753" y="427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624" name="Text Box 120">
            <a:extLst>
              <a:ext uri="{FF2B5EF4-FFF2-40B4-BE49-F238E27FC236}">
                <a16:creationId xmlns:a16="http://schemas.microsoft.com/office/drawing/2014/main" id="{9D2DBAA3-EE84-184B-E785-123D15A0CC5E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9" y="519"/>
            <a:ext cx="29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Symbol"/>
              </a:rPr>
              <a:t>s</a:t>
            </a: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not</a:t>
            </a:r>
          </a:p>
        </xdr:txBody>
      </xdr:sp>
      <xdr:sp macro="" textlink="">
        <xdr:nvSpPr>
          <xdr:cNvPr id="242816" name="Line 121">
            <a:extLst>
              <a:ext uri="{FF2B5EF4-FFF2-40B4-BE49-F238E27FC236}">
                <a16:creationId xmlns:a16="http://schemas.microsoft.com/office/drawing/2014/main" id="{1E1BF937-6E05-DDA9-4D65-D6BEE1F55543}"/>
              </a:ext>
            </a:extLst>
          </xdr:cNvPr>
          <xdr:cNvSpPr>
            <a:spLocks noChangeShapeType="1"/>
          </xdr:cNvSpPr>
        </xdr:nvSpPr>
        <xdr:spPr bwMode="auto">
          <a:xfrm flipH="1">
            <a:off x="826" y="649"/>
            <a:ext cx="2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817" name="Oval 122">
            <a:extLst>
              <a:ext uri="{FF2B5EF4-FFF2-40B4-BE49-F238E27FC236}">
                <a16:creationId xmlns:a16="http://schemas.microsoft.com/office/drawing/2014/main" id="{97884031-87C4-2317-7D61-941BBC226F63}"/>
              </a:ext>
            </a:extLst>
          </xdr:cNvPr>
          <xdr:cNvSpPr>
            <a:spLocks noChangeArrowheads="1"/>
          </xdr:cNvSpPr>
        </xdr:nvSpPr>
        <xdr:spPr bwMode="auto">
          <a:xfrm>
            <a:off x="883" y="599"/>
            <a:ext cx="8" cy="7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2818" name="Oval 123">
            <a:extLst>
              <a:ext uri="{FF2B5EF4-FFF2-40B4-BE49-F238E27FC236}">
                <a16:creationId xmlns:a16="http://schemas.microsoft.com/office/drawing/2014/main" id="{433DA97D-7B76-CB48-BC80-0DAEF517B39C}"/>
              </a:ext>
            </a:extLst>
          </xdr:cNvPr>
          <xdr:cNvSpPr>
            <a:spLocks noChangeArrowheads="1"/>
          </xdr:cNvSpPr>
        </xdr:nvSpPr>
        <xdr:spPr bwMode="auto">
          <a:xfrm>
            <a:off x="962" y="599"/>
            <a:ext cx="8" cy="7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2819" name="Oval 124">
            <a:extLst>
              <a:ext uri="{FF2B5EF4-FFF2-40B4-BE49-F238E27FC236}">
                <a16:creationId xmlns:a16="http://schemas.microsoft.com/office/drawing/2014/main" id="{7B011CCA-ECA0-2524-2979-22E622CC0C56}"/>
              </a:ext>
            </a:extLst>
          </xdr:cNvPr>
          <xdr:cNvSpPr>
            <a:spLocks noChangeArrowheads="1"/>
          </xdr:cNvSpPr>
        </xdr:nvSpPr>
        <xdr:spPr bwMode="auto">
          <a:xfrm>
            <a:off x="1041" y="599"/>
            <a:ext cx="8" cy="7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2820" name="Oval 125">
            <a:extLst>
              <a:ext uri="{FF2B5EF4-FFF2-40B4-BE49-F238E27FC236}">
                <a16:creationId xmlns:a16="http://schemas.microsoft.com/office/drawing/2014/main" id="{3EF8FDC7-8E23-2C1F-069E-67B71D2E6977}"/>
              </a:ext>
            </a:extLst>
          </xdr:cNvPr>
          <xdr:cNvSpPr>
            <a:spLocks noChangeArrowheads="1"/>
          </xdr:cNvSpPr>
        </xdr:nvSpPr>
        <xdr:spPr bwMode="auto">
          <a:xfrm>
            <a:off x="1120" y="599"/>
            <a:ext cx="8" cy="7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13</xdr:col>
      <xdr:colOff>361950</xdr:colOff>
      <xdr:row>41</xdr:row>
      <xdr:rowOff>152400</xdr:rowOff>
    </xdr:from>
    <xdr:to>
      <xdr:col>16</xdr:col>
      <xdr:colOff>704850</xdr:colOff>
      <xdr:row>52</xdr:row>
      <xdr:rowOff>57150</xdr:rowOff>
    </xdr:to>
    <xdr:pic>
      <xdr:nvPicPr>
        <xdr:cNvPr id="242728" name="Picture 127" descr="UNI52b4">
          <a:extLst>
            <a:ext uri="{FF2B5EF4-FFF2-40B4-BE49-F238E27FC236}">
              <a16:creationId xmlns:a16="http://schemas.microsoft.com/office/drawing/2014/main" id="{1B35AAA7-8520-D600-19E3-4CA6829399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5" y="7296150"/>
          <a:ext cx="2600325" cy="1885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285750</xdr:colOff>
      <xdr:row>57</xdr:row>
      <xdr:rowOff>142875</xdr:rowOff>
    </xdr:from>
    <xdr:to>
      <xdr:col>13</xdr:col>
      <xdr:colOff>180975</xdr:colOff>
      <xdr:row>69</xdr:row>
      <xdr:rowOff>19050</xdr:rowOff>
    </xdr:to>
    <xdr:grpSp>
      <xdr:nvGrpSpPr>
        <xdr:cNvPr id="242729" name="Group 157">
          <a:extLst>
            <a:ext uri="{FF2B5EF4-FFF2-40B4-BE49-F238E27FC236}">
              <a16:creationId xmlns:a16="http://schemas.microsoft.com/office/drawing/2014/main" id="{9271B644-AB87-645F-34A8-1819793A71D6}"/>
            </a:ext>
          </a:extLst>
        </xdr:cNvPr>
        <xdr:cNvGrpSpPr>
          <a:grpSpLocks/>
        </xdr:cNvGrpSpPr>
      </xdr:nvGrpSpPr>
      <xdr:grpSpPr bwMode="auto">
        <a:xfrm>
          <a:off x="5524500" y="10125075"/>
          <a:ext cx="1676400" cy="1933575"/>
          <a:chOff x="580" y="1062"/>
          <a:chExt cx="226" cy="203"/>
        </a:xfrm>
      </xdr:grpSpPr>
      <xdr:sp macro="" textlink="">
        <xdr:nvSpPr>
          <xdr:cNvPr id="242769" name="Rectangle 129">
            <a:extLst>
              <a:ext uri="{FF2B5EF4-FFF2-40B4-BE49-F238E27FC236}">
                <a16:creationId xmlns:a16="http://schemas.microsoft.com/office/drawing/2014/main" id="{CA69ED9B-4DA6-A3CB-85CF-5FB7558C6C21}"/>
              </a:ext>
            </a:extLst>
          </xdr:cNvPr>
          <xdr:cNvSpPr>
            <a:spLocks noChangeArrowheads="1"/>
          </xdr:cNvSpPr>
        </xdr:nvSpPr>
        <xdr:spPr bwMode="auto">
          <a:xfrm>
            <a:off x="676" y="1062"/>
            <a:ext cx="32" cy="203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42770" name="Group 136">
            <a:extLst>
              <a:ext uri="{FF2B5EF4-FFF2-40B4-BE49-F238E27FC236}">
                <a16:creationId xmlns:a16="http://schemas.microsoft.com/office/drawing/2014/main" id="{6AF27FD9-D665-0AB0-73F6-5C007A1DA944}"/>
              </a:ext>
            </a:extLst>
          </xdr:cNvPr>
          <xdr:cNvGrpSpPr>
            <a:grpSpLocks/>
          </xdr:cNvGrpSpPr>
        </xdr:nvGrpSpPr>
        <xdr:grpSpPr bwMode="auto">
          <a:xfrm>
            <a:off x="580" y="1132"/>
            <a:ext cx="96" cy="61"/>
            <a:chOff x="553" y="1167"/>
            <a:chExt cx="185" cy="90"/>
          </a:xfrm>
        </xdr:grpSpPr>
        <xdr:sp macro="" textlink="">
          <xdr:nvSpPr>
            <xdr:cNvPr id="242776" name="Rectangle 128">
              <a:extLst>
                <a:ext uri="{FF2B5EF4-FFF2-40B4-BE49-F238E27FC236}">
                  <a16:creationId xmlns:a16="http://schemas.microsoft.com/office/drawing/2014/main" id="{EB216152-0650-5C7A-545A-2023FA1E1935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53" y="1190"/>
              <a:ext cx="185" cy="45"/>
            </a:xfrm>
            <a:prstGeom prst="rect">
              <a:avLst/>
            </a:prstGeom>
            <a:solidFill>
              <a:srgbClr val="FFFFFF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777" name="AutoShape 134">
              <a:extLst>
                <a:ext uri="{FF2B5EF4-FFF2-40B4-BE49-F238E27FC236}">
                  <a16:creationId xmlns:a16="http://schemas.microsoft.com/office/drawing/2014/main" id="{FDDA2B5C-A627-1764-8381-ED97D7AD5735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700" y="1220"/>
              <a:ext cx="45" cy="30"/>
            </a:xfrm>
            <a:prstGeom prst="triangle">
              <a:avLst>
                <a:gd name="adj" fmla="val 50000"/>
              </a:avLst>
            </a:prstGeom>
            <a:solidFill>
              <a:srgbClr val="000000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778" name="AutoShape 135">
              <a:extLst>
                <a:ext uri="{FF2B5EF4-FFF2-40B4-BE49-F238E27FC236}">
                  <a16:creationId xmlns:a16="http://schemas.microsoft.com/office/drawing/2014/main" id="{2B33D89A-DB75-8BE5-DA4E-CB1514B46F3E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700" y="1175"/>
              <a:ext cx="45" cy="30"/>
            </a:xfrm>
            <a:prstGeom prst="triangle">
              <a:avLst>
                <a:gd name="adj" fmla="val 50000"/>
              </a:avLst>
            </a:prstGeom>
            <a:solidFill>
              <a:srgbClr val="000000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242771" name="Group 137">
            <a:extLst>
              <a:ext uri="{FF2B5EF4-FFF2-40B4-BE49-F238E27FC236}">
                <a16:creationId xmlns:a16="http://schemas.microsoft.com/office/drawing/2014/main" id="{B2D07A80-FDB9-E485-5C16-188FD45F26CA}"/>
              </a:ext>
            </a:extLst>
          </xdr:cNvPr>
          <xdr:cNvGrpSpPr>
            <a:grpSpLocks/>
          </xdr:cNvGrpSpPr>
        </xdr:nvGrpSpPr>
        <xdr:grpSpPr bwMode="auto">
          <a:xfrm flipH="1">
            <a:off x="708" y="1132"/>
            <a:ext cx="98" cy="61"/>
            <a:chOff x="553" y="1167"/>
            <a:chExt cx="185" cy="90"/>
          </a:xfrm>
        </xdr:grpSpPr>
        <xdr:sp macro="" textlink="">
          <xdr:nvSpPr>
            <xdr:cNvPr id="242773" name="Rectangle 138">
              <a:extLst>
                <a:ext uri="{FF2B5EF4-FFF2-40B4-BE49-F238E27FC236}">
                  <a16:creationId xmlns:a16="http://schemas.microsoft.com/office/drawing/2014/main" id="{C41FB0A9-A868-819A-ACDA-9628094D6809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53" y="1190"/>
              <a:ext cx="185" cy="45"/>
            </a:xfrm>
            <a:prstGeom prst="rect">
              <a:avLst/>
            </a:prstGeom>
            <a:solidFill>
              <a:srgbClr val="FFFFFF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774" name="AutoShape 139">
              <a:extLst>
                <a:ext uri="{FF2B5EF4-FFF2-40B4-BE49-F238E27FC236}">
                  <a16:creationId xmlns:a16="http://schemas.microsoft.com/office/drawing/2014/main" id="{6DC59C34-BBAB-F5B1-94EC-6B45F82C8D86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700" y="1220"/>
              <a:ext cx="45" cy="30"/>
            </a:xfrm>
            <a:prstGeom prst="triangle">
              <a:avLst>
                <a:gd name="adj" fmla="val 50000"/>
              </a:avLst>
            </a:prstGeom>
            <a:solidFill>
              <a:srgbClr val="000000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775" name="AutoShape 140">
              <a:extLst>
                <a:ext uri="{FF2B5EF4-FFF2-40B4-BE49-F238E27FC236}">
                  <a16:creationId xmlns:a16="http://schemas.microsoft.com/office/drawing/2014/main" id="{BB538A46-6598-A5DE-400A-6D0B7E69565B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700" y="1175"/>
              <a:ext cx="45" cy="30"/>
            </a:xfrm>
            <a:prstGeom prst="triangle">
              <a:avLst>
                <a:gd name="adj" fmla="val 50000"/>
              </a:avLst>
            </a:prstGeom>
            <a:solidFill>
              <a:srgbClr val="000000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42772" name="Freeform 146">
            <a:extLst>
              <a:ext uri="{FF2B5EF4-FFF2-40B4-BE49-F238E27FC236}">
                <a16:creationId xmlns:a16="http://schemas.microsoft.com/office/drawing/2014/main" id="{E080026C-A764-5A42-02D8-7797739D64A2}"/>
              </a:ext>
            </a:extLst>
          </xdr:cNvPr>
          <xdr:cNvSpPr>
            <a:spLocks/>
          </xdr:cNvSpPr>
        </xdr:nvSpPr>
        <xdr:spPr bwMode="auto">
          <a:xfrm>
            <a:off x="657" y="1147"/>
            <a:ext cx="2" cy="19"/>
          </a:xfrm>
          <a:custGeom>
            <a:avLst/>
            <a:gdLst>
              <a:gd name="T0" fmla="*/ 2 w 2"/>
              <a:gd name="T1" fmla="*/ 0 h 19"/>
              <a:gd name="T2" fmla="*/ 0 w 2"/>
              <a:gd name="T3" fmla="*/ 12 h 19"/>
              <a:gd name="T4" fmla="*/ 2 w 2"/>
              <a:gd name="T5" fmla="*/ 19 h 19"/>
              <a:gd name="T6" fmla="*/ 0 60000 65536"/>
              <a:gd name="T7" fmla="*/ 0 60000 65536"/>
              <a:gd name="T8" fmla="*/ 0 60000 65536"/>
              <a:gd name="T9" fmla="*/ 0 w 2"/>
              <a:gd name="T10" fmla="*/ 0 h 19"/>
              <a:gd name="T11" fmla="*/ 2 w 2"/>
              <a:gd name="T12" fmla="*/ 19 h 19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" h="19">
                <a:moveTo>
                  <a:pt x="2" y="0"/>
                </a:moveTo>
                <a:cubicBezTo>
                  <a:pt x="0" y="4"/>
                  <a:pt x="2" y="8"/>
                  <a:pt x="0" y="12"/>
                </a:cubicBezTo>
                <a:cubicBezTo>
                  <a:pt x="2" y="18"/>
                  <a:pt x="2" y="16"/>
                  <a:pt x="2" y="19"/>
                </a:cubicBezTo>
              </a:path>
            </a:pathLst>
          </a:cu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15</xdr:col>
      <xdr:colOff>485775</xdr:colOff>
      <xdr:row>62</xdr:row>
      <xdr:rowOff>47625</xdr:rowOff>
    </xdr:from>
    <xdr:to>
      <xdr:col>18</xdr:col>
      <xdr:colOff>419100</xdr:colOff>
      <xdr:row>67</xdr:row>
      <xdr:rowOff>0</xdr:rowOff>
    </xdr:to>
    <xdr:sp macro="" textlink="">
      <xdr:nvSpPr>
        <xdr:cNvPr id="242730" name="Rectangle 166">
          <a:extLst>
            <a:ext uri="{FF2B5EF4-FFF2-40B4-BE49-F238E27FC236}">
              <a16:creationId xmlns:a16="http://schemas.microsoft.com/office/drawing/2014/main" id="{EAB9ADA0-F6E1-9926-0681-3082CC5BAA07}"/>
            </a:ext>
          </a:extLst>
        </xdr:cNvPr>
        <xdr:cNvSpPr>
          <a:spLocks noChangeArrowheads="1"/>
        </xdr:cNvSpPr>
      </xdr:nvSpPr>
      <xdr:spPr bwMode="auto">
        <a:xfrm>
          <a:off x="9010650" y="10887075"/>
          <a:ext cx="2190750" cy="809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390525</xdr:colOff>
      <xdr:row>62</xdr:row>
      <xdr:rowOff>123825</xdr:rowOff>
    </xdr:from>
    <xdr:to>
      <xdr:col>18</xdr:col>
      <xdr:colOff>342900</xdr:colOff>
      <xdr:row>67</xdr:row>
      <xdr:rowOff>66675</xdr:rowOff>
    </xdr:to>
    <xdr:sp macro="" textlink="">
      <xdr:nvSpPr>
        <xdr:cNvPr id="242731" name="Rectangle 165">
          <a:extLst>
            <a:ext uri="{FF2B5EF4-FFF2-40B4-BE49-F238E27FC236}">
              <a16:creationId xmlns:a16="http://schemas.microsoft.com/office/drawing/2014/main" id="{4E979E96-DDEA-9737-1AED-AD2CB8EE78C6}"/>
            </a:ext>
          </a:extLst>
        </xdr:cNvPr>
        <xdr:cNvSpPr>
          <a:spLocks noChangeArrowheads="1"/>
        </xdr:cNvSpPr>
      </xdr:nvSpPr>
      <xdr:spPr bwMode="auto">
        <a:xfrm>
          <a:off x="8915400" y="10963275"/>
          <a:ext cx="2209800" cy="800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533400</xdr:colOff>
      <xdr:row>74</xdr:row>
      <xdr:rowOff>161925</xdr:rowOff>
    </xdr:from>
    <xdr:to>
      <xdr:col>19</xdr:col>
      <xdr:colOff>342900</xdr:colOff>
      <xdr:row>80</xdr:row>
      <xdr:rowOff>66675</xdr:rowOff>
    </xdr:to>
    <xdr:grpSp>
      <xdr:nvGrpSpPr>
        <xdr:cNvPr id="242732" name="Group 178">
          <a:extLst>
            <a:ext uri="{FF2B5EF4-FFF2-40B4-BE49-F238E27FC236}">
              <a16:creationId xmlns:a16="http://schemas.microsoft.com/office/drawing/2014/main" id="{8D81D260-A842-2F3F-DF0D-CB36DD6F5468}"/>
            </a:ext>
          </a:extLst>
        </xdr:cNvPr>
        <xdr:cNvGrpSpPr>
          <a:grpSpLocks/>
        </xdr:cNvGrpSpPr>
      </xdr:nvGrpSpPr>
      <xdr:grpSpPr bwMode="auto">
        <a:xfrm>
          <a:off x="9810750" y="13058775"/>
          <a:ext cx="2066925" cy="933450"/>
          <a:chOff x="1080" y="1370"/>
          <a:chExt cx="217" cy="98"/>
        </a:xfrm>
      </xdr:grpSpPr>
      <xdr:grpSp>
        <xdr:nvGrpSpPr>
          <xdr:cNvPr id="242760" name="Group 173">
            <a:extLst>
              <a:ext uri="{FF2B5EF4-FFF2-40B4-BE49-F238E27FC236}">
                <a16:creationId xmlns:a16="http://schemas.microsoft.com/office/drawing/2014/main" id="{2B3E7102-6584-EC81-EB30-B4CC5A4116F6}"/>
              </a:ext>
            </a:extLst>
          </xdr:cNvPr>
          <xdr:cNvGrpSpPr>
            <a:grpSpLocks/>
          </xdr:cNvGrpSpPr>
        </xdr:nvGrpSpPr>
        <xdr:grpSpPr bwMode="auto">
          <a:xfrm>
            <a:off x="1080" y="1370"/>
            <a:ext cx="217" cy="98"/>
            <a:chOff x="1080" y="1370"/>
            <a:chExt cx="217" cy="98"/>
          </a:xfrm>
        </xdr:grpSpPr>
        <xdr:sp macro="" textlink="">
          <xdr:nvSpPr>
            <xdr:cNvPr id="242763" name="Rectangle 167">
              <a:extLst>
                <a:ext uri="{FF2B5EF4-FFF2-40B4-BE49-F238E27FC236}">
                  <a16:creationId xmlns:a16="http://schemas.microsoft.com/office/drawing/2014/main" id="{948D917F-1633-CD02-1E75-1263D0412C95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80" y="1378"/>
              <a:ext cx="208" cy="90"/>
            </a:xfrm>
            <a:prstGeom prst="rect">
              <a:avLst/>
            </a:prstGeom>
            <a:solidFill>
              <a:srgbClr val="FFFFFF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764" name="Line 168">
              <a:extLst>
                <a:ext uri="{FF2B5EF4-FFF2-40B4-BE49-F238E27FC236}">
                  <a16:creationId xmlns:a16="http://schemas.microsoft.com/office/drawing/2014/main" id="{DF5DB72A-A317-B675-16F8-8BBE506CDE9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90" y="1370"/>
              <a:ext cx="207" cy="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765" name="Line 169">
              <a:extLst>
                <a:ext uri="{FF2B5EF4-FFF2-40B4-BE49-F238E27FC236}">
                  <a16:creationId xmlns:a16="http://schemas.microsoft.com/office/drawing/2014/main" id="{1294A3AC-5B9B-76CD-F0A1-3EC3AE3A15DB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297" y="1370"/>
              <a:ext cx="0" cy="90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766" name="Line 170">
              <a:extLst>
                <a:ext uri="{FF2B5EF4-FFF2-40B4-BE49-F238E27FC236}">
                  <a16:creationId xmlns:a16="http://schemas.microsoft.com/office/drawing/2014/main" id="{9FCB3A86-1C78-2849-64FA-269F3488AC33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80" y="1370"/>
              <a:ext cx="9" cy="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767" name="Line 171">
              <a:extLst>
                <a:ext uri="{FF2B5EF4-FFF2-40B4-BE49-F238E27FC236}">
                  <a16:creationId xmlns:a16="http://schemas.microsoft.com/office/drawing/2014/main" id="{49599F8F-216C-212F-53F1-7CB17D520E43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288" y="1460"/>
              <a:ext cx="9" cy="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2768" name="Line 172">
              <a:extLst>
                <a:ext uri="{FF2B5EF4-FFF2-40B4-BE49-F238E27FC236}">
                  <a16:creationId xmlns:a16="http://schemas.microsoft.com/office/drawing/2014/main" id="{4054582F-1401-BAFF-6EE2-E35F0BD8AEDE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288" y="1370"/>
              <a:ext cx="9" cy="8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42761" name="Freeform 176">
            <a:extLst>
              <a:ext uri="{FF2B5EF4-FFF2-40B4-BE49-F238E27FC236}">
                <a16:creationId xmlns:a16="http://schemas.microsoft.com/office/drawing/2014/main" id="{75526894-E5AD-7F97-41BE-E665093797B8}"/>
              </a:ext>
            </a:extLst>
          </xdr:cNvPr>
          <xdr:cNvSpPr>
            <a:spLocks/>
          </xdr:cNvSpPr>
        </xdr:nvSpPr>
        <xdr:spPr bwMode="auto">
          <a:xfrm>
            <a:off x="1181" y="1378"/>
            <a:ext cx="3" cy="31"/>
          </a:xfrm>
          <a:custGeom>
            <a:avLst/>
            <a:gdLst>
              <a:gd name="T0" fmla="*/ 1 w 3"/>
              <a:gd name="T1" fmla="*/ 0 h 31"/>
              <a:gd name="T2" fmla="*/ 3 w 3"/>
              <a:gd name="T3" fmla="*/ 6 h 31"/>
              <a:gd name="T4" fmla="*/ 1 w 3"/>
              <a:gd name="T5" fmla="*/ 10 h 31"/>
              <a:gd name="T6" fmla="*/ 3 w 3"/>
              <a:gd name="T7" fmla="*/ 21 h 31"/>
              <a:gd name="T8" fmla="*/ 0 w 3"/>
              <a:gd name="T9" fmla="*/ 28 h 31"/>
              <a:gd name="T10" fmla="*/ 1 w 3"/>
              <a:gd name="T11" fmla="*/ 31 h 31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3"/>
              <a:gd name="T19" fmla="*/ 0 h 31"/>
              <a:gd name="T20" fmla="*/ 3 w 3"/>
              <a:gd name="T21" fmla="*/ 31 h 31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3" h="31">
                <a:moveTo>
                  <a:pt x="1" y="0"/>
                </a:moveTo>
                <a:cubicBezTo>
                  <a:pt x="2" y="2"/>
                  <a:pt x="3" y="4"/>
                  <a:pt x="3" y="6"/>
                </a:cubicBezTo>
                <a:cubicBezTo>
                  <a:pt x="3" y="7"/>
                  <a:pt x="1" y="10"/>
                  <a:pt x="1" y="10"/>
                </a:cubicBezTo>
                <a:cubicBezTo>
                  <a:pt x="3" y="13"/>
                  <a:pt x="1" y="17"/>
                  <a:pt x="3" y="21"/>
                </a:cubicBezTo>
                <a:cubicBezTo>
                  <a:pt x="2" y="23"/>
                  <a:pt x="0" y="28"/>
                  <a:pt x="0" y="28"/>
                </a:cubicBezTo>
                <a:cubicBezTo>
                  <a:pt x="0" y="29"/>
                  <a:pt x="1" y="31"/>
                  <a:pt x="1" y="31"/>
                </a:cubicBezTo>
              </a:path>
            </a:pathLst>
          </a:cu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42762" name="Freeform 177">
            <a:extLst>
              <a:ext uri="{FF2B5EF4-FFF2-40B4-BE49-F238E27FC236}">
                <a16:creationId xmlns:a16="http://schemas.microsoft.com/office/drawing/2014/main" id="{9BE00DBD-3794-3A5D-D882-BE2325A02465}"/>
              </a:ext>
            </a:extLst>
          </xdr:cNvPr>
          <xdr:cNvSpPr>
            <a:spLocks/>
          </xdr:cNvSpPr>
        </xdr:nvSpPr>
        <xdr:spPr bwMode="auto">
          <a:xfrm>
            <a:off x="1182" y="1371"/>
            <a:ext cx="7" cy="7"/>
          </a:xfrm>
          <a:custGeom>
            <a:avLst/>
            <a:gdLst>
              <a:gd name="T0" fmla="*/ 0 w 7"/>
              <a:gd name="T1" fmla="*/ 10 h 5"/>
              <a:gd name="T2" fmla="*/ 7 w 7"/>
              <a:gd name="T3" fmla="*/ 0 h 5"/>
              <a:gd name="T4" fmla="*/ 0 60000 65536"/>
              <a:gd name="T5" fmla="*/ 0 60000 65536"/>
              <a:gd name="T6" fmla="*/ 0 w 7"/>
              <a:gd name="T7" fmla="*/ 0 h 5"/>
              <a:gd name="T8" fmla="*/ 7 w 7"/>
              <a:gd name="T9" fmla="*/ 5 h 5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7" h="5">
                <a:moveTo>
                  <a:pt x="0" y="5"/>
                </a:moveTo>
                <a:cubicBezTo>
                  <a:pt x="1" y="2"/>
                  <a:pt x="7" y="0"/>
                  <a:pt x="7" y="0"/>
                </a:cubicBezTo>
              </a:path>
            </a:pathLst>
          </a:cu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76200</xdr:colOff>
      <xdr:row>76</xdr:row>
      <xdr:rowOff>19050</xdr:rowOff>
    </xdr:from>
    <xdr:to>
      <xdr:col>12</xdr:col>
      <xdr:colOff>180975</xdr:colOff>
      <xdr:row>87</xdr:row>
      <xdr:rowOff>66675</xdr:rowOff>
    </xdr:to>
    <xdr:grpSp>
      <xdr:nvGrpSpPr>
        <xdr:cNvPr id="242733" name="Group 196">
          <a:extLst>
            <a:ext uri="{FF2B5EF4-FFF2-40B4-BE49-F238E27FC236}">
              <a16:creationId xmlns:a16="http://schemas.microsoft.com/office/drawing/2014/main" id="{EF4C1128-8EE4-068A-BAA9-0DE64C490929}"/>
            </a:ext>
          </a:extLst>
        </xdr:cNvPr>
        <xdr:cNvGrpSpPr>
          <a:grpSpLocks/>
        </xdr:cNvGrpSpPr>
      </xdr:nvGrpSpPr>
      <xdr:grpSpPr bwMode="auto">
        <a:xfrm>
          <a:off x="4791075" y="13258800"/>
          <a:ext cx="1657350" cy="1933575"/>
          <a:chOff x="503" y="1391"/>
          <a:chExt cx="224" cy="203"/>
        </a:xfrm>
      </xdr:grpSpPr>
      <xdr:sp macro="" textlink="">
        <xdr:nvSpPr>
          <xdr:cNvPr id="242750" name="Rectangle 180">
            <a:extLst>
              <a:ext uri="{FF2B5EF4-FFF2-40B4-BE49-F238E27FC236}">
                <a16:creationId xmlns:a16="http://schemas.microsoft.com/office/drawing/2014/main" id="{2A28CCA5-C1F8-6ED8-B26B-D2D417D9F85C}"/>
              </a:ext>
            </a:extLst>
          </xdr:cNvPr>
          <xdr:cNvSpPr>
            <a:spLocks noChangeArrowheads="1"/>
          </xdr:cNvSpPr>
        </xdr:nvSpPr>
        <xdr:spPr bwMode="auto">
          <a:xfrm>
            <a:off x="599" y="1391"/>
            <a:ext cx="32" cy="203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42751" name="Group 191">
            <a:extLst>
              <a:ext uri="{FF2B5EF4-FFF2-40B4-BE49-F238E27FC236}">
                <a16:creationId xmlns:a16="http://schemas.microsoft.com/office/drawing/2014/main" id="{5021F07A-683B-DE57-155A-7B49413FE560}"/>
              </a:ext>
            </a:extLst>
          </xdr:cNvPr>
          <xdr:cNvGrpSpPr>
            <a:grpSpLocks/>
          </xdr:cNvGrpSpPr>
        </xdr:nvGrpSpPr>
        <xdr:grpSpPr bwMode="auto">
          <a:xfrm>
            <a:off x="503" y="1457"/>
            <a:ext cx="96" cy="69"/>
            <a:chOff x="503" y="1457"/>
            <a:chExt cx="96" cy="69"/>
          </a:xfrm>
        </xdr:grpSpPr>
        <xdr:sp macro="" textlink="">
          <xdr:nvSpPr>
            <xdr:cNvPr id="242757" name="Rectangle 182">
              <a:extLst>
                <a:ext uri="{FF2B5EF4-FFF2-40B4-BE49-F238E27FC236}">
                  <a16:creationId xmlns:a16="http://schemas.microsoft.com/office/drawing/2014/main" id="{8EDD6600-D4E9-04FE-F02C-6ACFBA57D65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03" y="1477"/>
              <a:ext cx="96" cy="30"/>
            </a:xfrm>
            <a:prstGeom prst="rect">
              <a:avLst/>
            </a:prstGeom>
            <a:solidFill>
              <a:srgbClr val="FFFFFF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758" name="AutoShape 183">
              <a:extLst>
                <a:ext uri="{FF2B5EF4-FFF2-40B4-BE49-F238E27FC236}">
                  <a16:creationId xmlns:a16="http://schemas.microsoft.com/office/drawing/2014/main" id="{21E044DD-176B-02EF-FBDF-FE552B34FCED}"/>
                </a:ext>
              </a:extLst>
            </xdr:cNvPr>
            <xdr:cNvSpPr>
              <a:spLocks noChangeArrowheads="1"/>
            </xdr:cNvSpPr>
          </xdr:nvSpPr>
          <xdr:spPr bwMode="auto">
            <a:xfrm rot="5400000" flipV="1">
              <a:off x="580" y="1507"/>
              <a:ext cx="19" cy="19"/>
            </a:xfrm>
            <a:prstGeom prst="rtTriangle">
              <a:avLst/>
            </a:prstGeom>
            <a:solidFill>
              <a:srgbClr val="000000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759" name="AutoShape 184">
              <a:extLst>
                <a:ext uri="{FF2B5EF4-FFF2-40B4-BE49-F238E27FC236}">
                  <a16:creationId xmlns:a16="http://schemas.microsoft.com/office/drawing/2014/main" id="{91711D3C-6A36-AB06-354D-CDBE375AF744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580" y="1457"/>
              <a:ext cx="19" cy="19"/>
            </a:xfrm>
            <a:prstGeom prst="rtTriangle">
              <a:avLst/>
            </a:prstGeom>
            <a:solidFill>
              <a:srgbClr val="000000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42752" name="Freeform 189">
            <a:extLst>
              <a:ext uri="{FF2B5EF4-FFF2-40B4-BE49-F238E27FC236}">
                <a16:creationId xmlns:a16="http://schemas.microsoft.com/office/drawing/2014/main" id="{BB789B2D-99A7-E71B-D901-0179C8A8A52A}"/>
              </a:ext>
            </a:extLst>
          </xdr:cNvPr>
          <xdr:cNvSpPr>
            <a:spLocks/>
          </xdr:cNvSpPr>
        </xdr:nvSpPr>
        <xdr:spPr bwMode="auto">
          <a:xfrm>
            <a:off x="577" y="1476"/>
            <a:ext cx="2" cy="19"/>
          </a:xfrm>
          <a:custGeom>
            <a:avLst/>
            <a:gdLst>
              <a:gd name="T0" fmla="*/ 2 w 2"/>
              <a:gd name="T1" fmla="*/ 0 h 19"/>
              <a:gd name="T2" fmla="*/ 0 w 2"/>
              <a:gd name="T3" fmla="*/ 12 h 19"/>
              <a:gd name="T4" fmla="*/ 2 w 2"/>
              <a:gd name="T5" fmla="*/ 19 h 19"/>
              <a:gd name="T6" fmla="*/ 0 60000 65536"/>
              <a:gd name="T7" fmla="*/ 0 60000 65536"/>
              <a:gd name="T8" fmla="*/ 0 60000 65536"/>
              <a:gd name="T9" fmla="*/ 0 w 2"/>
              <a:gd name="T10" fmla="*/ 0 h 19"/>
              <a:gd name="T11" fmla="*/ 2 w 2"/>
              <a:gd name="T12" fmla="*/ 19 h 19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" h="19">
                <a:moveTo>
                  <a:pt x="2" y="0"/>
                </a:moveTo>
                <a:cubicBezTo>
                  <a:pt x="0" y="4"/>
                  <a:pt x="2" y="8"/>
                  <a:pt x="0" y="12"/>
                </a:cubicBezTo>
                <a:cubicBezTo>
                  <a:pt x="2" y="18"/>
                  <a:pt x="2" y="16"/>
                  <a:pt x="2" y="19"/>
                </a:cubicBezTo>
              </a:path>
            </a:pathLst>
          </a:cu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242753" name="Group 192">
            <a:extLst>
              <a:ext uri="{FF2B5EF4-FFF2-40B4-BE49-F238E27FC236}">
                <a16:creationId xmlns:a16="http://schemas.microsoft.com/office/drawing/2014/main" id="{9B4679D8-5838-7446-AA3B-B331BF1943B6}"/>
              </a:ext>
            </a:extLst>
          </xdr:cNvPr>
          <xdr:cNvGrpSpPr>
            <a:grpSpLocks/>
          </xdr:cNvGrpSpPr>
        </xdr:nvGrpSpPr>
        <xdr:grpSpPr bwMode="auto">
          <a:xfrm flipH="1">
            <a:off x="631" y="1457"/>
            <a:ext cx="96" cy="69"/>
            <a:chOff x="503" y="1457"/>
            <a:chExt cx="96" cy="69"/>
          </a:xfrm>
        </xdr:grpSpPr>
        <xdr:sp macro="" textlink="">
          <xdr:nvSpPr>
            <xdr:cNvPr id="242754" name="Rectangle 193">
              <a:extLst>
                <a:ext uri="{FF2B5EF4-FFF2-40B4-BE49-F238E27FC236}">
                  <a16:creationId xmlns:a16="http://schemas.microsoft.com/office/drawing/2014/main" id="{6D0CA9CC-32A3-701E-7D78-96E908975C16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03" y="1477"/>
              <a:ext cx="96" cy="30"/>
            </a:xfrm>
            <a:prstGeom prst="rect">
              <a:avLst/>
            </a:prstGeom>
            <a:solidFill>
              <a:srgbClr val="FFFFFF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755" name="AutoShape 194">
              <a:extLst>
                <a:ext uri="{FF2B5EF4-FFF2-40B4-BE49-F238E27FC236}">
                  <a16:creationId xmlns:a16="http://schemas.microsoft.com/office/drawing/2014/main" id="{E9DF28E2-D890-003C-A0A6-FCE775ACEE04}"/>
                </a:ext>
              </a:extLst>
            </xdr:cNvPr>
            <xdr:cNvSpPr>
              <a:spLocks noChangeArrowheads="1"/>
            </xdr:cNvSpPr>
          </xdr:nvSpPr>
          <xdr:spPr bwMode="auto">
            <a:xfrm rot="5400000" flipV="1">
              <a:off x="580" y="1507"/>
              <a:ext cx="19" cy="19"/>
            </a:xfrm>
            <a:prstGeom prst="rtTriangle">
              <a:avLst/>
            </a:prstGeom>
            <a:solidFill>
              <a:srgbClr val="000000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2756" name="AutoShape 195">
              <a:extLst>
                <a:ext uri="{FF2B5EF4-FFF2-40B4-BE49-F238E27FC236}">
                  <a16:creationId xmlns:a16="http://schemas.microsoft.com/office/drawing/2014/main" id="{284F2ABD-ADA7-0ACD-18B7-AE3615275216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580" y="1457"/>
              <a:ext cx="19" cy="19"/>
            </a:xfrm>
            <a:prstGeom prst="rtTriangle">
              <a:avLst/>
            </a:prstGeom>
            <a:solidFill>
              <a:srgbClr val="000000"/>
            </a:solidFill>
            <a:ln w="2857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13</xdr:col>
      <xdr:colOff>38100</xdr:colOff>
      <xdr:row>75</xdr:row>
      <xdr:rowOff>19050</xdr:rowOff>
    </xdr:from>
    <xdr:to>
      <xdr:col>15</xdr:col>
      <xdr:colOff>742950</xdr:colOff>
      <xdr:row>86</xdr:row>
      <xdr:rowOff>66675</xdr:rowOff>
    </xdr:to>
    <xdr:grpSp>
      <xdr:nvGrpSpPr>
        <xdr:cNvPr id="242734" name="Group 209">
          <a:extLst>
            <a:ext uri="{FF2B5EF4-FFF2-40B4-BE49-F238E27FC236}">
              <a16:creationId xmlns:a16="http://schemas.microsoft.com/office/drawing/2014/main" id="{8770F714-7384-E861-CCC9-8948257D4FF6}"/>
            </a:ext>
          </a:extLst>
        </xdr:cNvPr>
        <xdr:cNvGrpSpPr>
          <a:grpSpLocks/>
        </xdr:cNvGrpSpPr>
      </xdr:nvGrpSpPr>
      <xdr:grpSpPr bwMode="auto">
        <a:xfrm>
          <a:off x="7058025" y="13087350"/>
          <a:ext cx="2209800" cy="1933575"/>
          <a:chOff x="791" y="1373"/>
          <a:chExt cx="232" cy="203"/>
        </a:xfrm>
      </xdr:grpSpPr>
      <xdr:sp macro="" textlink="">
        <xdr:nvSpPr>
          <xdr:cNvPr id="242742" name="Rectangle 198">
            <a:extLst>
              <a:ext uri="{FF2B5EF4-FFF2-40B4-BE49-F238E27FC236}">
                <a16:creationId xmlns:a16="http://schemas.microsoft.com/office/drawing/2014/main" id="{0987DC0D-46AF-4369-938F-0D2687C387D3}"/>
              </a:ext>
            </a:extLst>
          </xdr:cNvPr>
          <xdr:cNvSpPr>
            <a:spLocks noChangeArrowheads="1"/>
          </xdr:cNvSpPr>
        </xdr:nvSpPr>
        <xdr:spPr bwMode="auto">
          <a:xfrm>
            <a:off x="891" y="1373"/>
            <a:ext cx="32" cy="203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43" name="Rectangle 200">
            <a:extLst>
              <a:ext uri="{FF2B5EF4-FFF2-40B4-BE49-F238E27FC236}">
                <a16:creationId xmlns:a16="http://schemas.microsoft.com/office/drawing/2014/main" id="{8E95306D-BD12-6FAC-99DF-CCE0DD77A473}"/>
              </a:ext>
            </a:extLst>
          </xdr:cNvPr>
          <xdr:cNvSpPr>
            <a:spLocks noChangeArrowheads="1"/>
          </xdr:cNvSpPr>
        </xdr:nvSpPr>
        <xdr:spPr bwMode="auto">
          <a:xfrm>
            <a:off x="791" y="1459"/>
            <a:ext cx="96" cy="30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44" name="AutoShape 201">
            <a:extLst>
              <a:ext uri="{FF2B5EF4-FFF2-40B4-BE49-F238E27FC236}">
                <a16:creationId xmlns:a16="http://schemas.microsoft.com/office/drawing/2014/main" id="{411E9ADC-B65A-4A52-FCB8-FA37A067EB10}"/>
              </a:ext>
            </a:extLst>
          </xdr:cNvPr>
          <xdr:cNvSpPr>
            <a:spLocks noChangeArrowheads="1"/>
          </xdr:cNvSpPr>
        </xdr:nvSpPr>
        <xdr:spPr bwMode="auto">
          <a:xfrm rot="5400000" flipV="1">
            <a:off x="868" y="1489"/>
            <a:ext cx="21" cy="22"/>
          </a:xfrm>
          <a:prstGeom prst="rtTriangle">
            <a:avLst/>
          </a:prstGeom>
          <a:solidFill>
            <a:srgbClr val="000000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45" name="AutoShape 202">
            <a:extLst>
              <a:ext uri="{FF2B5EF4-FFF2-40B4-BE49-F238E27FC236}">
                <a16:creationId xmlns:a16="http://schemas.microsoft.com/office/drawing/2014/main" id="{4B58FB2C-3CB2-EAE3-E72B-E63666D0D187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868" y="1436"/>
            <a:ext cx="24" cy="20"/>
          </a:xfrm>
          <a:prstGeom prst="rtTriangle">
            <a:avLst/>
          </a:prstGeom>
          <a:solidFill>
            <a:srgbClr val="000000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46" name="Rectangle 205">
            <a:extLst>
              <a:ext uri="{FF2B5EF4-FFF2-40B4-BE49-F238E27FC236}">
                <a16:creationId xmlns:a16="http://schemas.microsoft.com/office/drawing/2014/main" id="{A3E85A6E-5222-234E-124E-78025ACB8312}"/>
              </a:ext>
            </a:extLst>
          </xdr:cNvPr>
          <xdr:cNvSpPr>
            <a:spLocks noChangeArrowheads="1"/>
          </xdr:cNvSpPr>
        </xdr:nvSpPr>
        <xdr:spPr bwMode="auto">
          <a:xfrm flipH="1">
            <a:off x="927" y="1459"/>
            <a:ext cx="96" cy="30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47" name="AutoShape 206">
            <a:extLst>
              <a:ext uri="{FF2B5EF4-FFF2-40B4-BE49-F238E27FC236}">
                <a16:creationId xmlns:a16="http://schemas.microsoft.com/office/drawing/2014/main" id="{F504A136-07AB-EA2A-3CB6-EC5D8B09D594}"/>
              </a:ext>
            </a:extLst>
          </xdr:cNvPr>
          <xdr:cNvSpPr>
            <a:spLocks noChangeArrowheads="1"/>
          </xdr:cNvSpPr>
        </xdr:nvSpPr>
        <xdr:spPr bwMode="auto">
          <a:xfrm rot="-5400000" flipH="1" flipV="1">
            <a:off x="923" y="1489"/>
            <a:ext cx="23" cy="24"/>
          </a:xfrm>
          <a:prstGeom prst="rtTriangle">
            <a:avLst/>
          </a:prstGeom>
          <a:solidFill>
            <a:srgbClr val="000000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48" name="AutoShape 207">
            <a:extLst>
              <a:ext uri="{FF2B5EF4-FFF2-40B4-BE49-F238E27FC236}">
                <a16:creationId xmlns:a16="http://schemas.microsoft.com/office/drawing/2014/main" id="{19E1270E-7F6F-112B-C823-224017013495}"/>
              </a:ext>
            </a:extLst>
          </xdr:cNvPr>
          <xdr:cNvSpPr>
            <a:spLocks noChangeArrowheads="1"/>
          </xdr:cNvSpPr>
        </xdr:nvSpPr>
        <xdr:spPr bwMode="auto">
          <a:xfrm rot="5400000" flipH="1">
            <a:off x="922" y="1436"/>
            <a:ext cx="23" cy="22"/>
          </a:xfrm>
          <a:prstGeom prst="rtTriangle">
            <a:avLst/>
          </a:prstGeom>
          <a:solidFill>
            <a:srgbClr val="000000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2749" name="Freeform 208">
            <a:extLst>
              <a:ext uri="{FF2B5EF4-FFF2-40B4-BE49-F238E27FC236}">
                <a16:creationId xmlns:a16="http://schemas.microsoft.com/office/drawing/2014/main" id="{C696233A-8B00-6C2A-DFFA-5C71F5CD535E}"/>
              </a:ext>
            </a:extLst>
          </xdr:cNvPr>
          <xdr:cNvSpPr>
            <a:spLocks/>
          </xdr:cNvSpPr>
        </xdr:nvSpPr>
        <xdr:spPr bwMode="auto">
          <a:xfrm>
            <a:off x="880" y="1450"/>
            <a:ext cx="10" cy="9"/>
          </a:xfrm>
          <a:custGeom>
            <a:avLst/>
            <a:gdLst>
              <a:gd name="T0" fmla="*/ 11 w 9"/>
              <a:gd name="T1" fmla="*/ 10 h 8"/>
              <a:gd name="T2" fmla="*/ 1 w 9"/>
              <a:gd name="T3" fmla="*/ 2 h 8"/>
              <a:gd name="T4" fmla="*/ 0 w 9"/>
              <a:gd name="T5" fmla="*/ 0 h 8"/>
              <a:gd name="T6" fmla="*/ 0 60000 65536"/>
              <a:gd name="T7" fmla="*/ 0 60000 65536"/>
              <a:gd name="T8" fmla="*/ 0 60000 65536"/>
              <a:gd name="T9" fmla="*/ 0 w 9"/>
              <a:gd name="T10" fmla="*/ 0 h 8"/>
              <a:gd name="T11" fmla="*/ 9 w 9"/>
              <a:gd name="T12" fmla="*/ 8 h 8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9" h="8">
                <a:moveTo>
                  <a:pt x="9" y="8"/>
                </a:moveTo>
                <a:cubicBezTo>
                  <a:pt x="4" y="6"/>
                  <a:pt x="7" y="3"/>
                  <a:pt x="1" y="2"/>
                </a:cubicBezTo>
                <a:cubicBezTo>
                  <a:pt x="1" y="1"/>
                  <a:pt x="0" y="0"/>
                  <a:pt x="0" y="0"/>
                </a:cubicBezTo>
              </a:path>
            </a:pathLst>
          </a:custGeom>
          <a:noFill/>
          <a:ln w="2857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13</xdr:col>
      <xdr:colOff>600075</xdr:colOff>
      <xdr:row>91</xdr:row>
      <xdr:rowOff>95250</xdr:rowOff>
    </xdr:from>
    <xdr:to>
      <xdr:col>15</xdr:col>
      <xdr:colOff>171450</xdr:colOff>
      <xdr:row>120</xdr:row>
      <xdr:rowOff>57150</xdr:rowOff>
    </xdr:to>
    <xdr:sp macro="" textlink="">
      <xdr:nvSpPr>
        <xdr:cNvPr id="242735" name="Rectangle 211">
          <a:extLst>
            <a:ext uri="{FF2B5EF4-FFF2-40B4-BE49-F238E27FC236}">
              <a16:creationId xmlns:a16="http://schemas.microsoft.com/office/drawing/2014/main" id="{9ACA2591-919D-0F23-555A-D48B0683CEAE}"/>
            </a:ext>
          </a:extLst>
        </xdr:cNvPr>
        <xdr:cNvSpPr>
          <a:spLocks noChangeArrowheads="1"/>
        </xdr:cNvSpPr>
      </xdr:nvSpPr>
      <xdr:spPr bwMode="auto">
        <a:xfrm>
          <a:off x="7620000" y="15906750"/>
          <a:ext cx="1076325" cy="4933950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514350</xdr:colOff>
      <xdr:row>102</xdr:row>
      <xdr:rowOff>133350</xdr:rowOff>
    </xdr:from>
    <xdr:to>
      <xdr:col>13</xdr:col>
      <xdr:colOff>600075</xdr:colOff>
      <xdr:row>109</xdr:row>
      <xdr:rowOff>9525</xdr:rowOff>
    </xdr:to>
    <xdr:sp macro="" textlink="">
      <xdr:nvSpPr>
        <xdr:cNvPr id="242736" name="Rectangle 212">
          <a:extLst>
            <a:ext uri="{FF2B5EF4-FFF2-40B4-BE49-F238E27FC236}">
              <a16:creationId xmlns:a16="http://schemas.microsoft.com/office/drawing/2014/main" id="{C2B6D59A-8652-20AF-0103-20A84BF00801}"/>
            </a:ext>
          </a:extLst>
        </xdr:cNvPr>
        <xdr:cNvSpPr>
          <a:spLocks noChangeArrowheads="1"/>
        </xdr:cNvSpPr>
      </xdr:nvSpPr>
      <xdr:spPr bwMode="auto">
        <a:xfrm>
          <a:off x="5753100" y="17830800"/>
          <a:ext cx="1866900" cy="1076325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571500</xdr:colOff>
      <xdr:row>109</xdr:row>
      <xdr:rowOff>9525</xdr:rowOff>
    </xdr:from>
    <xdr:to>
      <xdr:col>13</xdr:col>
      <xdr:colOff>600075</xdr:colOff>
      <xdr:row>118</xdr:row>
      <xdr:rowOff>142875</xdr:rowOff>
    </xdr:to>
    <xdr:sp macro="" textlink="">
      <xdr:nvSpPr>
        <xdr:cNvPr id="242737" name="AutoShape 213">
          <a:extLst>
            <a:ext uri="{FF2B5EF4-FFF2-40B4-BE49-F238E27FC236}">
              <a16:creationId xmlns:a16="http://schemas.microsoft.com/office/drawing/2014/main" id="{04031201-C5C3-5709-71A2-F7B13BCFF897}"/>
            </a:ext>
          </a:extLst>
        </xdr:cNvPr>
        <xdr:cNvSpPr>
          <a:spLocks noChangeArrowheads="1"/>
        </xdr:cNvSpPr>
      </xdr:nvSpPr>
      <xdr:spPr bwMode="auto">
        <a:xfrm rot="5400000" flipV="1">
          <a:off x="6105525" y="19069050"/>
          <a:ext cx="1676400" cy="1352550"/>
        </a:xfrm>
        <a:prstGeom prst="rtTriangle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571500</xdr:colOff>
      <xdr:row>93</xdr:row>
      <xdr:rowOff>0</xdr:rowOff>
    </xdr:from>
    <xdr:to>
      <xdr:col>13</xdr:col>
      <xdr:colOff>600075</xdr:colOff>
      <xdr:row>102</xdr:row>
      <xdr:rowOff>133350</xdr:rowOff>
    </xdr:to>
    <xdr:sp macro="" textlink="">
      <xdr:nvSpPr>
        <xdr:cNvPr id="242738" name="AutoShape 220">
          <a:extLst>
            <a:ext uri="{FF2B5EF4-FFF2-40B4-BE49-F238E27FC236}">
              <a16:creationId xmlns:a16="http://schemas.microsoft.com/office/drawing/2014/main" id="{225BF598-2051-812E-D268-950325B641CA}"/>
            </a:ext>
          </a:extLst>
        </xdr:cNvPr>
        <xdr:cNvSpPr>
          <a:spLocks noChangeArrowheads="1"/>
        </xdr:cNvSpPr>
      </xdr:nvSpPr>
      <xdr:spPr bwMode="auto">
        <a:xfrm rot="-5400000">
          <a:off x="6105525" y="16316325"/>
          <a:ext cx="1676400" cy="1352550"/>
        </a:xfrm>
        <a:prstGeom prst="rtTriangle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466725</xdr:colOff>
      <xdr:row>102</xdr:row>
      <xdr:rowOff>133350</xdr:rowOff>
    </xdr:from>
    <xdr:to>
      <xdr:col>13</xdr:col>
      <xdr:colOff>733425</xdr:colOff>
      <xdr:row>104</xdr:row>
      <xdr:rowOff>57150</xdr:rowOff>
    </xdr:to>
    <xdr:sp macro="" textlink="">
      <xdr:nvSpPr>
        <xdr:cNvPr id="242739" name="Oval 221">
          <a:extLst>
            <a:ext uri="{FF2B5EF4-FFF2-40B4-BE49-F238E27FC236}">
              <a16:creationId xmlns:a16="http://schemas.microsoft.com/office/drawing/2014/main" id="{AD7492F7-D6CF-AC0F-1E54-9B300CFD4A3F}"/>
            </a:ext>
          </a:extLst>
        </xdr:cNvPr>
        <xdr:cNvSpPr>
          <a:spLocks noChangeArrowheads="1"/>
        </xdr:cNvSpPr>
      </xdr:nvSpPr>
      <xdr:spPr bwMode="auto">
        <a:xfrm>
          <a:off x="7486650" y="17830800"/>
          <a:ext cx="266700" cy="266700"/>
        </a:xfrm>
        <a:prstGeom prst="ellipse">
          <a:avLst/>
        </a:prstGeom>
        <a:solidFill>
          <a:srgbClr val="FFFFFF"/>
        </a:solidFill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466725</xdr:colOff>
      <xdr:row>107</xdr:row>
      <xdr:rowOff>95250</xdr:rowOff>
    </xdr:from>
    <xdr:to>
      <xdr:col>13</xdr:col>
      <xdr:colOff>733425</xdr:colOff>
      <xdr:row>109</xdr:row>
      <xdr:rowOff>19050</xdr:rowOff>
    </xdr:to>
    <xdr:sp macro="" textlink="">
      <xdr:nvSpPr>
        <xdr:cNvPr id="242740" name="Oval 222">
          <a:extLst>
            <a:ext uri="{FF2B5EF4-FFF2-40B4-BE49-F238E27FC236}">
              <a16:creationId xmlns:a16="http://schemas.microsoft.com/office/drawing/2014/main" id="{02D55218-3244-2D6B-716F-5BBFC3158A47}"/>
            </a:ext>
          </a:extLst>
        </xdr:cNvPr>
        <xdr:cNvSpPr>
          <a:spLocks noChangeArrowheads="1"/>
        </xdr:cNvSpPr>
      </xdr:nvSpPr>
      <xdr:spPr bwMode="auto">
        <a:xfrm>
          <a:off x="7486650" y="18649950"/>
          <a:ext cx="266700" cy="266700"/>
        </a:xfrm>
        <a:prstGeom prst="ellipse">
          <a:avLst/>
        </a:prstGeom>
        <a:solidFill>
          <a:srgbClr val="FFFFFF"/>
        </a:solidFill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619125</xdr:colOff>
      <xdr:row>3</xdr:row>
      <xdr:rowOff>123825</xdr:rowOff>
    </xdr:from>
    <xdr:to>
      <xdr:col>17</xdr:col>
      <xdr:colOff>714375</xdr:colOff>
      <xdr:row>23</xdr:row>
      <xdr:rowOff>19050</xdr:rowOff>
    </xdr:to>
    <xdr:graphicFrame macro="">
      <xdr:nvGraphicFramePr>
        <xdr:cNvPr id="242741" name="차트 138">
          <a:extLst>
            <a:ext uri="{FF2B5EF4-FFF2-40B4-BE49-F238E27FC236}">
              <a16:creationId xmlns:a16="http://schemas.microsoft.com/office/drawing/2014/main" id="{73CBB03F-F57F-3DA9-050C-CCF9CA8FA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47625</xdr:rowOff>
    </xdr:from>
    <xdr:to>
      <xdr:col>9</xdr:col>
      <xdr:colOff>457200</xdr:colOff>
      <xdr:row>19</xdr:row>
      <xdr:rowOff>0</xdr:rowOff>
    </xdr:to>
    <xdr:grpSp>
      <xdr:nvGrpSpPr>
        <xdr:cNvPr id="37173" name="Group 1">
          <a:extLst>
            <a:ext uri="{FF2B5EF4-FFF2-40B4-BE49-F238E27FC236}">
              <a16:creationId xmlns:a16="http://schemas.microsoft.com/office/drawing/2014/main" id="{504002B6-3FC8-1763-A528-78E4EE367727}"/>
            </a:ext>
          </a:extLst>
        </xdr:cNvPr>
        <xdr:cNvGrpSpPr>
          <a:grpSpLocks/>
        </xdr:cNvGrpSpPr>
      </xdr:nvGrpSpPr>
      <xdr:grpSpPr bwMode="auto">
        <a:xfrm>
          <a:off x="57150" y="381000"/>
          <a:ext cx="5114925" cy="2867025"/>
          <a:chOff x="48" y="54"/>
          <a:chExt cx="537" cy="318"/>
        </a:xfrm>
      </xdr:grpSpPr>
      <xdr:grpSp>
        <xdr:nvGrpSpPr>
          <xdr:cNvPr id="37174" name="Group 2">
            <a:extLst>
              <a:ext uri="{FF2B5EF4-FFF2-40B4-BE49-F238E27FC236}">
                <a16:creationId xmlns:a16="http://schemas.microsoft.com/office/drawing/2014/main" id="{DE289E9D-073B-F139-CFF2-F2FABF51C452}"/>
              </a:ext>
            </a:extLst>
          </xdr:cNvPr>
          <xdr:cNvGrpSpPr>
            <a:grpSpLocks/>
          </xdr:cNvGrpSpPr>
        </xdr:nvGrpSpPr>
        <xdr:grpSpPr bwMode="auto">
          <a:xfrm>
            <a:off x="48" y="54"/>
            <a:ext cx="537" cy="318"/>
            <a:chOff x="95" y="54"/>
            <a:chExt cx="537" cy="318"/>
          </a:xfrm>
        </xdr:grpSpPr>
        <xdr:sp macro="" textlink="">
          <xdr:nvSpPr>
            <xdr:cNvPr id="37179" name="Rectangle 3">
              <a:extLst>
                <a:ext uri="{FF2B5EF4-FFF2-40B4-BE49-F238E27FC236}">
                  <a16:creationId xmlns:a16="http://schemas.microsoft.com/office/drawing/2014/main" id="{BA59631E-A98D-60B8-457D-1AF30F5E8B0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7180" name="Rectangle 4">
              <a:extLst>
                <a:ext uri="{FF2B5EF4-FFF2-40B4-BE49-F238E27FC236}">
                  <a16:creationId xmlns:a16="http://schemas.microsoft.com/office/drawing/2014/main" id="{95C98807-DB0C-4EE9-0A52-33AB369E279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4" y="252"/>
              <a:ext cx="63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7181" name="Rectangle 5">
              <a:extLst>
                <a:ext uri="{FF2B5EF4-FFF2-40B4-BE49-F238E27FC236}">
                  <a16:creationId xmlns:a16="http://schemas.microsoft.com/office/drawing/2014/main" id="{AC124878-1490-C61B-F994-DF0D6869029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7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7182" name="Rectangle 6">
              <a:extLst>
                <a:ext uri="{FF2B5EF4-FFF2-40B4-BE49-F238E27FC236}">
                  <a16:creationId xmlns:a16="http://schemas.microsoft.com/office/drawing/2014/main" id="{F04AA496-89C2-D52E-CDDA-EA281305E873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6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7183" name="Rectangle 7">
              <a:extLst>
                <a:ext uri="{FF2B5EF4-FFF2-40B4-BE49-F238E27FC236}">
                  <a16:creationId xmlns:a16="http://schemas.microsoft.com/office/drawing/2014/main" id="{22F9003E-8624-159E-4B3B-A8A44133FBD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5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7184" name="Rectangle 8">
              <a:extLst>
                <a:ext uri="{FF2B5EF4-FFF2-40B4-BE49-F238E27FC236}">
                  <a16:creationId xmlns:a16="http://schemas.microsoft.com/office/drawing/2014/main" id="{6BFC8525-6957-97CC-4AF8-02B594CF2F8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74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7185" name="Rectangle 9">
              <a:extLst>
                <a:ext uri="{FF2B5EF4-FFF2-40B4-BE49-F238E27FC236}">
                  <a16:creationId xmlns:a16="http://schemas.microsoft.com/office/drawing/2014/main" id="{E0DF204A-1CFF-8A2D-3EED-3B08454E7BF5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53" y="252"/>
              <a:ext cx="79" cy="1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7186" name="Rectangle 10">
              <a:extLst>
                <a:ext uri="{FF2B5EF4-FFF2-40B4-BE49-F238E27FC236}">
                  <a16:creationId xmlns:a16="http://schemas.microsoft.com/office/drawing/2014/main" id="{47D3D927-BD69-168D-3B42-C31D7ADDE4B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9" y="54"/>
              <a:ext cx="18" cy="19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7187" name="AutoShape 11">
              <a:extLst>
                <a:ext uri="{FF2B5EF4-FFF2-40B4-BE49-F238E27FC236}">
                  <a16:creationId xmlns:a16="http://schemas.microsoft.com/office/drawing/2014/main" id="{3BE06123-8584-30D9-B70A-66782786C0C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7" y="234"/>
              <a:ext cx="16" cy="18"/>
            </a:xfrm>
            <a:prstGeom prst="rtTriangle">
              <a:avLst/>
            </a:prstGeom>
            <a:solidFill>
              <a:srgbClr val="00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7188" name="Line 12">
              <a:extLst>
                <a:ext uri="{FF2B5EF4-FFF2-40B4-BE49-F238E27FC236}">
                  <a16:creationId xmlns:a16="http://schemas.microsoft.com/office/drawing/2014/main" id="{C9F2A77B-E5A2-E0BD-22B5-5EAD4B2B215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7" y="252"/>
              <a:ext cx="0" cy="5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189" name="Line 13">
              <a:extLst>
                <a:ext uri="{FF2B5EF4-FFF2-40B4-BE49-F238E27FC236}">
                  <a16:creationId xmlns:a16="http://schemas.microsoft.com/office/drawing/2014/main" id="{AFA022A7-5D2F-EE54-F505-BDEC91B44C6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6" y="252"/>
              <a:ext cx="0" cy="7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190" name="Line 14">
              <a:extLst>
                <a:ext uri="{FF2B5EF4-FFF2-40B4-BE49-F238E27FC236}">
                  <a16:creationId xmlns:a16="http://schemas.microsoft.com/office/drawing/2014/main" id="{5A7323C8-4125-CA1B-0555-1B61A46C98E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35" y="252"/>
              <a:ext cx="0" cy="9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191" name="Line 15">
              <a:extLst>
                <a:ext uri="{FF2B5EF4-FFF2-40B4-BE49-F238E27FC236}">
                  <a16:creationId xmlns:a16="http://schemas.microsoft.com/office/drawing/2014/main" id="{9CAEDD0B-BD88-436C-26BD-7917D68DB0B7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14" y="252"/>
              <a:ext cx="0" cy="1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192" name="Line 16">
              <a:extLst>
                <a:ext uri="{FF2B5EF4-FFF2-40B4-BE49-F238E27FC236}">
                  <a16:creationId xmlns:a16="http://schemas.microsoft.com/office/drawing/2014/main" id="{1B322204-4090-A53F-108E-D51CD6676B7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9" y="301"/>
              <a:ext cx="3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193" name="Line 17">
              <a:extLst>
                <a:ext uri="{FF2B5EF4-FFF2-40B4-BE49-F238E27FC236}">
                  <a16:creationId xmlns:a16="http://schemas.microsoft.com/office/drawing/2014/main" id="{2C52FA6C-9D21-3F22-81D1-D762C37F330D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6" y="324"/>
              <a:ext cx="12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194" name="Line 18">
              <a:extLst>
                <a:ext uri="{FF2B5EF4-FFF2-40B4-BE49-F238E27FC236}">
                  <a16:creationId xmlns:a16="http://schemas.microsoft.com/office/drawing/2014/main" id="{8D70AC04-2E27-4F1B-DCFB-F180CBD1E9A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6" y="342"/>
              <a:ext cx="19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195" name="Line 19">
              <a:extLst>
                <a:ext uri="{FF2B5EF4-FFF2-40B4-BE49-F238E27FC236}">
                  <a16:creationId xmlns:a16="http://schemas.microsoft.com/office/drawing/2014/main" id="{51B60608-3E48-B89A-17E3-E9240A59663D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7" y="361"/>
              <a:ext cx="27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196" name="Line 20">
              <a:extLst>
                <a:ext uri="{FF2B5EF4-FFF2-40B4-BE49-F238E27FC236}">
                  <a16:creationId xmlns:a16="http://schemas.microsoft.com/office/drawing/2014/main" id="{D7724A2B-FA5C-F75A-E748-41A310EBA5A9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7" y="269"/>
              <a:ext cx="0" cy="9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6885" name="Text Box 21">
              <a:extLst>
                <a:ext uri="{FF2B5EF4-FFF2-40B4-BE49-F238E27FC236}">
                  <a16:creationId xmlns:a16="http://schemas.microsoft.com/office/drawing/2014/main" id="{6F287B3F-19BE-40C3-ACD7-22E07BAF039A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4" y="287"/>
              <a:ext cx="18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x1</a:t>
              </a:r>
            </a:p>
          </xdr:txBody>
        </xdr:sp>
        <xdr:sp macro="" textlink="">
          <xdr:nvSpPr>
            <xdr:cNvPr id="36886" name="Text Box 22">
              <a:extLst>
                <a:ext uri="{FF2B5EF4-FFF2-40B4-BE49-F238E27FC236}">
                  <a16:creationId xmlns:a16="http://schemas.microsoft.com/office/drawing/2014/main" id="{BA5782E0-6DB8-C816-746D-427774C91E21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68" y="309"/>
              <a:ext cx="18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x2</a:t>
              </a:r>
            </a:p>
          </xdr:txBody>
        </xdr:sp>
        <xdr:sp macro="" textlink="">
          <xdr:nvSpPr>
            <xdr:cNvPr id="36887" name="Text Box 23">
              <a:extLst>
                <a:ext uri="{FF2B5EF4-FFF2-40B4-BE49-F238E27FC236}">
                  <a16:creationId xmlns:a16="http://schemas.microsoft.com/office/drawing/2014/main" id="{432DB7CA-71B2-3FAA-831B-BD54CF6F68AE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47" y="328"/>
              <a:ext cx="18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x3</a:t>
              </a:r>
            </a:p>
          </xdr:txBody>
        </xdr:sp>
        <xdr:sp macro="" textlink="">
          <xdr:nvSpPr>
            <xdr:cNvPr id="36888" name="Text Box 24">
              <a:extLst>
                <a:ext uri="{FF2B5EF4-FFF2-40B4-BE49-F238E27FC236}">
                  <a16:creationId xmlns:a16="http://schemas.microsoft.com/office/drawing/2014/main" id="{9713F7C8-E76F-4074-E127-59DAE6C3DEDA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31" y="348"/>
              <a:ext cx="18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x4</a:t>
              </a:r>
            </a:p>
          </xdr:txBody>
        </xdr:sp>
        <xdr:sp macro="" textlink="">
          <xdr:nvSpPr>
            <xdr:cNvPr id="37201" name="Line 25">
              <a:extLst>
                <a:ext uri="{FF2B5EF4-FFF2-40B4-BE49-F238E27FC236}">
                  <a16:creationId xmlns:a16="http://schemas.microsoft.com/office/drawing/2014/main" id="{0498F300-69CD-33A6-07EB-452B0BF02357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292" y="136"/>
              <a:ext cx="0" cy="11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202" name="Line 26">
              <a:extLst>
                <a:ext uri="{FF2B5EF4-FFF2-40B4-BE49-F238E27FC236}">
                  <a16:creationId xmlns:a16="http://schemas.microsoft.com/office/drawing/2014/main" id="{E00C54CD-C9D1-D0BC-2520-848491A2EBB4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67" y="187"/>
              <a:ext cx="0" cy="6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203" name="Line 27">
              <a:extLst>
                <a:ext uri="{FF2B5EF4-FFF2-40B4-BE49-F238E27FC236}">
                  <a16:creationId xmlns:a16="http://schemas.microsoft.com/office/drawing/2014/main" id="{EABF55C1-B7A2-D1D1-1E6A-4298671F26B3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254" y="59"/>
              <a:ext cx="0" cy="19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204" name="Freeform 28">
              <a:extLst>
                <a:ext uri="{FF2B5EF4-FFF2-40B4-BE49-F238E27FC236}">
                  <a16:creationId xmlns:a16="http://schemas.microsoft.com/office/drawing/2014/main" id="{A2B3FD86-3D4D-EDFC-C4D4-3B6C50B40BFA}"/>
                </a:ext>
              </a:extLst>
            </xdr:cNvPr>
            <xdr:cNvSpPr>
              <a:spLocks/>
            </xdr:cNvSpPr>
          </xdr:nvSpPr>
          <xdr:spPr bwMode="auto">
            <a:xfrm>
              <a:off x="254" y="66"/>
              <a:ext cx="282" cy="157"/>
            </a:xfrm>
            <a:custGeom>
              <a:avLst/>
              <a:gdLst>
                <a:gd name="T0" fmla="*/ 0 w 282"/>
                <a:gd name="T1" fmla="*/ 0 h 157"/>
                <a:gd name="T2" fmla="*/ 33 w 282"/>
                <a:gd name="T3" fmla="*/ 65 h 157"/>
                <a:gd name="T4" fmla="*/ 111 w 282"/>
                <a:gd name="T5" fmla="*/ 120 h 157"/>
                <a:gd name="T6" fmla="*/ 282 w 282"/>
                <a:gd name="T7" fmla="*/ 157 h 157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282"/>
                <a:gd name="T13" fmla="*/ 0 h 157"/>
                <a:gd name="T14" fmla="*/ 282 w 282"/>
                <a:gd name="T15" fmla="*/ 157 h 157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82" h="157">
                  <a:moveTo>
                    <a:pt x="0" y="0"/>
                  </a:moveTo>
                  <a:cubicBezTo>
                    <a:pt x="5" y="11"/>
                    <a:pt x="15" y="45"/>
                    <a:pt x="33" y="65"/>
                  </a:cubicBezTo>
                  <a:cubicBezTo>
                    <a:pt x="51" y="85"/>
                    <a:pt x="70" y="105"/>
                    <a:pt x="111" y="120"/>
                  </a:cubicBezTo>
                  <a:cubicBezTo>
                    <a:pt x="152" y="135"/>
                    <a:pt x="247" y="149"/>
                    <a:pt x="282" y="157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7205" name="Line 29">
              <a:extLst>
                <a:ext uri="{FF2B5EF4-FFF2-40B4-BE49-F238E27FC236}">
                  <a16:creationId xmlns:a16="http://schemas.microsoft.com/office/drawing/2014/main" id="{283B663F-0A4D-8D90-9EA8-271B84292751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254" y="111"/>
              <a:ext cx="113" cy="7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206" name="Line 30">
              <a:extLst>
                <a:ext uri="{FF2B5EF4-FFF2-40B4-BE49-F238E27FC236}">
                  <a16:creationId xmlns:a16="http://schemas.microsoft.com/office/drawing/2014/main" id="{3F13361A-1C36-7D18-5682-DAA49B45305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85" y="111"/>
              <a:ext cx="6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207" name="Line 31">
              <a:extLst>
                <a:ext uri="{FF2B5EF4-FFF2-40B4-BE49-F238E27FC236}">
                  <a16:creationId xmlns:a16="http://schemas.microsoft.com/office/drawing/2014/main" id="{E349D6AD-9AC1-6BB6-B08F-4D663845CECD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93" y="111"/>
              <a:ext cx="0" cy="14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6896" name="Text Box 32">
              <a:extLst>
                <a:ext uri="{FF2B5EF4-FFF2-40B4-BE49-F238E27FC236}">
                  <a16:creationId xmlns:a16="http://schemas.microsoft.com/office/drawing/2014/main" id="{E02B06C3-F4CE-4830-91BA-B1AD39AEC637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8" y="175"/>
              <a:ext cx="29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Symbol"/>
                </a:rPr>
                <a:t>s</a:t>
              </a: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hot</a:t>
              </a:r>
            </a:p>
          </xdr:txBody>
        </xdr:sp>
        <xdr:sp macro="" textlink="">
          <xdr:nvSpPr>
            <xdr:cNvPr id="37209" name="Line 33">
              <a:extLst>
                <a:ext uri="{FF2B5EF4-FFF2-40B4-BE49-F238E27FC236}">
                  <a16:creationId xmlns:a16="http://schemas.microsoft.com/office/drawing/2014/main" id="{9BA64453-1902-887C-8177-8624BCD41379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4" y="221"/>
              <a:ext cx="3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210" name="Line 34">
              <a:extLst>
                <a:ext uri="{FF2B5EF4-FFF2-40B4-BE49-F238E27FC236}">
                  <a16:creationId xmlns:a16="http://schemas.microsoft.com/office/drawing/2014/main" id="{EE809459-C114-6318-1722-9D742B0FE03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4" y="198"/>
              <a:ext cx="11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6899" name="Text Box 35">
              <a:extLst>
                <a:ext uri="{FF2B5EF4-FFF2-40B4-BE49-F238E27FC236}">
                  <a16:creationId xmlns:a16="http://schemas.microsoft.com/office/drawing/2014/main" id="{3D1C4069-37D8-6945-60CD-433170328873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16" y="211"/>
              <a:ext cx="24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0.5t</a:t>
              </a:r>
            </a:p>
          </xdr:txBody>
        </xdr:sp>
        <xdr:sp macro="" textlink="">
          <xdr:nvSpPr>
            <xdr:cNvPr id="36900" name="Text Box 36">
              <a:extLst>
                <a:ext uri="{FF2B5EF4-FFF2-40B4-BE49-F238E27FC236}">
                  <a16:creationId xmlns:a16="http://schemas.microsoft.com/office/drawing/2014/main" id="{1E733B6C-9F84-EDF1-E998-6E14EDAE2C24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16" y="179"/>
              <a:ext cx="24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1.5t</a:t>
              </a:r>
            </a:p>
          </xdr:txBody>
        </xdr:sp>
        <xdr:sp macro="" textlink="">
          <xdr:nvSpPr>
            <xdr:cNvPr id="37213" name="Line 37">
              <a:extLst>
                <a:ext uri="{FF2B5EF4-FFF2-40B4-BE49-F238E27FC236}">
                  <a16:creationId xmlns:a16="http://schemas.microsoft.com/office/drawing/2014/main" id="{25571E6A-8BE8-66EA-CDA8-EAC78266F28A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23" y="67"/>
              <a:ext cx="13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214" name="Line 38">
              <a:extLst>
                <a:ext uri="{FF2B5EF4-FFF2-40B4-BE49-F238E27FC236}">
                  <a16:creationId xmlns:a16="http://schemas.microsoft.com/office/drawing/2014/main" id="{0E856FFF-53A4-B3AB-515E-9C72E7160E72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34" y="67"/>
              <a:ext cx="0" cy="18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6903" name="Text Box 39">
              <a:extLst>
                <a:ext uri="{FF2B5EF4-FFF2-40B4-BE49-F238E27FC236}">
                  <a16:creationId xmlns:a16="http://schemas.microsoft.com/office/drawing/2014/main" id="{3EBE469E-F607-F652-5AE8-4045A84964D8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" y="164"/>
              <a:ext cx="29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altLang="ko-KR" sz="1100" b="0" i="0" strike="noStrike">
                  <a:solidFill>
                    <a:srgbClr val="000000"/>
                  </a:solidFill>
                  <a:latin typeface="Symbol"/>
                </a:rPr>
                <a:t>s</a:t>
              </a:r>
              <a:r>
                <a:rPr lang="en-US" altLang="ko-KR" sz="1100" b="0" i="0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t>not</a:t>
              </a:r>
            </a:p>
          </xdr:txBody>
        </xdr:sp>
        <xdr:sp macro="" textlink="">
          <xdr:nvSpPr>
            <xdr:cNvPr id="37216" name="Line 40">
              <a:extLst>
                <a:ext uri="{FF2B5EF4-FFF2-40B4-BE49-F238E27FC236}">
                  <a16:creationId xmlns:a16="http://schemas.microsoft.com/office/drawing/2014/main" id="{A76D23A6-F558-D7F5-4FDD-18C47DD2DDDB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17" y="301"/>
              <a:ext cx="2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37175" name="Oval 41">
            <a:extLst>
              <a:ext uri="{FF2B5EF4-FFF2-40B4-BE49-F238E27FC236}">
                <a16:creationId xmlns:a16="http://schemas.microsoft.com/office/drawing/2014/main" id="{8944F47B-4F2C-562B-9035-96367EC15B59}"/>
              </a:ext>
            </a:extLst>
          </xdr:cNvPr>
          <xdr:cNvSpPr>
            <a:spLocks noChangeArrowheads="1"/>
          </xdr:cNvSpPr>
        </xdr:nvSpPr>
        <xdr:spPr bwMode="auto">
          <a:xfrm>
            <a:off x="226" y="248"/>
            <a:ext cx="8" cy="8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176" name="Oval 42">
            <a:extLst>
              <a:ext uri="{FF2B5EF4-FFF2-40B4-BE49-F238E27FC236}">
                <a16:creationId xmlns:a16="http://schemas.microsoft.com/office/drawing/2014/main" id="{2FADB330-22A1-47CD-FAA5-9216E8698472}"/>
              </a:ext>
            </a:extLst>
          </xdr:cNvPr>
          <xdr:cNvSpPr>
            <a:spLocks noChangeArrowheads="1"/>
          </xdr:cNvSpPr>
        </xdr:nvSpPr>
        <xdr:spPr bwMode="auto">
          <a:xfrm>
            <a:off x="305" y="248"/>
            <a:ext cx="8" cy="8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177" name="Oval 43">
            <a:extLst>
              <a:ext uri="{FF2B5EF4-FFF2-40B4-BE49-F238E27FC236}">
                <a16:creationId xmlns:a16="http://schemas.microsoft.com/office/drawing/2014/main" id="{DE63FFA1-0451-1176-0BE7-FCBE5CCF759C}"/>
              </a:ext>
            </a:extLst>
          </xdr:cNvPr>
          <xdr:cNvSpPr>
            <a:spLocks noChangeArrowheads="1"/>
          </xdr:cNvSpPr>
        </xdr:nvSpPr>
        <xdr:spPr bwMode="auto">
          <a:xfrm>
            <a:off x="384" y="248"/>
            <a:ext cx="8" cy="8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178" name="Oval 44">
            <a:extLst>
              <a:ext uri="{FF2B5EF4-FFF2-40B4-BE49-F238E27FC236}">
                <a16:creationId xmlns:a16="http://schemas.microsoft.com/office/drawing/2014/main" id="{FC742A5A-F261-C2E3-B8AC-13C2085DE404}"/>
              </a:ext>
            </a:extLst>
          </xdr:cNvPr>
          <xdr:cNvSpPr>
            <a:spLocks noChangeArrowheads="1"/>
          </xdr:cNvSpPr>
        </xdr:nvSpPr>
        <xdr:spPr bwMode="auto">
          <a:xfrm>
            <a:off x="463" y="248"/>
            <a:ext cx="8" cy="8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50</xdr:row>
          <xdr:rowOff>38100</xdr:rowOff>
        </xdr:from>
        <xdr:to>
          <xdr:col>6</xdr:col>
          <xdr:colOff>114300</xdr:colOff>
          <xdr:row>50</xdr:row>
          <xdr:rowOff>228600</xdr:rowOff>
        </xdr:to>
        <xdr:sp macro="" textlink="">
          <xdr:nvSpPr>
            <xdr:cNvPr id="25686" name="Drop Dow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75621F62-22FE-07E2-3F84-304C89C75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49</xdr:row>
          <xdr:rowOff>66675</xdr:rowOff>
        </xdr:from>
        <xdr:to>
          <xdr:col>7</xdr:col>
          <xdr:colOff>219075</xdr:colOff>
          <xdr:row>50</xdr:row>
          <xdr:rowOff>28575</xdr:rowOff>
        </xdr:to>
        <xdr:sp macro="" textlink="">
          <xdr:nvSpPr>
            <xdr:cNvPr id="25687" name="Drop Dow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6C559F32-648C-0ACC-3083-A78569F0F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31</xdr:row>
      <xdr:rowOff>95250</xdr:rowOff>
    </xdr:from>
    <xdr:to>
      <xdr:col>16</xdr:col>
      <xdr:colOff>95250</xdr:colOff>
      <xdr:row>56</xdr:row>
      <xdr:rowOff>47625</xdr:rowOff>
    </xdr:to>
    <xdr:graphicFrame macro="">
      <xdr:nvGraphicFramePr>
        <xdr:cNvPr id="34862" name="Chart 1">
          <a:extLst>
            <a:ext uri="{FF2B5EF4-FFF2-40B4-BE49-F238E27FC236}">
              <a16:creationId xmlns:a16="http://schemas.microsoft.com/office/drawing/2014/main" id="{5191B54A-3E23-FF47-4C4D-EFD11A2D04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504825</xdr:colOff>
      <xdr:row>4</xdr:row>
      <xdr:rowOff>142875</xdr:rowOff>
    </xdr:from>
    <xdr:to>
      <xdr:col>16</xdr:col>
      <xdr:colOff>428625</xdr:colOff>
      <xdr:row>28</xdr:row>
      <xdr:rowOff>76200</xdr:rowOff>
    </xdr:to>
    <xdr:graphicFrame macro="">
      <xdr:nvGraphicFramePr>
        <xdr:cNvPr id="34863" name="Chart 2">
          <a:extLst>
            <a:ext uri="{FF2B5EF4-FFF2-40B4-BE49-F238E27FC236}">
              <a16:creationId xmlns:a16="http://schemas.microsoft.com/office/drawing/2014/main" id="{FF0C681C-19F3-7411-02FC-7B4824B76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238125</xdr:colOff>
      <xdr:row>7</xdr:row>
      <xdr:rowOff>19050</xdr:rowOff>
    </xdr:from>
    <xdr:to>
      <xdr:col>37</xdr:col>
      <xdr:colOff>533400</xdr:colOff>
      <xdr:row>33</xdr:row>
      <xdr:rowOff>142875</xdr:rowOff>
    </xdr:to>
    <xdr:grpSp>
      <xdr:nvGrpSpPr>
        <xdr:cNvPr id="40015" name="Group 18">
          <a:extLst>
            <a:ext uri="{FF2B5EF4-FFF2-40B4-BE49-F238E27FC236}">
              <a16:creationId xmlns:a16="http://schemas.microsoft.com/office/drawing/2014/main" id="{6E4AB6B6-2861-4124-4B21-A0E7EABD7D19}"/>
            </a:ext>
          </a:extLst>
        </xdr:cNvPr>
        <xdr:cNvGrpSpPr>
          <a:grpSpLocks/>
        </xdr:cNvGrpSpPr>
      </xdr:nvGrpSpPr>
      <xdr:grpSpPr bwMode="auto">
        <a:xfrm>
          <a:off x="18192750" y="1152525"/>
          <a:ext cx="5248275" cy="4333875"/>
          <a:chOff x="1910" y="121"/>
          <a:chExt cx="551" cy="455"/>
        </a:xfrm>
      </xdr:grpSpPr>
      <xdr:graphicFrame macro="">
        <xdr:nvGraphicFramePr>
          <xdr:cNvPr id="40016" name="Chart 2">
            <a:extLst>
              <a:ext uri="{FF2B5EF4-FFF2-40B4-BE49-F238E27FC236}">
                <a16:creationId xmlns:a16="http://schemas.microsoft.com/office/drawing/2014/main" id="{00750CE7-082B-EC63-7689-B2A3435316A8}"/>
              </a:ext>
            </a:extLst>
          </xdr:cNvPr>
          <xdr:cNvGraphicFramePr>
            <a:graphicFrameLocks/>
          </xdr:cNvGraphicFramePr>
        </xdr:nvGraphicFramePr>
        <xdr:xfrm>
          <a:off x="1910" y="121"/>
          <a:ext cx="551" cy="45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9944" name="Text Box 8">
            <a:extLst>
              <a:ext uri="{FF2B5EF4-FFF2-40B4-BE49-F238E27FC236}">
                <a16:creationId xmlns:a16="http://schemas.microsoft.com/office/drawing/2014/main" id="{7D546699-48D9-F9CD-1B61-BE72CA39012D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62" y="387"/>
            <a:ext cx="40" cy="15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altLang="ko-KR" sz="10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h=0.5</a:t>
            </a:r>
          </a:p>
        </xdr:txBody>
      </xdr:sp>
      <xdr:sp macro="" textlink="">
        <xdr:nvSpPr>
          <xdr:cNvPr id="39945" name="Text Box 9">
            <a:extLst>
              <a:ext uri="{FF2B5EF4-FFF2-40B4-BE49-F238E27FC236}">
                <a16:creationId xmlns:a16="http://schemas.microsoft.com/office/drawing/2014/main" id="{B189E98E-F74A-4FD8-B4D5-107B0E40AFF4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77" y="349"/>
            <a:ext cx="21" cy="18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altLang="ko-KR" sz="10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0.7</a:t>
            </a:r>
          </a:p>
        </xdr:txBody>
      </xdr:sp>
      <xdr:sp macro="" textlink="">
        <xdr:nvSpPr>
          <xdr:cNvPr id="39946" name="Text Box 10">
            <a:extLst>
              <a:ext uri="{FF2B5EF4-FFF2-40B4-BE49-F238E27FC236}">
                <a16:creationId xmlns:a16="http://schemas.microsoft.com/office/drawing/2014/main" id="{1A4277C1-D2FD-0098-99C8-6A410B38CE54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12" y="354"/>
            <a:ext cx="21" cy="18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altLang="ko-KR" sz="10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0.9</a:t>
            </a:r>
          </a:p>
        </xdr:txBody>
      </xdr:sp>
      <xdr:sp macro="" textlink="">
        <xdr:nvSpPr>
          <xdr:cNvPr id="39947" name="Text Box 11">
            <a:extLst>
              <a:ext uri="{FF2B5EF4-FFF2-40B4-BE49-F238E27FC236}">
                <a16:creationId xmlns:a16="http://schemas.microsoft.com/office/drawing/2014/main" id="{2290F69A-B9A0-7D20-5023-04FD2513308A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86" y="320"/>
            <a:ext cx="21" cy="18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altLang="ko-KR" sz="10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1.0</a:t>
            </a:r>
          </a:p>
        </xdr:txBody>
      </xdr:sp>
      <xdr:sp macro="" textlink="">
        <xdr:nvSpPr>
          <xdr:cNvPr id="39948" name="Text Box 12">
            <a:extLst>
              <a:ext uri="{FF2B5EF4-FFF2-40B4-BE49-F238E27FC236}">
                <a16:creationId xmlns:a16="http://schemas.microsoft.com/office/drawing/2014/main" id="{635AA183-C149-0BEF-7287-8FBBB7AF518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32" y="338"/>
            <a:ext cx="21" cy="18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altLang="ko-KR" sz="10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1.1</a:t>
            </a:r>
          </a:p>
        </xdr:txBody>
      </xdr:sp>
      <xdr:sp macro="" textlink="">
        <xdr:nvSpPr>
          <xdr:cNvPr id="39949" name="Text Box 13">
            <a:extLst>
              <a:ext uri="{FF2B5EF4-FFF2-40B4-BE49-F238E27FC236}">
                <a16:creationId xmlns:a16="http://schemas.microsoft.com/office/drawing/2014/main" id="{85BCC77F-18A1-5759-BCD6-75D1F1B5AB18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14" y="313"/>
            <a:ext cx="21" cy="18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altLang="ko-KR" sz="10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1.3</a:t>
            </a:r>
          </a:p>
        </xdr:txBody>
      </xdr:sp>
      <xdr:sp macro="" textlink="">
        <xdr:nvSpPr>
          <xdr:cNvPr id="39950" name="Text Box 14">
            <a:extLst>
              <a:ext uri="{FF2B5EF4-FFF2-40B4-BE49-F238E27FC236}">
                <a16:creationId xmlns:a16="http://schemas.microsoft.com/office/drawing/2014/main" id="{C37B35C3-FABF-F533-0948-971C501946BD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47" y="317"/>
            <a:ext cx="21" cy="18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altLang="ko-KR" sz="10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1.5</a:t>
            </a:r>
          </a:p>
        </xdr:txBody>
      </xdr:sp>
      <xdr:sp macro="" textlink="">
        <xdr:nvSpPr>
          <xdr:cNvPr id="39951" name="Text Box 15">
            <a:extLst>
              <a:ext uri="{FF2B5EF4-FFF2-40B4-BE49-F238E27FC236}">
                <a16:creationId xmlns:a16="http://schemas.microsoft.com/office/drawing/2014/main" id="{002B6F6C-2676-3107-6253-66A1E5473607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41" y="288"/>
            <a:ext cx="21" cy="18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altLang="ko-KR" sz="10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2.0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9</xdr:row>
          <xdr:rowOff>38100</xdr:rowOff>
        </xdr:from>
        <xdr:to>
          <xdr:col>6</xdr:col>
          <xdr:colOff>9525</xdr:colOff>
          <xdr:row>10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B525D68-B2B1-C59E-15AB-C12B03C16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2</xdr:row>
      <xdr:rowOff>47625</xdr:rowOff>
    </xdr:from>
    <xdr:to>
      <xdr:col>15</xdr:col>
      <xdr:colOff>295275</xdr:colOff>
      <xdr:row>21</xdr:row>
      <xdr:rowOff>95250</xdr:rowOff>
    </xdr:to>
    <xdr:graphicFrame macro="">
      <xdr:nvGraphicFramePr>
        <xdr:cNvPr id="42254" name="Chart 1">
          <a:extLst>
            <a:ext uri="{FF2B5EF4-FFF2-40B4-BE49-F238E27FC236}">
              <a16:creationId xmlns:a16="http://schemas.microsoft.com/office/drawing/2014/main" id="{5D45B808-3B0F-158B-2309-C4F2B59B7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457200</xdr:colOff>
      <xdr:row>6</xdr:row>
      <xdr:rowOff>104775</xdr:rowOff>
    </xdr:from>
    <xdr:to>
      <xdr:col>10</xdr:col>
      <xdr:colOff>504825</xdr:colOff>
      <xdr:row>7</xdr:row>
      <xdr:rowOff>114300</xdr:rowOff>
    </xdr:to>
    <xdr:sp macro="" textlink="">
      <xdr:nvSpPr>
        <xdr:cNvPr id="41987" name="Text Box 3">
          <a:extLst>
            <a:ext uri="{FF2B5EF4-FFF2-40B4-BE49-F238E27FC236}">
              <a16:creationId xmlns:a16="http://schemas.microsoft.com/office/drawing/2014/main" id="{F509BE53-4013-BA28-7C98-9AEF457E0532}"/>
            </a:ext>
          </a:extLst>
        </xdr:cNvPr>
        <xdr:cNvSpPr txBox="1">
          <a:spLocks noChangeArrowheads="1"/>
        </xdr:cNvSpPr>
      </xdr:nvSpPr>
      <xdr:spPr bwMode="auto">
        <a:xfrm>
          <a:off x="4724400" y="1076325"/>
          <a:ext cx="1114425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Loaded Condition</a:t>
          </a:r>
        </a:p>
      </xdr:txBody>
    </xdr:sp>
    <xdr:clientData/>
  </xdr:twoCellAnchor>
  <xdr:twoCellAnchor>
    <xdr:from>
      <xdr:col>11</xdr:col>
      <xdr:colOff>504825</xdr:colOff>
      <xdr:row>17</xdr:row>
      <xdr:rowOff>47625</xdr:rowOff>
    </xdr:from>
    <xdr:to>
      <xdr:col>13</xdr:col>
      <xdr:colOff>476250</xdr:colOff>
      <xdr:row>18</xdr:row>
      <xdr:rowOff>57150</xdr:rowOff>
    </xdr:to>
    <xdr:sp macro="" textlink="">
      <xdr:nvSpPr>
        <xdr:cNvPr id="41988" name="Text Box 4">
          <a:extLst>
            <a:ext uri="{FF2B5EF4-FFF2-40B4-BE49-F238E27FC236}">
              <a16:creationId xmlns:a16="http://schemas.microsoft.com/office/drawing/2014/main" id="{06BFCAAA-7D63-3223-833D-A271CD1BF221}"/>
            </a:ext>
          </a:extLst>
        </xdr:cNvPr>
        <xdr:cNvSpPr txBox="1">
          <a:spLocks noChangeArrowheads="1"/>
        </xdr:cNvSpPr>
      </xdr:nvSpPr>
      <xdr:spPr bwMode="auto">
        <a:xfrm>
          <a:off x="6372225" y="2800350"/>
          <a:ext cx="1038225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Ballast Condition</a:t>
          </a:r>
        </a:p>
      </xdr:txBody>
    </xdr:sp>
    <xdr:clientData/>
  </xdr:twoCellAnchor>
  <xdr:twoCellAnchor>
    <xdr:from>
      <xdr:col>8</xdr:col>
      <xdr:colOff>95250</xdr:colOff>
      <xdr:row>13</xdr:row>
      <xdr:rowOff>0</xdr:rowOff>
    </xdr:from>
    <xdr:to>
      <xdr:col>8</xdr:col>
      <xdr:colOff>504825</xdr:colOff>
      <xdr:row>14</xdr:row>
      <xdr:rowOff>0</xdr:rowOff>
    </xdr:to>
    <xdr:sp macro="" textlink="">
      <xdr:nvSpPr>
        <xdr:cNvPr id="41989" name="Text Box 5">
          <a:extLst>
            <a:ext uri="{FF2B5EF4-FFF2-40B4-BE49-F238E27FC236}">
              <a16:creationId xmlns:a16="http://schemas.microsoft.com/office/drawing/2014/main" id="{AE04ECC9-6640-C82A-9B77-34359015269F}"/>
            </a:ext>
          </a:extLst>
        </xdr:cNvPr>
        <xdr:cNvSpPr txBox="1">
          <a:spLocks noChangeArrowheads="1"/>
        </xdr:cNvSpPr>
      </xdr:nvSpPr>
      <xdr:spPr bwMode="auto">
        <a:xfrm>
          <a:off x="4362450" y="2105025"/>
          <a:ext cx="409575" cy="161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Port A</a:t>
          </a:r>
        </a:p>
      </xdr:txBody>
    </xdr:sp>
    <xdr:clientData/>
  </xdr:twoCellAnchor>
  <xdr:twoCellAnchor>
    <xdr:from>
      <xdr:col>8</xdr:col>
      <xdr:colOff>276225</xdr:colOff>
      <xdr:row>20</xdr:row>
      <xdr:rowOff>19050</xdr:rowOff>
    </xdr:from>
    <xdr:to>
      <xdr:col>14</xdr:col>
      <xdr:colOff>200025</xdr:colOff>
      <xdr:row>20</xdr:row>
      <xdr:rowOff>19050</xdr:rowOff>
    </xdr:to>
    <xdr:sp macro="" textlink="">
      <xdr:nvSpPr>
        <xdr:cNvPr id="42258" name="Line 6">
          <a:extLst>
            <a:ext uri="{FF2B5EF4-FFF2-40B4-BE49-F238E27FC236}">
              <a16:creationId xmlns:a16="http://schemas.microsoft.com/office/drawing/2014/main" id="{82137F11-1DAA-07D2-0A93-8A2593871D24}"/>
            </a:ext>
          </a:extLst>
        </xdr:cNvPr>
        <xdr:cNvSpPr>
          <a:spLocks noChangeShapeType="1"/>
        </xdr:cNvSpPr>
      </xdr:nvSpPr>
      <xdr:spPr bwMode="auto">
        <a:xfrm>
          <a:off x="4543425" y="3257550"/>
          <a:ext cx="3124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209550</xdr:colOff>
      <xdr:row>19</xdr:row>
      <xdr:rowOff>85725</xdr:rowOff>
    </xdr:from>
    <xdr:to>
      <xdr:col>11</xdr:col>
      <xdr:colOff>476250</xdr:colOff>
      <xdr:row>20</xdr:row>
      <xdr:rowOff>114300</xdr:rowOff>
    </xdr:to>
    <xdr:sp macro="" textlink="">
      <xdr:nvSpPr>
        <xdr:cNvPr id="41991" name="Text Box 7">
          <a:extLst>
            <a:ext uri="{FF2B5EF4-FFF2-40B4-BE49-F238E27FC236}">
              <a16:creationId xmlns:a16="http://schemas.microsoft.com/office/drawing/2014/main" id="{C299F47B-D0A8-5BA2-FDF0-2A029751FE12}"/>
            </a:ext>
          </a:extLst>
        </xdr:cNvPr>
        <xdr:cNvSpPr txBox="1">
          <a:spLocks noChangeArrowheads="1"/>
        </xdr:cNvSpPr>
      </xdr:nvSpPr>
      <xdr:spPr bwMode="auto">
        <a:xfrm>
          <a:off x="5543550" y="3162300"/>
          <a:ext cx="800100" cy="1905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One Voyage</a:t>
          </a:r>
        </a:p>
      </xdr:txBody>
    </xdr:sp>
    <xdr:clientData/>
  </xdr:twoCellAnchor>
  <xdr:twoCellAnchor>
    <xdr:from>
      <xdr:col>13</xdr:col>
      <xdr:colOff>504825</xdr:colOff>
      <xdr:row>12</xdr:row>
      <xdr:rowOff>152400</xdr:rowOff>
    </xdr:from>
    <xdr:to>
      <xdr:col>14</xdr:col>
      <xdr:colOff>409575</xdr:colOff>
      <xdr:row>13</xdr:row>
      <xdr:rowOff>142875</xdr:rowOff>
    </xdr:to>
    <xdr:sp macro="" textlink="">
      <xdr:nvSpPr>
        <xdr:cNvPr id="41992" name="Text Box 8">
          <a:extLst>
            <a:ext uri="{FF2B5EF4-FFF2-40B4-BE49-F238E27FC236}">
              <a16:creationId xmlns:a16="http://schemas.microsoft.com/office/drawing/2014/main" id="{F82F83D2-7889-AD3D-F53B-3CB71C861784}"/>
            </a:ext>
          </a:extLst>
        </xdr:cNvPr>
        <xdr:cNvSpPr txBox="1">
          <a:spLocks noChangeArrowheads="1"/>
        </xdr:cNvSpPr>
      </xdr:nvSpPr>
      <xdr:spPr bwMode="auto">
        <a:xfrm>
          <a:off x="7439025" y="2095500"/>
          <a:ext cx="4381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Port A</a:t>
          </a:r>
        </a:p>
      </xdr:txBody>
    </xdr:sp>
    <xdr:clientData/>
  </xdr:twoCellAnchor>
  <xdr:twoCellAnchor>
    <xdr:from>
      <xdr:col>7</xdr:col>
      <xdr:colOff>314325</xdr:colOff>
      <xdr:row>10</xdr:row>
      <xdr:rowOff>104775</xdr:rowOff>
    </xdr:from>
    <xdr:to>
      <xdr:col>8</xdr:col>
      <xdr:colOff>209550</xdr:colOff>
      <xdr:row>11</xdr:row>
      <xdr:rowOff>123825</xdr:rowOff>
    </xdr:to>
    <xdr:sp macro="" textlink="">
      <xdr:nvSpPr>
        <xdr:cNvPr id="41994" name="Text Box 10">
          <a:extLst>
            <a:ext uri="{FF2B5EF4-FFF2-40B4-BE49-F238E27FC236}">
              <a16:creationId xmlns:a16="http://schemas.microsoft.com/office/drawing/2014/main" id="{C4843D32-10FA-120D-3D63-3448CD87C266}"/>
            </a:ext>
          </a:extLst>
        </xdr:cNvPr>
        <xdr:cNvSpPr txBox="1">
          <a:spLocks noChangeArrowheads="1"/>
        </xdr:cNvSpPr>
      </xdr:nvSpPr>
      <xdr:spPr bwMode="auto">
        <a:xfrm>
          <a:off x="4048125" y="1724025"/>
          <a:ext cx="428625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Empty</a:t>
          </a:r>
        </a:p>
      </xdr:txBody>
    </xdr:sp>
    <xdr:clientData/>
  </xdr:twoCellAnchor>
  <xdr:twoCellAnchor>
    <xdr:from>
      <xdr:col>13</xdr:col>
      <xdr:colOff>200025</xdr:colOff>
      <xdr:row>10</xdr:row>
      <xdr:rowOff>66675</xdr:rowOff>
    </xdr:from>
    <xdr:to>
      <xdr:col>14</xdr:col>
      <xdr:colOff>104775</xdr:colOff>
      <xdr:row>11</xdr:row>
      <xdr:rowOff>95250</xdr:rowOff>
    </xdr:to>
    <xdr:sp macro="" textlink="">
      <xdr:nvSpPr>
        <xdr:cNvPr id="41995" name="Text Box 11">
          <a:extLst>
            <a:ext uri="{FF2B5EF4-FFF2-40B4-BE49-F238E27FC236}">
              <a16:creationId xmlns:a16="http://schemas.microsoft.com/office/drawing/2014/main" id="{F7D0F9B3-FBE5-EC70-39BB-4F37BB25CB69}"/>
            </a:ext>
          </a:extLst>
        </xdr:cNvPr>
        <xdr:cNvSpPr txBox="1">
          <a:spLocks noChangeArrowheads="1"/>
        </xdr:cNvSpPr>
      </xdr:nvSpPr>
      <xdr:spPr bwMode="auto">
        <a:xfrm>
          <a:off x="7134225" y="1685925"/>
          <a:ext cx="4381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Empty</a:t>
          </a:r>
        </a:p>
      </xdr:txBody>
    </xdr:sp>
    <xdr:clientData/>
  </xdr:twoCellAnchor>
  <xdr:twoCellAnchor>
    <xdr:from>
      <xdr:col>11</xdr:col>
      <xdr:colOff>47625</xdr:colOff>
      <xdr:row>13</xdr:row>
      <xdr:rowOff>0</xdr:rowOff>
    </xdr:from>
    <xdr:to>
      <xdr:col>11</xdr:col>
      <xdr:colOff>409575</xdr:colOff>
      <xdr:row>13</xdr:row>
      <xdr:rowOff>142875</xdr:rowOff>
    </xdr:to>
    <xdr:sp macro="" textlink="">
      <xdr:nvSpPr>
        <xdr:cNvPr id="41996" name="Text Box 12">
          <a:extLst>
            <a:ext uri="{FF2B5EF4-FFF2-40B4-BE49-F238E27FC236}">
              <a16:creationId xmlns:a16="http://schemas.microsoft.com/office/drawing/2014/main" id="{C185F1CF-333B-F529-53D0-8346F366B7A4}"/>
            </a:ext>
          </a:extLst>
        </xdr:cNvPr>
        <xdr:cNvSpPr txBox="1">
          <a:spLocks noChangeArrowheads="1"/>
        </xdr:cNvSpPr>
      </xdr:nvSpPr>
      <xdr:spPr bwMode="auto">
        <a:xfrm>
          <a:off x="5915025" y="2105025"/>
          <a:ext cx="361950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Port B</a:t>
          </a:r>
        </a:p>
      </xdr:txBody>
    </xdr:sp>
    <xdr:clientData/>
  </xdr:twoCellAnchor>
  <xdr:twoCellAnchor>
    <xdr:from>
      <xdr:col>8</xdr:col>
      <xdr:colOff>142875</xdr:colOff>
      <xdr:row>11</xdr:row>
      <xdr:rowOff>133350</xdr:rowOff>
    </xdr:from>
    <xdr:to>
      <xdr:col>8</xdr:col>
      <xdr:colOff>257175</xdr:colOff>
      <xdr:row>12</xdr:row>
      <xdr:rowOff>114300</xdr:rowOff>
    </xdr:to>
    <xdr:sp macro="" textlink="">
      <xdr:nvSpPr>
        <xdr:cNvPr id="42264" name="Line 16">
          <a:extLst>
            <a:ext uri="{FF2B5EF4-FFF2-40B4-BE49-F238E27FC236}">
              <a16:creationId xmlns:a16="http://schemas.microsoft.com/office/drawing/2014/main" id="{D484384B-BD42-629C-48B6-DC46EAF19649}"/>
            </a:ext>
          </a:extLst>
        </xdr:cNvPr>
        <xdr:cNvSpPr>
          <a:spLocks noChangeShapeType="1"/>
        </xdr:cNvSpPr>
      </xdr:nvSpPr>
      <xdr:spPr bwMode="auto">
        <a:xfrm>
          <a:off x="4410075" y="1914525"/>
          <a:ext cx="1143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19050</xdr:colOff>
      <xdr:row>11</xdr:row>
      <xdr:rowOff>95250</xdr:rowOff>
    </xdr:from>
    <xdr:to>
      <xdr:col>14</xdr:col>
      <xdr:colOff>133350</xdr:colOff>
      <xdr:row>12</xdr:row>
      <xdr:rowOff>114300</xdr:rowOff>
    </xdr:to>
    <xdr:sp macro="" textlink="">
      <xdr:nvSpPr>
        <xdr:cNvPr id="42265" name="Line 17">
          <a:extLst>
            <a:ext uri="{FF2B5EF4-FFF2-40B4-BE49-F238E27FC236}">
              <a16:creationId xmlns:a16="http://schemas.microsoft.com/office/drawing/2014/main" id="{895C1B2C-F2E2-75D0-9A96-5936902DD372}"/>
            </a:ext>
          </a:extLst>
        </xdr:cNvPr>
        <xdr:cNvSpPr>
          <a:spLocks noChangeShapeType="1"/>
        </xdr:cNvSpPr>
      </xdr:nvSpPr>
      <xdr:spPr bwMode="auto">
        <a:xfrm>
          <a:off x="7486650" y="1876425"/>
          <a:ext cx="11430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200025</xdr:colOff>
      <xdr:row>24</xdr:row>
      <xdr:rowOff>9525</xdr:rowOff>
    </xdr:from>
    <xdr:to>
      <xdr:col>15</xdr:col>
      <xdr:colOff>333375</xdr:colOff>
      <xdr:row>43</xdr:row>
      <xdr:rowOff>57150</xdr:rowOff>
    </xdr:to>
    <xdr:graphicFrame macro="">
      <xdr:nvGraphicFramePr>
        <xdr:cNvPr id="42266" name="Chart 23">
          <a:extLst>
            <a:ext uri="{FF2B5EF4-FFF2-40B4-BE49-F238E27FC236}">
              <a16:creationId xmlns:a16="http://schemas.microsoft.com/office/drawing/2014/main" id="{F4F882D3-016D-4F22-2D87-FBF86C657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28</xdr:row>
      <xdr:rowOff>0</xdr:rowOff>
    </xdr:from>
    <xdr:to>
      <xdr:col>11</xdr:col>
      <xdr:colOff>85725</xdr:colOff>
      <xdr:row>29</xdr:row>
      <xdr:rowOff>9525</xdr:rowOff>
    </xdr:to>
    <xdr:sp macro="" textlink="">
      <xdr:nvSpPr>
        <xdr:cNvPr id="42008" name="Text Box 24">
          <a:extLst>
            <a:ext uri="{FF2B5EF4-FFF2-40B4-BE49-F238E27FC236}">
              <a16:creationId xmlns:a16="http://schemas.microsoft.com/office/drawing/2014/main" id="{B8465F63-49AC-492D-21B6-7219B6A0FF60}"/>
            </a:ext>
          </a:extLst>
        </xdr:cNvPr>
        <xdr:cNvSpPr txBox="1">
          <a:spLocks noChangeArrowheads="1"/>
        </xdr:cNvSpPr>
      </xdr:nvSpPr>
      <xdr:spPr bwMode="auto">
        <a:xfrm>
          <a:off x="4838700" y="4533900"/>
          <a:ext cx="1114425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Loaded Condition</a:t>
          </a:r>
        </a:p>
      </xdr:txBody>
    </xdr:sp>
    <xdr:clientData/>
  </xdr:twoCellAnchor>
  <xdr:twoCellAnchor>
    <xdr:from>
      <xdr:col>12</xdr:col>
      <xdr:colOff>9525</xdr:colOff>
      <xdr:row>39</xdr:row>
      <xdr:rowOff>95250</xdr:rowOff>
    </xdr:from>
    <xdr:to>
      <xdr:col>13</xdr:col>
      <xdr:colOff>514350</xdr:colOff>
      <xdr:row>40</xdr:row>
      <xdr:rowOff>104775</xdr:rowOff>
    </xdr:to>
    <xdr:sp macro="" textlink="">
      <xdr:nvSpPr>
        <xdr:cNvPr id="42009" name="Text Box 25">
          <a:extLst>
            <a:ext uri="{FF2B5EF4-FFF2-40B4-BE49-F238E27FC236}">
              <a16:creationId xmlns:a16="http://schemas.microsoft.com/office/drawing/2014/main" id="{9683ABBD-11AF-5980-7955-8741260455CE}"/>
            </a:ext>
          </a:extLst>
        </xdr:cNvPr>
        <xdr:cNvSpPr txBox="1">
          <a:spLocks noChangeArrowheads="1"/>
        </xdr:cNvSpPr>
      </xdr:nvSpPr>
      <xdr:spPr bwMode="auto">
        <a:xfrm>
          <a:off x="6410325" y="6410325"/>
          <a:ext cx="1038225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Ballast Condition</a:t>
          </a:r>
        </a:p>
      </xdr:txBody>
    </xdr:sp>
    <xdr:clientData/>
  </xdr:twoCellAnchor>
  <xdr:twoCellAnchor>
    <xdr:from>
      <xdr:col>8</xdr:col>
      <xdr:colOff>95250</xdr:colOff>
      <xdr:row>35</xdr:row>
      <xdr:rowOff>114300</xdr:rowOff>
    </xdr:from>
    <xdr:to>
      <xdr:col>9</xdr:col>
      <xdr:colOff>9525</xdr:colOff>
      <xdr:row>36</xdr:row>
      <xdr:rowOff>114300</xdr:rowOff>
    </xdr:to>
    <xdr:sp macro="" textlink="">
      <xdr:nvSpPr>
        <xdr:cNvPr id="42010" name="Text Box 26">
          <a:extLst>
            <a:ext uri="{FF2B5EF4-FFF2-40B4-BE49-F238E27FC236}">
              <a16:creationId xmlns:a16="http://schemas.microsoft.com/office/drawing/2014/main" id="{57B7B5B8-E3A9-E3AC-62BE-763DE03218C1}"/>
            </a:ext>
          </a:extLst>
        </xdr:cNvPr>
        <xdr:cNvSpPr txBox="1">
          <a:spLocks noChangeArrowheads="1"/>
        </xdr:cNvSpPr>
      </xdr:nvSpPr>
      <xdr:spPr bwMode="auto">
        <a:xfrm>
          <a:off x="4362450" y="5781675"/>
          <a:ext cx="447675" cy="161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Port A</a:t>
          </a:r>
        </a:p>
      </xdr:txBody>
    </xdr:sp>
    <xdr:clientData/>
  </xdr:twoCellAnchor>
  <xdr:twoCellAnchor>
    <xdr:from>
      <xdr:col>8</xdr:col>
      <xdr:colOff>314325</xdr:colOff>
      <xdr:row>42</xdr:row>
      <xdr:rowOff>76200</xdr:rowOff>
    </xdr:from>
    <xdr:to>
      <xdr:col>14</xdr:col>
      <xdr:colOff>238125</xdr:colOff>
      <xdr:row>42</xdr:row>
      <xdr:rowOff>76200</xdr:rowOff>
    </xdr:to>
    <xdr:sp macro="" textlink="">
      <xdr:nvSpPr>
        <xdr:cNvPr id="42270" name="Line 27">
          <a:extLst>
            <a:ext uri="{FF2B5EF4-FFF2-40B4-BE49-F238E27FC236}">
              <a16:creationId xmlns:a16="http://schemas.microsoft.com/office/drawing/2014/main" id="{33DC4FC5-9561-78E9-01D4-0AB12382FB7C}"/>
            </a:ext>
          </a:extLst>
        </xdr:cNvPr>
        <xdr:cNvSpPr>
          <a:spLocks noChangeShapeType="1"/>
        </xdr:cNvSpPr>
      </xdr:nvSpPr>
      <xdr:spPr bwMode="auto">
        <a:xfrm>
          <a:off x="4581525" y="6877050"/>
          <a:ext cx="3124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209550</xdr:colOff>
      <xdr:row>41</xdr:row>
      <xdr:rowOff>142875</xdr:rowOff>
    </xdr:from>
    <xdr:to>
      <xdr:col>11</xdr:col>
      <xdr:colOff>476250</xdr:colOff>
      <xdr:row>43</xdr:row>
      <xdr:rowOff>9525</xdr:rowOff>
    </xdr:to>
    <xdr:sp macro="" textlink="">
      <xdr:nvSpPr>
        <xdr:cNvPr id="42012" name="Text Box 28">
          <a:extLst>
            <a:ext uri="{FF2B5EF4-FFF2-40B4-BE49-F238E27FC236}">
              <a16:creationId xmlns:a16="http://schemas.microsoft.com/office/drawing/2014/main" id="{D3E8BEF8-43AD-6B49-FD0D-8170B14F5B74}"/>
            </a:ext>
          </a:extLst>
        </xdr:cNvPr>
        <xdr:cNvSpPr txBox="1">
          <a:spLocks noChangeArrowheads="1"/>
        </xdr:cNvSpPr>
      </xdr:nvSpPr>
      <xdr:spPr bwMode="auto">
        <a:xfrm>
          <a:off x="5543550" y="6781800"/>
          <a:ext cx="800100" cy="1905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One Voyage</a:t>
          </a:r>
        </a:p>
      </xdr:txBody>
    </xdr:sp>
    <xdr:clientData/>
  </xdr:twoCellAnchor>
  <xdr:twoCellAnchor>
    <xdr:from>
      <xdr:col>13</xdr:col>
      <xdr:colOff>495300</xdr:colOff>
      <xdr:row>35</xdr:row>
      <xdr:rowOff>114300</xdr:rowOff>
    </xdr:from>
    <xdr:to>
      <xdr:col>14</xdr:col>
      <xdr:colOff>419100</xdr:colOff>
      <xdr:row>36</xdr:row>
      <xdr:rowOff>114300</xdr:rowOff>
    </xdr:to>
    <xdr:sp macro="" textlink="">
      <xdr:nvSpPr>
        <xdr:cNvPr id="42013" name="Text Box 29">
          <a:extLst>
            <a:ext uri="{FF2B5EF4-FFF2-40B4-BE49-F238E27FC236}">
              <a16:creationId xmlns:a16="http://schemas.microsoft.com/office/drawing/2014/main" id="{762EA171-519A-1525-1140-C92C28226B60}"/>
            </a:ext>
          </a:extLst>
        </xdr:cNvPr>
        <xdr:cNvSpPr txBox="1">
          <a:spLocks noChangeArrowheads="1"/>
        </xdr:cNvSpPr>
      </xdr:nvSpPr>
      <xdr:spPr bwMode="auto">
        <a:xfrm>
          <a:off x="7429500" y="5781675"/>
          <a:ext cx="457200" cy="161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Port A</a:t>
          </a:r>
        </a:p>
      </xdr:txBody>
    </xdr:sp>
    <xdr:clientData/>
  </xdr:twoCellAnchor>
  <xdr:twoCellAnchor>
    <xdr:from>
      <xdr:col>7</xdr:col>
      <xdr:colOff>371475</xdr:colOff>
      <xdr:row>33</xdr:row>
      <xdr:rowOff>85725</xdr:rowOff>
    </xdr:from>
    <xdr:to>
      <xdr:col>8</xdr:col>
      <xdr:colOff>266700</xdr:colOff>
      <xdr:row>34</xdr:row>
      <xdr:rowOff>104775</xdr:rowOff>
    </xdr:to>
    <xdr:sp macro="" textlink="">
      <xdr:nvSpPr>
        <xdr:cNvPr id="42014" name="Text Box 30">
          <a:extLst>
            <a:ext uri="{FF2B5EF4-FFF2-40B4-BE49-F238E27FC236}">
              <a16:creationId xmlns:a16="http://schemas.microsoft.com/office/drawing/2014/main" id="{228ADC2A-0ABE-F5DA-8A0D-90D617815970}"/>
            </a:ext>
          </a:extLst>
        </xdr:cNvPr>
        <xdr:cNvSpPr txBox="1">
          <a:spLocks noChangeArrowheads="1"/>
        </xdr:cNvSpPr>
      </xdr:nvSpPr>
      <xdr:spPr bwMode="auto">
        <a:xfrm>
          <a:off x="4105275" y="5429250"/>
          <a:ext cx="428625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Empty</a:t>
          </a:r>
        </a:p>
      </xdr:txBody>
    </xdr:sp>
    <xdr:clientData/>
  </xdr:twoCellAnchor>
  <xdr:twoCellAnchor>
    <xdr:from>
      <xdr:col>13</xdr:col>
      <xdr:colOff>276225</xdr:colOff>
      <xdr:row>33</xdr:row>
      <xdr:rowOff>57150</xdr:rowOff>
    </xdr:from>
    <xdr:to>
      <xdr:col>14</xdr:col>
      <xdr:colOff>180975</xdr:colOff>
      <xdr:row>34</xdr:row>
      <xdr:rowOff>85725</xdr:rowOff>
    </xdr:to>
    <xdr:sp macro="" textlink="">
      <xdr:nvSpPr>
        <xdr:cNvPr id="42015" name="Text Box 31">
          <a:extLst>
            <a:ext uri="{FF2B5EF4-FFF2-40B4-BE49-F238E27FC236}">
              <a16:creationId xmlns:a16="http://schemas.microsoft.com/office/drawing/2014/main" id="{D22A96C7-1BBC-B9CF-B13D-CB4B0F9662D4}"/>
            </a:ext>
          </a:extLst>
        </xdr:cNvPr>
        <xdr:cNvSpPr txBox="1">
          <a:spLocks noChangeArrowheads="1"/>
        </xdr:cNvSpPr>
      </xdr:nvSpPr>
      <xdr:spPr bwMode="auto">
        <a:xfrm>
          <a:off x="7210425" y="5400675"/>
          <a:ext cx="4381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Empty</a:t>
          </a:r>
        </a:p>
      </xdr:txBody>
    </xdr:sp>
    <xdr:clientData/>
  </xdr:twoCellAnchor>
  <xdr:twoCellAnchor>
    <xdr:from>
      <xdr:col>9</xdr:col>
      <xdr:colOff>419100</xdr:colOff>
      <xdr:row>35</xdr:row>
      <xdr:rowOff>123825</xdr:rowOff>
    </xdr:from>
    <xdr:to>
      <xdr:col>10</xdr:col>
      <xdr:colOff>247650</xdr:colOff>
      <xdr:row>36</xdr:row>
      <xdr:rowOff>104775</xdr:rowOff>
    </xdr:to>
    <xdr:sp macro="" textlink="">
      <xdr:nvSpPr>
        <xdr:cNvPr id="42016" name="Text Box 32">
          <a:extLst>
            <a:ext uri="{FF2B5EF4-FFF2-40B4-BE49-F238E27FC236}">
              <a16:creationId xmlns:a16="http://schemas.microsoft.com/office/drawing/2014/main" id="{896B1B1A-27F3-4FDE-2A2C-8764E9CEA399}"/>
            </a:ext>
          </a:extLst>
        </xdr:cNvPr>
        <xdr:cNvSpPr txBox="1">
          <a:spLocks noChangeArrowheads="1"/>
        </xdr:cNvSpPr>
      </xdr:nvSpPr>
      <xdr:spPr bwMode="auto">
        <a:xfrm>
          <a:off x="5219700" y="5791200"/>
          <a:ext cx="361950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Port B</a:t>
          </a:r>
        </a:p>
      </xdr:txBody>
    </xdr:sp>
    <xdr:clientData/>
  </xdr:twoCellAnchor>
  <xdr:twoCellAnchor>
    <xdr:from>
      <xdr:col>8</xdr:col>
      <xdr:colOff>200025</xdr:colOff>
      <xdr:row>34</xdr:row>
      <xdr:rowOff>114300</xdr:rowOff>
    </xdr:from>
    <xdr:to>
      <xdr:col>8</xdr:col>
      <xdr:colOff>314325</xdr:colOff>
      <xdr:row>35</xdr:row>
      <xdr:rowOff>95250</xdr:rowOff>
    </xdr:to>
    <xdr:sp macro="" textlink="">
      <xdr:nvSpPr>
        <xdr:cNvPr id="42276" name="Line 33">
          <a:extLst>
            <a:ext uri="{FF2B5EF4-FFF2-40B4-BE49-F238E27FC236}">
              <a16:creationId xmlns:a16="http://schemas.microsoft.com/office/drawing/2014/main" id="{9CCA53C0-4B21-F4C9-5742-693AB84FC5FA}"/>
            </a:ext>
          </a:extLst>
        </xdr:cNvPr>
        <xdr:cNvSpPr>
          <a:spLocks noChangeShapeType="1"/>
        </xdr:cNvSpPr>
      </xdr:nvSpPr>
      <xdr:spPr bwMode="auto">
        <a:xfrm>
          <a:off x="4467225" y="5619750"/>
          <a:ext cx="1143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95250</xdr:colOff>
      <xdr:row>34</xdr:row>
      <xdr:rowOff>85725</xdr:rowOff>
    </xdr:from>
    <xdr:to>
      <xdr:col>14</xdr:col>
      <xdr:colOff>209550</xdr:colOff>
      <xdr:row>35</xdr:row>
      <xdr:rowOff>104775</xdr:rowOff>
    </xdr:to>
    <xdr:sp macro="" textlink="">
      <xdr:nvSpPr>
        <xdr:cNvPr id="42277" name="Line 34">
          <a:extLst>
            <a:ext uri="{FF2B5EF4-FFF2-40B4-BE49-F238E27FC236}">
              <a16:creationId xmlns:a16="http://schemas.microsoft.com/office/drawing/2014/main" id="{B9088319-A667-04A4-061A-36C0D7A827E7}"/>
            </a:ext>
          </a:extLst>
        </xdr:cNvPr>
        <xdr:cNvSpPr>
          <a:spLocks noChangeShapeType="1"/>
        </xdr:cNvSpPr>
      </xdr:nvSpPr>
      <xdr:spPr bwMode="auto">
        <a:xfrm>
          <a:off x="7562850" y="5591175"/>
          <a:ext cx="11430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57150</xdr:colOff>
      <xdr:row>35</xdr:row>
      <xdr:rowOff>123825</xdr:rowOff>
    </xdr:from>
    <xdr:to>
      <xdr:col>11</xdr:col>
      <xdr:colOff>419100</xdr:colOff>
      <xdr:row>36</xdr:row>
      <xdr:rowOff>104775</xdr:rowOff>
    </xdr:to>
    <xdr:sp macro="" textlink="">
      <xdr:nvSpPr>
        <xdr:cNvPr id="42019" name="Text Box 35">
          <a:extLst>
            <a:ext uri="{FF2B5EF4-FFF2-40B4-BE49-F238E27FC236}">
              <a16:creationId xmlns:a16="http://schemas.microsoft.com/office/drawing/2014/main" id="{0DACC88E-F853-29DA-7F2F-90578E76C577}"/>
            </a:ext>
          </a:extLst>
        </xdr:cNvPr>
        <xdr:cNvSpPr txBox="1">
          <a:spLocks noChangeArrowheads="1"/>
        </xdr:cNvSpPr>
      </xdr:nvSpPr>
      <xdr:spPr bwMode="auto">
        <a:xfrm>
          <a:off x="5924550" y="5791200"/>
          <a:ext cx="361950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Port C</a:t>
          </a:r>
        </a:p>
      </xdr:txBody>
    </xdr:sp>
    <xdr:clientData/>
  </xdr:twoCellAnchor>
  <xdr:twoCellAnchor>
    <xdr:from>
      <xdr:col>18</xdr:col>
      <xdr:colOff>161925</xdr:colOff>
      <xdr:row>2</xdr:row>
      <xdr:rowOff>47625</xdr:rowOff>
    </xdr:from>
    <xdr:to>
      <xdr:col>23</xdr:col>
      <xdr:colOff>523875</xdr:colOff>
      <xdr:row>14</xdr:row>
      <xdr:rowOff>142875</xdr:rowOff>
    </xdr:to>
    <xdr:graphicFrame macro="">
      <xdr:nvGraphicFramePr>
        <xdr:cNvPr id="42279" name="Chart 36">
          <a:extLst>
            <a:ext uri="{FF2B5EF4-FFF2-40B4-BE49-F238E27FC236}">
              <a16:creationId xmlns:a16="http://schemas.microsoft.com/office/drawing/2014/main" id="{F4AD9FEE-B54D-5A80-1940-5E6C73152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209550</xdr:colOff>
      <xdr:row>5</xdr:row>
      <xdr:rowOff>114300</xdr:rowOff>
    </xdr:from>
    <xdr:to>
      <xdr:col>21</xdr:col>
      <xdr:colOff>9525</xdr:colOff>
      <xdr:row>6</xdr:row>
      <xdr:rowOff>95250</xdr:rowOff>
    </xdr:to>
    <xdr:sp macro="" textlink="">
      <xdr:nvSpPr>
        <xdr:cNvPr id="42021" name="Text Box 37">
          <a:extLst>
            <a:ext uri="{FF2B5EF4-FFF2-40B4-BE49-F238E27FC236}">
              <a16:creationId xmlns:a16="http://schemas.microsoft.com/office/drawing/2014/main" id="{84A9FF6F-540C-A8D3-13C3-280A39DE2160}"/>
            </a:ext>
          </a:extLst>
        </xdr:cNvPr>
        <xdr:cNvSpPr txBox="1">
          <a:spLocks noChangeArrowheads="1"/>
        </xdr:cNvSpPr>
      </xdr:nvSpPr>
      <xdr:spPr bwMode="auto">
        <a:xfrm>
          <a:off x="10344150" y="923925"/>
          <a:ext cx="866775" cy="1428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Loaded Condition</a:t>
          </a:r>
        </a:p>
      </xdr:txBody>
    </xdr:sp>
    <xdr:clientData/>
  </xdr:twoCellAnchor>
  <xdr:twoCellAnchor>
    <xdr:from>
      <xdr:col>21</xdr:col>
      <xdr:colOff>190500</xdr:colOff>
      <xdr:row>12</xdr:row>
      <xdr:rowOff>19050</xdr:rowOff>
    </xdr:from>
    <xdr:to>
      <xdr:col>22</xdr:col>
      <xdr:colOff>514350</xdr:colOff>
      <xdr:row>12</xdr:row>
      <xdr:rowOff>142875</xdr:rowOff>
    </xdr:to>
    <xdr:sp macro="" textlink="">
      <xdr:nvSpPr>
        <xdr:cNvPr id="42022" name="Text Box 38">
          <a:extLst>
            <a:ext uri="{FF2B5EF4-FFF2-40B4-BE49-F238E27FC236}">
              <a16:creationId xmlns:a16="http://schemas.microsoft.com/office/drawing/2014/main" id="{6C81B808-1361-0D2E-4EB4-7994CA417808}"/>
            </a:ext>
          </a:extLst>
        </xdr:cNvPr>
        <xdr:cNvSpPr txBox="1">
          <a:spLocks noChangeArrowheads="1"/>
        </xdr:cNvSpPr>
      </xdr:nvSpPr>
      <xdr:spPr bwMode="auto">
        <a:xfrm>
          <a:off x="11391900" y="1962150"/>
          <a:ext cx="857250" cy="1238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Ballast Condition</a:t>
          </a:r>
        </a:p>
      </xdr:txBody>
    </xdr:sp>
    <xdr:clientData/>
  </xdr:twoCellAnchor>
  <xdr:twoCellAnchor>
    <xdr:from>
      <xdr:col>18</xdr:col>
      <xdr:colOff>447675</xdr:colOff>
      <xdr:row>9</xdr:row>
      <xdr:rowOff>47625</xdr:rowOff>
    </xdr:from>
    <xdr:to>
      <xdr:col>19</xdr:col>
      <xdr:colOff>266700</xdr:colOff>
      <xdr:row>10</xdr:row>
      <xdr:rowOff>19050</xdr:rowOff>
    </xdr:to>
    <xdr:sp macro="" textlink="">
      <xdr:nvSpPr>
        <xdr:cNvPr id="42023" name="Text Box 39">
          <a:extLst>
            <a:ext uri="{FF2B5EF4-FFF2-40B4-BE49-F238E27FC236}">
              <a16:creationId xmlns:a16="http://schemas.microsoft.com/office/drawing/2014/main" id="{80AA7556-E1C0-DB54-042B-C7DC8C89003E}"/>
            </a:ext>
          </a:extLst>
        </xdr:cNvPr>
        <xdr:cNvSpPr txBox="1">
          <a:spLocks noChangeArrowheads="1"/>
        </xdr:cNvSpPr>
      </xdr:nvSpPr>
      <xdr:spPr bwMode="auto">
        <a:xfrm>
          <a:off x="10048875" y="1504950"/>
          <a:ext cx="352425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Port A</a:t>
          </a:r>
        </a:p>
      </xdr:txBody>
    </xdr:sp>
    <xdr:clientData/>
  </xdr:twoCellAnchor>
  <xdr:twoCellAnchor>
    <xdr:from>
      <xdr:col>19</xdr:col>
      <xdr:colOff>95250</xdr:colOff>
      <xdr:row>14</xdr:row>
      <xdr:rowOff>0</xdr:rowOff>
    </xdr:from>
    <xdr:to>
      <xdr:col>23</xdr:col>
      <xdr:colOff>47625</xdr:colOff>
      <xdr:row>14</xdr:row>
      <xdr:rowOff>9525</xdr:rowOff>
    </xdr:to>
    <xdr:sp macro="" textlink="">
      <xdr:nvSpPr>
        <xdr:cNvPr id="42283" name="Line 40">
          <a:extLst>
            <a:ext uri="{FF2B5EF4-FFF2-40B4-BE49-F238E27FC236}">
              <a16:creationId xmlns:a16="http://schemas.microsoft.com/office/drawing/2014/main" id="{EBF781E0-A19F-40AD-D058-98A7C26127C2}"/>
            </a:ext>
          </a:extLst>
        </xdr:cNvPr>
        <xdr:cNvSpPr>
          <a:spLocks noChangeShapeType="1"/>
        </xdr:cNvSpPr>
      </xdr:nvSpPr>
      <xdr:spPr bwMode="auto">
        <a:xfrm>
          <a:off x="10229850" y="2266950"/>
          <a:ext cx="20859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238125</xdr:colOff>
      <xdr:row>13</xdr:row>
      <xdr:rowOff>85725</xdr:rowOff>
    </xdr:from>
    <xdr:to>
      <xdr:col>21</xdr:col>
      <xdr:colOff>323850</xdr:colOff>
      <xdr:row>14</xdr:row>
      <xdr:rowOff>76200</xdr:rowOff>
    </xdr:to>
    <xdr:sp macro="" textlink="">
      <xdr:nvSpPr>
        <xdr:cNvPr id="42025" name="Text Box 41">
          <a:extLst>
            <a:ext uri="{FF2B5EF4-FFF2-40B4-BE49-F238E27FC236}">
              <a16:creationId xmlns:a16="http://schemas.microsoft.com/office/drawing/2014/main" id="{363DABBF-0540-FAE0-41FD-EEB578F98EB6}"/>
            </a:ext>
          </a:extLst>
        </xdr:cNvPr>
        <xdr:cNvSpPr txBox="1">
          <a:spLocks noChangeArrowheads="1"/>
        </xdr:cNvSpPr>
      </xdr:nvSpPr>
      <xdr:spPr bwMode="auto">
        <a:xfrm>
          <a:off x="10906125" y="2190750"/>
          <a:ext cx="619125" cy="1524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altLang="ko-K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One Voyage</a:t>
          </a:r>
        </a:p>
      </xdr:txBody>
    </xdr:sp>
    <xdr:clientData/>
  </xdr:twoCellAnchor>
  <xdr:twoCellAnchor>
    <xdr:from>
      <xdr:col>22</xdr:col>
      <xdr:colOff>381000</xdr:colOff>
      <xdr:row>9</xdr:row>
      <xdr:rowOff>38100</xdr:rowOff>
    </xdr:from>
    <xdr:to>
      <xdr:col>23</xdr:col>
      <xdr:colOff>219075</xdr:colOff>
      <xdr:row>10</xdr:row>
      <xdr:rowOff>9525</xdr:rowOff>
    </xdr:to>
    <xdr:sp macro="" textlink="">
      <xdr:nvSpPr>
        <xdr:cNvPr id="42026" name="Text Box 42">
          <a:extLst>
            <a:ext uri="{FF2B5EF4-FFF2-40B4-BE49-F238E27FC236}">
              <a16:creationId xmlns:a16="http://schemas.microsoft.com/office/drawing/2014/main" id="{BB85867B-37A0-6DA6-721A-74FE4D8C8A58}"/>
            </a:ext>
          </a:extLst>
        </xdr:cNvPr>
        <xdr:cNvSpPr txBox="1">
          <a:spLocks noChangeArrowheads="1"/>
        </xdr:cNvSpPr>
      </xdr:nvSpPr>
      <xdr:spPr bwMode="auto">
        <a:xfrm>
          <a:off x="12115800" y="1495425"/>
          <a:ext cx="371475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Port A</a:t>
          </a:r>
        </a:p>
      </xdr:txBody>
    </xdr:sp>
    <xdr:clientData/>
  </xdr:twoCellAnchor>
  <xdr:twoCellAnchor>
    <xdr:from>
      <xdr:col>18</xdr:col>
      <xdr:colOff>219075</xdr:colOff>
      <xdr:row>7</xdr:row>
      <xdr:rowOff>85725</xdr:rowOff>
    </xdr:from>
    <xdr:to>
      <xdr:col>19</xdr:col>
      <xdr:colOff>85725</xdr:colOff>
      <xdr:row>8</xdr:row>
      <xdr:rowOff>57150</xdr:rowOff>
    </xdr:to>
    <xdr:sp macro="" textlink="">
      <xdr:nvSpPr>
        <xdr:cNvPr id="42027" name="Text Box 43">
          <a:extLst>
            <a:ext uri="{FF2B5EF4-FFF2-40B4-BE49-F238E27FC236}">
              <a16:creationId xmlns:a16="http://schemas.microsoft.com/office/drawing/2014/main" id="{13AF58C0-E54C-6F2A-D08A-983D52FFBC4C}"/>
            </a:ext>
          </a:extLst>
        </xdr:cNvPr>
        <xdr:cNvSpPr txBox="1">
          <a:spLocks noChangeArrowheads="1"/>
        </xdr:cNvSpPr>
      </xdr:nvSpPr>
      <xdr:spPr bwMode="auto">
        <a:xfrm>
          <a:off x="9820275" y="1219200"/>
          <a:ext cx="400050" cy="13335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altLang="ko-K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Empty</a:t>
          </a:r>
        </a:p>
      </xdr:txBody>
    </xdr:sp>
    <xdr:clientData/>
  </xdr:twoCellAnchor>
  <xdr:twoCellAnchor>
    <xdr:from>
      <xdr:col>22</xdr:col>
      <xdr:colOff>228600</xdr:colOff>
      <xdr:row>7</xdr:row>
      <xdr:rowOff>28575</xdr:rowOff>
    </xdr:from>
    <xdr:to>
      <xdr:col>23</xdr:col>
      <xdr:colOff>85725</xdr:colOff>
      <xdr:row>8</xdr:row>
      <xdr:rowOff>9525</xdr:rowOff>
    </xdr:to>
    <xdr:sp macro="" textlink="">
      <xdr:nvSpPr>
        <xdr:cNvPr id="42028" name="Text Box 44">
          <a:extLst>
            <a:ext uri="{FF2B5EF4-FFF2-40B4-BE49-F238E27FC236}">
              <a16:creationId xmlns:a16="http://schemas.microsoft.com/office/drawing/2014/main" id="{9CE02CD5-0E6C-93BA-5682-172B4B65D31D}"/>
            </a:ext>
          </a:extLst>
        </xdr:cNvPr>
        <xdr:cNvSpPr txBox="1">
          <a:spLocks noChangeArrowheads="1"/>
        </xdr:cNvSpPr>
      </xdr:nvSpPr>
      <xdr:spPr bwMode="auto">
        <a:xfrm>
          <a:off x="11963400" y="1162050"/>
          <a:ext cx="3905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altLang="ko-K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Empty</a:t>
          </a:r>
        </a:p>
      </xdr:txBody>
    </xdr:sp>
    <xdr:clientData/>
  </xdr:twoCellAnchor>
  <xdr:twoCellAnchor>
    <xdr:from>
      <xdr:col>20</xdr:col>
      <xdr:colOff>419100</xdr:colOff>
      <xdr:row>9</xdr:row>
      <xdr:rowOff>38100</xdr:rowOff>
    </xdr:from>
    <xdr:to>
      <xdr:col>21</xdr:col>
      <xdr:colOff>247650</xdr:colOff>
      <xdr:row>10</xdr:row>
      <xdr:rowOff>9525</xdr:rowOff>
    </xdr:to>
    <xdr:sp macro="" textlink="">
      <xdr:nvSpPr>
        <xdr:cNvPr id="42029" name="Text Box 45">
          <a:extLst>
            <a:ext uri="{FF2B5EF4-FFF2-40B4-BE49-F238E27FC236}">
              <a16:creationId xmlns:a16="http://schemas.microsoft.com/office/drawing/2014/main" id="{1BA46B32-6300-AC87-E68B-DF076872EAB2}"/>
            </a:ext>
          </a:extLst>
        </xdr:cNvPr>
        <xdr:cNvSpPr txBox="1">
          <a:spLocks noChangeArrowheads="1"/>
        </xdr:cNvSpPr>
      </xdr:nvSpPr>
      <xdr:spPr bwMode="auto">
        <a:xfrm>
          <a:off x="11087100" y="1495425"/>
          <a:ext cx="3619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altLang="ko-K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Port B</a:t>
          </a:r>
        </a:p>
      </xdr:txBody>
    </xdr:sp>
    <xdr:clientData/>
  </xdr:twoCellAnchor>
  <xdr:twoCellAnchor>
    <xdr:from>
      <xdr:col>18</xdr:col>
      <xdr:colOff>504825</xdr:colOff>
      <xdr:row>8</xdr:row>
      <xdr:rowOff>66675</xdr:rowOff>
    </xdr:from>
    <xdr:to>
      <xdr:col>19</xdr:col>
      <xdr:colOff>85725</xdr:colOff>
      <xdr:row>9</xdr:row>
      <xdr:rowOff>47625</xdr:rowOff>
    </xdr:to>
    <xdr:sp macro="" textlink="">
      <xdr:nvSpPr>
        <xdr:cNvPr id="42289" name="Line 46">
          <a:extLst>
            <a:ext uri="{FF2B5EF4-FFF2-40B4-BE49-F238E27FC236}">
              <a16:creationId xmlns:a16="http://schemas.microsoft.com/office/drawing/2014/main" id="{EF0BB423-C464-450E-7CBD-5D815949950F}"/>
            </a:ext>
          </a:extLst>
        </xdr:cNvPr>
        <xdr:cNvSpPr>
          <a:spLocks noChangeShapeType="1"/>
        </xdr:cNvSpPr>
      </xdr:nvSpPr>
      <xdr:spPr bwMode="auto">
        <a:xfrm>
          <a:off x="10106025" y="1362075"/>
          <a:ext cx="1143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447675</xdr:colOff>
      <xdr:row>8</xdr:row>
      <xdr:rowOff>9525</xdr:rowOff>
    </xdr:from>
    <xdr:to>
      <xdr:col>23</xdr:col>
      <xdr:colOff>28575</xdr:colOff>
      <xdr:row>9</xdr:row>
      <xdr:rowOff>28575</xdr:rowOff>
    </xdr:to>
    <xdr:sp macro="" textlink="">
      <xdr:nvSpPr>
        <xdr:cNvPr id="42290" name="Line 47">
          <a:extLst>
            <a:ext uri="{FF2B5EF4-FFF2-40B4-BE49-F238E27FC236}">
              <a16:creationId xmlns:a16="http://schemas.microsoft.com/office/drawing/2014/main" id="{AD133942-6D85-3C10-42D4-7DCB2457FAA1}"/>
            </a:ext>
          </a:extLst>
        </xdr:cNvPr>
        <xdr:cNvSpPr>
          <a:spLocks noChangeShapeType="1"/>
        </xdr:cNvSpPr>
      </xdr:nvSpPr>
      <xdr:spPr bwMode="auto">
        <a:xfrm>
          <a:off x="12182475" y="1304925"/>
          <a:ext cx="11430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21</xdr:row>
      <xdr:rowOff>123825</xdr:rowOff>
    </xdr:from>
    <xdr:to>
      <xdr:col>13</xdr:col>
      <xdr:colOff>0</xdr:colOff>
      <xdr:row>44</xdr:row>
      <xdr:rowOff>114300</xdr:rowOff>
    </xdr:to>
    <xdr:graphicFrame macro="">
      <xdr:nvGraphicFramePr>
        <xdr:cNvPr id="45064" name="Chart 1">
          <a:extLst>
            <a:ext uri="{FF2B5EF4-FFF2-40B4-BE49-F238E27FC236}">
              <a16:creationId xmlns:a16="http://schemas.microsoft.com/office/drawing/2014/main" id="{C3C05510-BB15-0E58-9672-1608706F7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295275</xdr:colOff>
      <xdr:row>3</xdr:row>
      <xdr:rowOff>38100</xdr:rowOff>
    </xdr:from>
    <xdr:to>
      <xdr:col>15</xdr:col>
      <xdr:colOff>523875</xdr:colOff>
      <xdr:row>28</xdr:row>
      <xdr:rowOff>66675</xdr:rowOff>
    </xdr:to>
    <xdr:graphicFrame macro="">
      <xdr:nvGraphicFramePr>
        <xdr:cNvPr id="48161" name="Chart 3">
          <a:extLst>
            <a:ext uri="{FF2B5EF4-FFF2-40B4-BE49-F238E27FC236}">
              <a16:creationId xmlns:a16="http://schemas.microsoft.com/office/drawing/2014/main" id="{68C4C092-4CC5-2632-8163-AF9E3CA16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27</xdr:row>
      <xdr:rowOff>19050</xdr:rowOff>
    </xdr:from>
    <xdr:to>
      <xdr:col>16</xdr:col>
      <xdr:colOff>0</xdr:colOff>
      <xdr:row>44</xdr:row>
      <xdr:rowOff>133350</xdr:rowOff>
    </xdr:to>
    <xdr:graphicFrame macro="">
      <xdr:nvGraphicFramePr>
        <xdr:cNvPr id="48162" name="Chart 4">
          <a:extLst>
            <a:ext uri="{FF2B5EF4-FFF2-40B4-BE49-F238E27FC236}">
              <a16:creationId xmlns:a16="http://schemas.microsoft.com/office/drawing/2014/main" id="{2CEC0204-51DC-D6C2-8431-2BAA9906E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200025</xdr:colOff>
      <xdr:row>46</xdr:row>
      <xdr:rowOff>38100</xdr:rowOff>
    </xdr:from>
    <xdr:to>
      <xdr:col>16</xdr:col>
      <xdr:colOff>228600</xdr:colOff>
      <xdr:row>71</xdr:row>
      <xdr:rowOff>66675</xdr:rowOff>
    </xdr:to>
    <xdr:graphicFrame macro="">
      <xdr:nvGraphicFramePr>
        <xdr:cNvPr id="48163" name="Chart 5">
          <a:extLst>
            <a:ext uri="{FF2B5EF4-FFF2-40B4-BE49-F238E27FC236}">
              <a16:creationId xmlns:a16="http://schemas.microsoft.com/office/drawing/2014/main" id="{8C951BA9-01B6-60D2-4CED-B451E1738A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466725</xdr:colOff>
      <xdr:row>103</xdr:row>
      <xdr:rowOff>123825</xdr:rowOff>
    </xdr:from>
    <xdr:to>
      <xdr:col>15</xdr:col>
      <xdr:colOff>57150</xdr:colOff>
      <xdr:row>128</xdr:row>
      <xdr:rowOff>152400</xdr:rowOff>
    </xdr:to>
    <xdr:graphicFrame macro="">
      <xdr:nvGraphicFramePr>
        <xdr:cNvPr id="48164" name="Chart 6">
          <a:extLst>
            <a:ext uri="{FF2B5EF4-FFF2-40B4-BE49-F238E27FC236}">
              <a16:creationId xmlns:a16="http://schemas.microsoft.com/office/drawing/2014/main" id="{4457956C-D0F2-FDB6-6085-8608886D8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95250</xdr:rowOff>
        </xdr:from>
        <xdr:to>
          <xdr:col>4</xdr:col>
          <xdr:colOff>66675</xdr:colOff>
          <xdr:row>7</xdr:row>
          <xdr:rowOff>19050</xdr:rowOff>
        </xdr:to>
        <xdr:sp macro="" textlink="">
          <xdr:nvSpPr>
            <xdr:cNvPr id="48130" name="Object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4884E416-26C4-4B59-92ED-AF72643F5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3</xdr:row>
      <xdr:rowOff>123825</xdr:rowOff>
    </xdr:from>
    <xdr:to>
      <xdr:col>14</xdr:col>
      <xdr:colOff>361950</xdr:colOff>
      <xdr:row>28</xdr:row>
      <xdr:rowOff>152400</xdr:rowOff>
    </xdr:to>
    <xdr:graphicFrame macro="">
      <xdr:nvGraphicFramePr>
        <xdr:cNvPr id="50198" name="Chart 1">
          <a:extLst>
            <a:ext uri="{FF2B5EF4-FFF2-40B4-BE49-F238E27FC236}">
              <a16:creationId xmlns:a16="http://schemas.microsoft.com/office/drawing/2014/main" id="{A0DC45E9-8731-32CB-6BEE-8BC9F7BC0A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352425</xdr:colOff>
      <xdr:row>30</xdr:row>
      <xdr:rowOff>85725</xdr:rowOff>
    </xdr:from>
    <xdr:to>
      <xdr:col>14</xdr:col>
      <xdr:colOff>200025</xdr:colOff>
      <xdr:row>41</xdr:row>
      <xdr:rowOff>0</xdr:rowOff>
    </xdr:to>
    <xdr:graphicFrame macro="">
      <xdr:nvGraphicFramePr>
        <xdr:cNvPr id="50199" name="Chart 2">
          <a:extLst>
            <a:ext uri="{FF2B5EF4-FFF2-40B4-BE49-F238E27FC236}">
              <a16:creationId xmlns:a16="http://schemas.microsoft.com/office/drawing/2014/main" id="{5D97944C-6D22-D782-D268-1C65774F4B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85725</xdr:colOff>
      <xdr:row>54</xdr:row>
      <xdr:rowOff>104775</xdr:rowOff>
    </xdr:from>
    <xdr:to>
      <xdr:col>10</xdr:col>
      <xdr:colOff>47625</xdr:colOff>
      <xdr:row>79</xdr:row>
      <xdr:rowOff>142875</xdr:rowOff>
    </xdr:to>
    <xdr:graphicFrame macro="">
      <xdr:nvGraphicFramePr>
        <xdr:cNvPr id="50200" name="Chart 3">
          <a:extLst>
            <a:ext uri="{FF2B5EF4-FFF2-40B4-BE49-F238E27FC236}">
              <a16:creationId xmlns:a16="http://schemas.microsoft.com/office/drawing/2014/main" id="{BCC2D7F0-A965-4C9C-2749-202D431F5A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16</xdr:row>
      <xdr:rowOff>19050</xdr:rowOff>
    </xdr:from>
    <xdr:to>
      <xdr:col>11</xdr:col>
      <xdr:colOff>495300</xdr:colOff>
      <xdr:row>33</xdr:row>
      <xdr:rowOff>9525</xdr:rowOff>
    </xdr:to>
    <xdr:graphicFrame macro="">
      <xdr:nvGraphicFramePr>
        <xdr:cNvPr id="135174" name="차트 1">
          <a:extLst>
            <a:ext uri="{FF2B5EF4-FFF2-40B4-BE49-F238E27FC236}">
              <a16:creationId xmlns:a16="http://schemas.microsoft.com/office/drawing/2014/main" id="{ACFF42F1-FD13-E47F-BE98-68C732DC0E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am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tial"/>
      <sheetName val="Type1"/>
      <sheetName val="Type2"/>
      <sheetName val="Type3"/>
      <sheetName val="Type4"/>
      <sheetName val="Type5"/>
      <sheetName val="Material"/>
      <sheetName val="s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5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4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9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8.bin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0" Type="http://schemas.openxmlformats.org/officeDocument/2006/relationships/oleObject" Target="../embeddings/oleObject10.bin"/><Relationship Id="rId4" Type="http://schemas.openxmlformats.org/officeDocument/2006/relationships/oleObject" Target="../embeddings/oleObject7.bin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3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12.bin"/><Relationship Id="rId5" Type="http://schemas.openxmlformats.org/officeDocument/2006/relationships/image" Target="../media/image13.emf"/><Relationship Id="rId4" Type="http://schemas.openxmlformats.org/officeDocument/2006/relationships/oleObject" Target="../embeddings/oleObject11.bin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1.emf"/><Relationship Id="rId4" Type="http://schemas.openxmlformats.org/officeDocument/2006/relationships/oleObject" Target="../embeddings/oleObject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B638-177F-4E0A-AC5A-1C1563111984}">
  <sheetPr codeName="Sheet714"/>
  <dimension ref="A1:X172"/>
  <sheetViews>
    <sheetView showGridLines="0" tabSelected="1" workbookViewId="0">
      <selection activeCell="N16" sqref="N16"/>
    </sheetView>
  </sheetViews>
  <sheetFormatPr defaultRowHeight="12.75"/>
  <cols>
    <col min="1" max="1" width="4.83203125" style="1" customWidth="1"/>
    <col min="2" max="13" width="9.5" style="1" customWidth="1"/>
    <col min="14" max="14" width="12.6640625" style="1" customWidth="1"/>
    <col min="15" max="16" width="9.5" style="1" customWidth="1"/>
    <col min="17" max="17" width="11.83203125" style="1" customWidth="1"/>
    <col min="18" max="18" width="10.83203125" style="1" customWidth="1"/>
    <col min="19" max="19" width="9.5" style="1" customWidth="1"/>
    <col min="20" max="21" width="9.6640625" style="1" customWidth="1"/>
    <col min="22" max="26" width="9.33203125" style="1"/>
    <col min="27" max="27" width="9.83203125" style="1" bestFit="1" customWidth="1"/>
    <col min="28" max="16384" width="9.33203125" style="1"/>
  </cols>
  <sheetData>
    <row r="1" spans="1:16" ht="25.5">
      <c r="B1" s="32" t="s">
        <v>0</v>
      </c>
      <c r="N1" s="4"/>
    </row>
    <row r="2" spans="1:16">
      <c r="O2" s="112"/>
      <c r="P2" s="175"/>
    </row>
    <row r="3" spans="1:16" ht="19.5">
      <c r="B3" s="183" t="s">
        <v>1</v>
      </c>
    </row>
    <row r="4" spans="1:16" ht="20.100000000000001" customHeight="1">
      <c r="B4" s="184"/>
      <c r="C4" s="185"/>
      <c r="D4" s="185"/>
      <c r="E4" s="185"/>
      <c r="F4" s="185"/>
      <c r="G4" s="185"/>
      <c r="H4" s="185"/>
      <c r="I4" s="185"/>
      <c r="J4" s="185"/>
      <c r="K4" s="185"/>
      <c r="L4" s="186"/>
    </row>
    <row r="5" spans="1:16" ht="20.100000000000001" customHeight="1">
      <c r="B5" s="187"/>
      <c r="C5" s="182"/>
      <c r="D5" s="182"/>
      <c r="E5" s="182"/>
      <c r="F5" s="182"/>
      <c r="G5" s="182"/>
      <c r="H5" s="182"/>
      <c r="I5" s="182"/>
      <c r="J5" s="182"/>
      <c r="K5" s="182"/>
      <c r="L5" s="188"/>
    </row>
    <row r="6" spans="1:16" ht="20.100000000000001" customHeight="1">
      <c r="B6" s="189"/>
      <c r="C6" s="190"/>
      <c r="D6" s="190"/>
      <c r="E6" s="190"/>
      <c r="F6" s="190"/>
      <c r="G6" s="190"/>
      <c r="H6" s="190"/>
      <c r="I6" s="190"/>
      <c r="J6" s="190"/>
      <c r="K6" s="190"/>
      <c r="L6" s="191"/>
    </row>
    <row r="8" spans="1:16" ht="18" customHeight="1" thickBot="1">
      <c r="B8" s="1" t="s">
        <v>2</v>
      </c>
      <c r="F8" s="2" t="s">
        <v>3</v>
      </c>
      <c r="H8" s="36"/>
    </row>
    <row r="9" spans="1:16" ht="13.5" customHeight="1" thickBot="1">
      <c r="A9" s="259"/>
      <c r="B9" s="265" t="s">
        <v>4</v>
      </c>
      <c r="C9" s="266"/>
      <c r="D9" s="267"/>
      <c r="E9" s="254" t="s">
        <v>5</v>
      </c>
      <c r="F9" s="255"/>
      <c r="G9" s="254" t="s">
        <v>6</v>
      </c>
      <c r="H9" s="255"/>
      <c r="I9" s="261" t="s">
        <v>7</v>
      </c>
      <c r="J9" s="263" t="s">
        <v>8</v>
      </c>
    </row>
    <row r="10" spans="1:16" ht="13.5" thickBot="1">
      <c r="A10" s="260"/>
      <c r="B10" s="268"/>
      <c r="C10" s="269"/>
      <c r="D10" s="270"/>
      <c r="E10" s="33" t="s">
        <v>9</v>
      </c>
      <c r="F10" s="33" t="s">
        <v>10</v>
      </c>
      <c r="G10" s="33" t="s">
        <v>11</v>
      </c>
      <c r="H10" s="33" t="s">
        <v>12</v>
      </c>
      <c r="I10" s="262"/>
      <c r="J10" s="264"/>
      <c r="P10" s="172"/>
    </row>
    <row r="11" spans="1:16" ht="18" customHeight="1" thickBot="1">
      <c r="A11" s="201">
        <v>1</v>
      </c>
      <c r="B11" s="33">
        <v>22</v>
      </c>
      <c r="C11" s="254" t="str">
        <f>VLOOKUP(B11,$A$72:$J$172,2,FALSE)</f>
        <v>DNV - I</v>
      </c>
      <c r="D11" s="255"/>
      <c r="E11" s="35">
        <f>VLOOKUP(B11,$A$72:$J$172,5,FALSE)</f>
        <v>12.65</v>
      </c>
      <c r="F11" s="170">
        <f>VLOOKUP(B11,$A$72:$J$172,6,FALSE)</f>
        <v>3</v>
      </c>
      <c r="G11" s="35">
        <f>H11*(E11-LOG(J11))/F11+LOG(J11)</f>
        <v>16.416666666666664</v>
      </c>
      <c r="H11" s="170">
        <f>VLOOKUP(B11,$A$72:$J$172,9,FALSE)</f>
        <v>5</v>
      </c>
      <c r="I11" s="171">
        <f>VLOOKUP(B11,$A$72:$J$172,10,FALSE)</f>
        <v>0</v>
      </c>
      <c r="J11" s="34">
        <f>VLOOKUP(B11,$A$72:$K$172,11,FALSE)</f>
        <v>10000000</v>
      </c>
      <c r="K11" s="199" t="str">
        <f>VLOOKUP(B11,$A$72:$N$172,14,FALSE)</f>
        <v>Joint in Air</v>
      </c>
      <c r="P11" s="61"/>
    </row>
    <row r="12" spans="1:16" ht="18" customHeight="1" thickBot="1">
      <c r="A12" s="201">
        <v>2</v>
      </c>
      <c r="B12" s="33">
        <v>1</v>
      </c>
      <c r="C12" s="254" t="e">
        <f>VLOOKUP(B12,$A$72:$J$172,2,FALSE)</f>
        <v>#N/A</v>
      </c>
      <c r="D12" s="255"/>
      <c r="E12" s="35" t="e">
        <f>VLOOKUP(B12,$A$72:$J$172,5,FALSE)</f>
        <v>#N/A</v>
      </c>
      <c r="F12" s="170" t="e">
        <f>VLOOKUP(B12,$A$72:$J$172,6,FALSE)</f>
        <v>#N/A</v>
      </c>
      <c r="G12" s="35" t="e">
        <f>H12*(E12-LOG(J12))/F12+LOG(J12)</f>
        <v>#N/A</v>
      </c>
      <c r="H12" s="170" t="e">
        <f>VLOOKUP(B12,$A$72:$J$172,9,FALSE)</f>
        <v>#N/A</v>
      </c>
      <c r="I12" s="171" t="e">
        <f>VLOOKUP(B12,$A$72:$J$172,10,FALSE)</f>
        <v>#N/A</v>
      </c>
      <c r="J12" s="34" t="e">
        <f>VLOOKUP(B12,$A$72:$K$172,11,FALSE)</f>
        <v>#N/A</v>
      </c>
      <c r="K12" s="199" t="e">
        <f>VLOOKUP(B12,$A$72:$N$172,14,FALSE)</f>
        <v>#N/A</v>
      </c>
      <c r="N12" s="5"/>
    </row>
    <row r="13" spans="1:16" ht="18" customHeight="1" thickBot="1">
      <c r="A13" s="201">
        <v>3</v>
      </c>
      <c r="B13" s="33">
        <v>1</v>
      </c>
      <c r="C13" s="254" t="e">
        <f>VLOOKUP(B13,$A$72:$J$172,2,FALSE)</f>
        <v>#N/A</v>
      </c>
      <c r="D13" s="255"/>
      <c r="E13" s="35" t="e">
        <f>VLOOKUP(B13,$A$72:$J$172,5,FALSE)</f>
        <v>#N/A</v>
      </c>
      <c r="F13" s="170" t="e">
        <f>VLOOKUP(B13,$A$72:$J$172,6,FALSE)</f>
        <v>#N/A</v>
      </c>
      <c r="G13" s="35" t="e">
        <f>H13*(E13-LOG(J13))/F13+LOG(J13)</f>
        <v>#N/A</v>
      </c>
      <c r="H13" s="170" t="e">
        <f>VLOOKUP(B13,$A$72:$J$172,9,FALSE)</f>
        <v>#N/A</v>
      </c>
      <c r="I13" s="171" t="e">
        <f>VLOOKUP(B13,$A$72:$J$172,10,FALSE)</f>
        <v>#N/A</v>
      </c>
      <c r="J13" s="34" t="e">
        <f>VLOOKUP(B13,$A$72:$K$172,11,FALSE)</f>
        <v>#N/A</v>
      </c>
      <c r="K13" s="199" t="e">
        <f>VLOOKUP(B13,$A$72:$N$172,14,FALSE)</f>
        <v>#N/A</v>
      </c>
      <c r="L13" s="112"/>
    </row>
    <row r="14" spans="1:16" ht="18" customHeight="1" thickBot="1">
      <c r="A14" s="201">
        <v>4</v>
      </c>
      <c r="B14" s="33">
        <v>1</v>
      </c>
      <c r="C14" s="254" t="e">
        <f>VLOOKUP(B14,$A$72:$J$172,2,FALSE)</f>
        <v>#N/A</v>
      </c>
      <c r="D14" s="255"/>
      <c r="E14" s="35" t="e">
        <f>VLOOKUP(B14,$A$72:$J$172,5,FALSE)</f>
        <v>#N/A</v>
      </c>
      <c r="F14" s="170" t="e">
        <f>VLOOKUP(B14,$A$72:$J$172,6,FALSE)</f>
        <v>#N/A</v>
      </c>
      <c r="G14" s="35" t="e">
        <f>H14*(E14-LOG(J14))/F14+LOG(J14)</f>
        <v>#N/A</v>
      </c>
      <c r="H14" s="170" t="e">
        <f>VLOOKUP(B14,$A$72:$J$172,9,FALSE)</f>
        <v>#N/A</v>
      </c>
      <c r="I14" s="171" t="e">
        <f>VLOOKUP(B14,$A$72:$J$172,10,FALSE)</f>
        <v>#N/A</v>
      </c>
      <c r="J14" s="34" t="e">
        <f>VLOOKUP(B14,$A$72:$K$172,11,FALSE)</f>
        <v>#N/A</v>
      </c>
      <c r="K14" s="199" t="e">
        <f>VLOOKUP(B14,$A$72:$N$172,14,FALSE)</f>
        <v>#N/A</v>
      </c>
      <c r="L14" s="112"/>
    </row>
    <row r="15" spans="1:16" ht="18" customHeight="1" thickBot="1">
      <c r="A15" s="201">
        <v>5</v>
      </c>
      <c r="B15" s="33">
        <v>1</v>
      </c>
      <c r="C15" s="254" t="e">
        <f>VLOOKUP(B15,$A$72:$J$172,2,FALSE)</f>
        <v>#N/A</v>
      </c>
      <c r="D15" s="255"/>
      <c r="E15" s="35" t="e">
        <f>VLOOKUP(B15,$A$72:$J$172,5,FALSE)</f>
        <v>#N/A</v>
      </c>
      <c r="F15" s="170" t="e">
        <f>VLOOKUP(B15,$A$72:$J$172,6,FALSE)</f>
        <v>#N/A</v>
      </c>
      <c r="G15" s="35" t="e">
        <f>H15*(E15-LOG(J15))/F15+LOG(J15)</f>
        <v>#N/A</v>
      </c>
      <c r="H15" s="170" t="e">
        <f>VLOOKUP(B15,$A$72:$J$172,9,FALSE)</f>
        <v>#N/A</v>
      </c>
      <c r="I15" s="171" t="e">
        <f>VLOOKUP(B15,$A$72:$J$172,10,FALSE)</f>
        <v>#N/A</v>
      </c>
      <c r="J15" s="34" t="e">
        <f>VLOOKUP(B15,$A$72:$K$172,11,FALSE)</f>
        <v>#N/A</v>
      </c>
      <c r="K15" s="199" t="e">
        <f>VLOOKUP(B15,$A$72:$N$172,14,FALSE)</f>
        <v>#N/A</v>
      </c>
      <c r="M15" s="113"/>
    </row>
    <row r="16" spans="1:16" ht="13.5" thickBot="1"/>
    <row r="17" spans="2:20" ht="15" thickBot="1">
      <c r="B17" s="1">
        <v>22</v>
      </c>
      <c r="E17" s="35" t="s">
        <v>13</v>
      </c>
      <c r="F17" s="35" t="s">
        <v>14</v>
      </c>
      <c r="G17" s="33" t="s">
        <v>11</v>
      </c>
      <c r="H17" s="35" t="s">
        <v>15</v>
      </c>
      <c r="I17" s="35" t="s">
        <v>16</v>
      </c>
      <c r="J17" s="34" t="s">
        <v>17</v>
      </c>
      <c r="K17" s="37" t="s">
        <v>18</v>
      </c>
    </row>
    <row r="18" spans="2:20" ht="13.5" thickBot="1">
      <c r="E18" s="35">
        <f>IF($D$67=1,VLOOKUP(B17,$A$72:$J$172,4,FALSE),IF($D$67=2,VLOOKUP(B17,$A$72:$J$172,5,FALSE)))</f>
        <v>12.65</v>
      </c>
      <c r="F18" s="35">
        <f>VLOOKUP(B17,$A$71:$J$172,6,FALSE)</f>
        <v>3</v>
      </c>
      <c r="G18" s="35">
        <f>H18*(E18-LOG(J18))/F18+LOG(J18)</f>
        <v>16.416666666666664</v>
      </c>
      <c r="H18" s="35">
        <f>VLOOKUP(B17,$A$71:$J$172,9,FALSE)</f>
        <v>5</v>
      </c>
      <c r="I18" s="171">
        <f>VLOOKUP(B17,$A$71:$J$172,10,FALSE)</f>
        <v>0</v>
      </c>
      <c r="J18" s="34">
        <f>VLOOKUP(B17,$A$71:$K$172,11,FALSE)</f>
        <v>10000000</v>
      </c>
      <c r="K18" s="63">
        <f>10^((E18-LOG(J18))/F18)</f>
        <v>76.442227425260114</v>
      </c>
      <c r="Q18" s="33" t="s">
        <v>19</v>
      </c>
      <c r="R18" s="33" t="s">
        <v>20</v>
      </c>
      <c r="S18" s="33" t="s">
        <v>21</v>
      </c>
      <c r="T18" s="33" t="s">
        <v>22</v>
      </c>
    </row>
    <row r="19" spans="2:20" ht="13.5" thickBot="1">
      <c r="E19" s="35" t="s">
        <v>23</v>
      </c>
      <c r="F19" s="65">
        <v>10000000</v>
      </c>
      <c r="J19" s="37" t="s">
        <v>24</v>
      </c>
      <c r="K19" s="170">
        <f>10^((IF(F19&lt;J18,E18,G18)-LOG(F19))/IF(F19&lt;J18,F18,H18))</f>
        <v>76.442227425259986</v>
      </c>
      <c r="Q19" s="35">
        <v>15.0055</v>
      </c>
      <c r="R19" s="170">
        <v>4</v>
      </c>
      <c r="S19" s="35">
        <v>19.00825</v>
      </c>
      <c r="T19" s="170">
        <v>6</v>
      </c>
    </row>
    <row r="20" spans="2:20" ht="13.5" thickBot="1">
      <c r="E20" s="37" t="s">
        <v>24</v>
      </c>
      <c r="F20" s="64">
        <v>105.75</v>
      </c>
      <c r="J20" s="35" t="s">
        <v>25</v>
      </c>
      <c r="K20" s="34">
        <f>10^(IF(F20&gt;=K18,E18,G18)-IF(F20&gt;=K18,F18,H18)*LOG(F20))</f>
        <v>3777103.3813076089</v>
      </c>
      <c r="L20" s="5">
        <f>250000/K20</f>
        <v>6.6188286303524899E-2</v>
      </c>
    </row>
    <row r="21" spans="2:20" ht="13.5" thickBot="1">
      <c r="J21" s="61"/>
    </row>
    <row r="22" spans="2:20" ht="13.5" thickBot="1">
      <c r="B22" s="170"/>
      <c r="C22" s="201">
        <v>1</v>
      </c>
      <c r="D22" s="201">
        <v>2</v>
      </c>
      <c r="E22" s="201">
        <v>3</v>
      </c>
      <c r="F22" s="201">
        <v>4</v>
      </c>
      <c r="G22" s="201">
        <v>5</v>
      </c>
      <c r="I22" s="170"/>
      <c r="J22" s="201">
        <v>1</v>
      </c>
      <c r="K22" s="201">
        <v>2</v>
      </c>
      <c r="L22" s="201">
        <v>3</v>
      </c>
      <c r="M22" s="201">
        <v>4</v>
      </c>
      <c r="N22" s="201">
        <v>5</v>
      </c>
      <c r="Q22" s="37" t="s">
        <v>26</v>
      </c>
      <c r="R22" s="2" t="s">
        <v>27</v>
      </c>
    </row>
    <row r="23" spans="2:20" ht="13.5" thickBot="1">
      <c r="B23" s="202">
        <f>2000000</f>
        <v>2000000</v>
      </c>
      <c r="C23" s="170">
        <f>10^((E11-LOG(B23))/F11)</f>
        <v>130.71437020758447</v>
      </c>
      <c r="D23" s="170" t="e">
        <f>10^((E12-LOG(B23))/F12)</f>
        <v>#N/A</v>
      </c>
      <c r="E23" s="170" t="e">
        <f>10^((E13-LOG(B23))/F13)</f>
        <v>#N/A</v>
      </c>
      <c r="F23" s="170" t="e">
        <f>10^((E14-LOG(B23))/F14)</f>
        <v>#N/A</v>
      </c>
      <c r="G23" s="170" t="e">
        <f>10^((E15-LOG(B23))/F15)</f>
        <v>#N/A</v>
      </c>
      <c r="I23" s="202">
        <f>10000000</f>
        <v>10000000</v>
      </c>
      <c r="J23" s="170">
        <f>10^((G11-LOG(I23))/H11)</f>
        <v>76.442227425259986</v>
      </c>
      <c r="K23" s="170" t="e">
        <f>10^((G12-LOG(I23))/H12)</f>
        <v>#N/A</v>
      </c>
      <c r="L23" s="170" t="e">
        <f>10^((G13-LOG(I23))/H13)</f>
        <v>#N/A</v>
      </c>
      <c r="M23" s="170" t="e">
        <f>10^((G14-LOG(I23))/H14)</f>
        <v>#N/A</v>
      </c>
      <c r="N23" s="170" t="e">
        <f>10^((G15-LOG(I23))/H15)</f>
        <v>#N/A</v>
      </c>
      <c r="Q23" s="1">
        <v>100.3</v>
      </c>
      <c r="R23" s="5">
        <f>10^($Q$19-$R$19*LOG(Q23))</f>
        <v>10006824.148314012</v>
      </c>
      <c r="S23" s="1">
        <f t="shared" ref="S23:S31" si="0">Q23/2</f>
        <v>50.15</v>
      </c>
      <c r="T23" s="1">
        <f t="shared" ref="T23:T31" si="1">S23/206000</f>
        <v>2.4344660194174756E-4</v>
      </c>
    </row>
    <row r="24" spans="2:20" ht="13.5" thickBot="1">
      <c r="B24" s="202" t="s">
        <v>28</v>
      </c>
      <c r="C24" s="200">
        <f>C23/C23</f>
        <v>1</v>
      </c>
      <c r="D24" s="200" t="e">
        <f>C23/D23</f>
        <v>#N/A</v>
      </c>
      <c r="E24" s="200" t="e">
        <f>C23/E23</f>
        <v>#N/A</v>
      </c>
      <c r="F24" s="200" t="e">
        <f>C23/F23</f>
        <v>#N/A</v>
      </c>
      <c r="G24" s="200" t="e">
        <f>C23/G23</f>
        <v>#N/A</v>
      </c>
      <c r="I24" s="202" t="s">
        <v>28</v>
      </c>
      <c r="J24" s="200">
        <f>J23/J23</f>
        <v>1</v>
      </c>
      <c r="K24" s="200" t="e">
        <f>J23/K23</f>
        <v>#N/A</v>
      </c>
      <c r="L24" s="200" t="e">
        <f>J23/L23</f>
        <v>#N/A</v>
      </c>
      <c r="M24" s="200" t="e">
        <f>J23/M23</f>
        <v>#N/A</v>
      </c>
      <c r="N24" s="200" t="e">
        <f>J23/N23</f>
        <v>#N/A</v>
      </c>
      <c r="Q24" s="1">
        <v>200</v>
      </c>
      <c r="R24" s="5">
        <f t="shared" ref="R24:R30" si="2">10^($Q$19-$R$19*LOG(Q24))</f>
        <v>632965.46800908225</v>
      </c>
      <c r="S24" s="1">
        <f t="shared" si="0"/>
        <v>100</v>
      </c>
      <c r="T24" s="1">
        <f t="shared" si="1"/>
        <v>4.8543689320388347E-4</v>
      </c>
    </row>
    <row r="25" spans="2:20" ht="15">
      <c r="C25" s="3"/>
      <c r="D25" s="8"/>
      <c r="E25" s="8"/>
      <c r="F25" s="10"/>
      <c r="Q25" s="1">
        <v>300</v>
      </c>
      <c r="R25" s="5">
        <f t="shared" si="2"/>
        <v>125030.21590302826</v>
      </c>
      <c r="S25" s="1">
        <f t="shared" si="0"/>
        <v>150</v>
      </c>
      <c r="T25" s="1">
        <f t="shared" si="1"/>
        <v>7.2815533980582527E-4</v>
      </c>
    </row>
    <row r="26" spans="2:20">
      <c r="C26" s="6"/>
      <c r="D26" s="7"/>
      <c r="E26" s="11"/>
      <c r="F26" s="12"/>
      <c r="G26" s="3"/>
      <c r="Q26" s="1">
        <v>500</v>
      </c>
      <c r="R26" s="5">
        <f t="shared" si="2"/>
        <v>16203.915981032504</v>
      </c>
      <c r="S26" s="1">
        <f t="shared" si="0"/>
        <v>250</v>
      </c>
      <c r="T26" s="1">
        <f t="shared" si="1"/>
        <v>1.2135922330097086E-3</v>
      </c>
    </row>
    <row r="27" spans="2:20">
      <c r="G27" s="9"/>
      <c r="H27" s="10"/>
      <c r="Q27" s="1">
        <v>1000</v>
      </c>
      <c r="R27" s="5">
        <f t="shared" si="2"/>
        <v>1012.7447488145311</v>
      </c>
      <c r="S27" s="1">
        <f t="shared" si="0"/>
        <v>500</v>
      </c>
      <c r="T27" s="1">
        <f t="shared" si="1"/>
        <v>2.4271844660194173E-3</v>
      </c>
    </row>
    <row r="28" spans="2:20">
      <c r="Q28" s="1">
        <v>2000</v>
      </c>
      <c r="R28" s="5">
        <f t="shared" si="2"/>
        <v>63.296546800908118</v>
      </c>
      <c r="S28" s="1">
        <f t="shared" si="0"/>
        <v>1000</v>
      </c>
      <c r="T28" s="1">
        <f t="shared" si="1"/>
        <v>4.8543689320388345E-3</v>
      </c>
    </row>
    <row r="29" spans="2:20">
      <c r="Q29" s="1">
        <v>4000</v>
      </c>
      <c r="R29" s="5">
        <f t="shared" si="2"/>
        <v>3.9560341750567551</v>
      </c>
      <c r="S29" s="1">
        <f t="shared" si="0"/>
        <v>2000</v>
      </c>
      <c r="T29" s="1">
        <f t="shared" si="1"/>
        <v>9.7087378640776691E-3</v>
      </c>
    </row>
    <row r="30" spans="2:20">
      <c r="Q30" s="1">
        <v>8000</v>
      </c>
      <c r="R30" s="5">
        <f t="shared" si="2"/>
        <v>0.24725213594104697</v>
      </c>
      <c r="S30" s="1">
        <f t="shared" si="0"/>
        <v>4000</v>
      </c>
      <c r="T30" s="1">
        <f t="shared" si="1"/>
        <v>1.9417475728155338E-2</v>
      </c>
    </row>
    <row r="31" spans="2:20">
      <c r="Q31" s="1">
        <v>10000</v>
      </c>
      <c r="R31" s="5">
        <f>10^($Q$19-$R$19*LOG(Q31))</f>
        <v>0.10127447488145298</v>
      </c>
      <c r="S31" s="1">
        <f t="shared" si="0"/>
        <v>5000</v>
      </c>
      <c r="T31" s="1">
        <f t="shared" si="1"/>
        <v>2.4271844660194174E-2</v>
      </c>
    </row>
    <row r="35" spans="2:24">
      <c r="S35" s="1">
        <f>0.0137*206000</f>
        <v>2822.2000000000003</v>
      </c>
    </row>
    <row r="36" spans="2:24">
      <c r="Q36" s="1">
        <f>1/0.1197</f>
        <v>8.3542188805346704</v>
      </c>
      <c r="S36" s="1">
        <f>S35/2</f>
        <v>1411.1000000000001</v>
      </c>
    </row>
    <row r="39" spans="2:24">
      <c r="B39" s="3"/>
    </row>
    <row r="40" spans="2:24">
      <c r="B40" s="3"/>
    </row>
    <row r="42" spans="2:24">
      <c r="V42" s="1">
        <f>315/490</f>
        <v>0.6428571428571429</v>
      </c>
    </row>
    <row r="45" spans="2:24">
      <c r="T45" s="1">
        <v>5641.2454987882202</v>
      </c>
      <c r="U45" s="250">
        <v>1</v>
      </c>
      <c r="V45" s="1">
        <f t="shared" ref="V45:V52" si="3">T45/2</f>
        <v>2820.6227493941101</v>
      </c>
      <c r="W45" s="1">
        <f>V45/206000</f>
        <v>1.3692343443660729E-2</v>
      </c>
      <c r="X45" s="250">
        <f>U45*2</f>
        <v>2</v>
      </c>
    </row>
    <row r="46" spans="2:24">
      <c r="T46" s="1">
        <v>3172.3054695126598</v>
      </c>
      <c r="U46" s="250">
        <v>10</v>
      </c>
      <c r="V46" s="1">
        <f t="shared" si="3"/>
        <v>1586.1527347563299</v>
      </c>
      <c r="W46" s="1">
        <f t="shared" ref="W46:W52" si="4">V46/206000</f>
        <v>7.6997705570695622E-3</v>
      </c>
      <c r="X46" s="250">
        <f t="shared" ref="X46:X52" si="5">U46*2</f>
        <v>20</v>
      </c>
    </row>
    <row r="47" spans="2:24">
      <c r="T47" s="1">
        <v>1783.91846163434</v>
      </c>
      <c r="U47" s="250">
        <v>100</v>
      </c>
      <c r="V47" s="1">
        <f t="shared" si="3"/>
        <v>891.95923081717001</v>
      </c>
      <c r="W47" s="1">
        <f t="shared" si="4"/>
        <v>4.3298991787241265E-3</v>
      </c>
      <c r="X47" s="250">
        <f t="shared" si="5"/>
        <v>200</v>
      </c>
    </row>
    <row r="48" spans="2:24">
      <c r="T48" s="1">
        <v>1003.17107174698</v>
      </c>
      <c r="U48" s="250">
        <v>1000</v>
      </c>
      <c r="V48" s="1">
        <f t="shared" si="3"/>
        <v>501.58553587349002</v>
      </c>
      <c r="W48" s="1">
        <f t="shared" si="4"/>
        <v>2.4348812421043204E-3</v>
      </c>
      <c r="X48" s="250">
        <f t="shared" si="5"/>
        <v>2000</v>
      </c>
    </row>
    <row r="49" spans="1:24">
      <c r="L49" s="62"/>
      <c r="M49" s="62"/>
      <c r="T49" s="1">
        <v>564.12454987882097</v>
      </c>
      <c r="U49" s="250">
        <v>10000</v>
      </c>
      <c r="V49" s="1">
        <f t="shared" si="3"/>
        <v>282.06227493941049</v>
      </c>
      <c r="W49" s="1">
        <f t="shared" si="4"/>
        <v>1.3692343443660704E-3</v>
      </c>
      <c r="X49" s="250">
        <f t="shared" si="5"/>
        <v>20000</v>
      </c>
    </row>
    <row r="50" spans="1:24">
      <c r="M50" s="62"/>
      <c r="T50" s="1">
        <v>317.23054695126598</v>
      </c>
      <c r="U50" s="250">
        <v>100000</v>
      </c>
      <c r="V50" s="1">
        <f t="shared" si="3"/>
        <v>158.61527347563299</v>
      </c>
      <c r="W50" s="1">
        <f t="shared" si="4"/>
        <v>7.6997705570695622E-4</v>
      </c>
      <c r="X50" s="250">
        <f t="shared" si="5"/>
        <v>200000</v>
      </c>
    </row>
    <row r="51" spans="1:24">
      <c r="T51" s="1">
        <v>178.391846163434</v>
      </c>
      <c r="U51" s="250">
        <v>1000000</v>
      </c>
      <c r="V51" s="1">
        <f t="shared" si="3"/>
        <v>89.195923081716998</v>
      </c>
      <c r="W51" s="1">
        <f t="shared" si="4"/>
        <v>4.3298991787241262E-4</v>
      </c>
      <c r="X51" s="250">
        <f t="shared" si="5"/>
        <v>2000000</v>
      </c>
    </row>
    <row r="52" spans="1:24">
      <c r="T52" s="1">
        <v>100.31710717469799</v>
      </c>
      <c r="U52" s="250">
        <v>10000000</v>
      </c>
      <c r="V52" s="1">
        <f t="shared" si="3"/>
        <v>50.158553587348997</v>
      </c>
      <c r="W52" s="1">
        <f t="shared" si="4"/>
        <v>2.4348812421043202E-4</v>
      </c>
      <c r="X52" s="250">
        <f t="shared" si="5"/>
        <v>20000000</v>
      </c>
    </row>
    <row r="53" spans="1:24" ht="13.5" thickBot="1"/>
    <row r="54" spans="1:24" ht="13.5" thickBot="1">
      <c r="A54" s="256" t="str">
        <f>C11</f>
        <v>DNV - I</v>
      </c>
      <c r="B54" s="257"/>
      <c r="C54" s="258"/>
      <c r="D54" s="197">
        <v>1</v>
      </c>
      <c r="E54" s="58">
        <v>10</v>
      </c>
      <c r="F54" s="58">
        <v>100</v>
      </c>
      <c r="G54" s="58">
        <v>1000</v>
      </c>
      <c r="H54" s="58">
        <v>10000</v>
      </c>
      <c r="I54" s="58">
        <v>100000</v>
      </c>
      <c r="J54" s="58">
        <v>1000000</v>
      </c>
      <c r="K54" s="58">
        <f>J11</f>
        <v>10000000</v>
      </c>
      <c r="L54" s="58">
        <v>99999999</v>
      </c>
      <c r="M54" s="59">
        <v>1000000000</v>
      </c>
    </row>
    <row r="55" spans="1:24" ht="13.5" thickBot="1">
      <c r="A55" s="256"/>
      <c r="B55" s="257"/>
      <c r="C55" s="258"/>
      <c r="D55" s="198">
        <f>10^((IF(D54&lt;$J11,$E11,$G11)-LOG(D54))/IF(D54&lt;$J11,$F11,$H11))</f>
        <v>16468.978654828712</v>
      </c>
      <c r="E55" s="60">
        <f>10^((IF(E54&lt;$J11,$E11,$G11)-LOG(E54))/IF(E54&lt;$J11,$F11,$H11))</f>
        <v>7644.2227425260089</v>
      </c>
      <c r="F55" s="60">
        <f t="shared" ref="F55:M55" si="6">10^((IF(F54&lt;$J11,$E11,$G11)-LOG(F54))/IF(F54&lt;$J11,$F11,$H11))</f>
        <v>3548.1338923357603</v>
      </c>
      <c r="G55" s="60">
        <f t="shared" si="6"/>
        <v>1646.8978654828695</v>
      </c>
      <c r="H55" s="60">
        <f t="shared" si="6"/>
        <v>764.42227425260069</v>
      </c>
      <c r="I55" s="60">
        <f t="shared" si="6"/>
        <v>354.81338923357595</v>
      </c>
      <c r="J55" s="60">
        <f t="shared" si="6"/>
        <v>164.68978654828692</v>
      </c>
      <c r="K55" s="60">
        <f t="shared" si="6"/>
        <v>76.442227425259986</v>
      </c>
      <c r="L55" s="60">
        <f t="shared" si="6"/>
        <v>48.231784918856583</v>
      </c>
      <c r="M55" s="60">
        <f t="shared" si="6"/>
        <v>30.432198871077198</v>
      </c>
    </row>
    <row r="56" spans="1:24" ht="13.5" thickBot="1">
      <c r="A56" s="256" t="e">
        <f>C12</f>
        <v>#N/A</v>
      </c>
      <c r="B56" s="257"/>
      <c r="C56" s="258"/>
      <c r="D56" s="197">
        <v>1</v>
      </c>
      <c r="E56" s="58">
        <v>10</v>
      </c>
      <c r="F56" s="58">
        <v>100</v>
      </c>
      <c r="G56" s="58">
        <v>1000</v>
      </c>
      <c r="H56" s="58">
        <v>10000</v>
      </c>
      <c r="I56" s="58">
        <v>100000</v>
      </c>
      <c r="J56" s="58">
        <v>1000000</v>
      </c>
      <c r="K56" s="58" t="e">
        <f>J12</f>
        <v>#N/A</v>
      </c>
      <c r="L56" s="58">
        <v>99999999</v>
      </c>
      <c r="M56" s="59">
        <v>1000000000</v>
      </c>
      <c r="T56" s="1">
        <f>-1/6*LOG(2*V45/(2*415))</f>
        <v>-0.13871615127065443</v>
      </c>
    </row>
    <row r="57" spans="1:24" ht="13.5" thickBot="1">
      <c r="A57" s="256"/>
      <c r="B57" s="257"/>
      <c r="C57" s="258"/>
      <c r="D57" s="198" t="e">
        <f>10^((IF(D56&lt;$J12,$E12,$G12)-LOG(D56))/IF(D56&lt;$J12,$F12,$H12))</f>
        <v>#N/A</v>
      </c>
      <c r="E57" s="60" t="e">
        <f>10^((IF(E56&lt;$J12,$E12,$G12)-LOG(E56))/IF(E56&lt;$J12,$F12,$H12))</f>
        <v>#N/A</v>
      </c>
      <c r="F57" s="60" t="e">
        <f>10^((IF(F56&lt;$J12,$E12,$G12)-LOG(F56))/IF(F56&lt;$J12,$F12,$H12))</f>
        <v>#N/A</v>
      </c>
      <c r="G57" s="60" t="e">
        <f>10^((IF(G56&lt;$J12,$E12,$G12)-LOG(G56))/IF(G56&lt;$J12,$F12,$H12))</f>
        <v>#N/A</v>
      </c>
      <c r="H57" s="60" t="e">
        <f>10^((IF(H56&lt;$J12,$E12,$G12)-LOG(H56))/IF(H56&lt;$J12,$F12,$H12))</f>
        <v>#N/A</v>
      </c>
      <c r="I57" s="60" t="e">
        <f>10^((IF(I56&lt;=$J12,$E12,$G12)-LOG(I56))/IF(I56&lt;=$J12,$F12,$H12))</f>
        <v>#N/A</v>
      </c>
      <c r="J57" s="60" t="e">
        <f>10^((IF(J56&lt;$J12,$E12,$G12)-LOG(J56))/IF(J56&lt;$J12,$F12,$H12))</f>
        <v>#N/A</v>
      </c>
      <c r="K57" s="60" t="e">
        <f>10^((IF(K56&lt;=$J12,$E12,$G12)-LOG(K56))/IF(K56&lt;=$J12,$F12,$H12))</f>
        <v>#N/A</v>
      </c>
      <c r="L57" s="60" t="e">
        <f>10^((IF(L56&lt;$J12,$E12,$G12)-LOG(L56))/IF(L56&lt;$J12,$F12,$H12))</f>
        <v>#N/A</v>
      </c>
      <c r="M57" s="60" t="e">
        <f>10^((IF(M56&lt;$J12,$E12,$G12)-LOG(M56))/IF(M56&lt;$J12,$F12,$H12))</f>
        <v>#N/A</v>
      </c>
    </row>
    <row r="58" spans="1:24" ht="13.5" thickBot="1">
      <c r="A58" s="256" t="e">
        <f>C13</f>
        <v>#N/A</v>
      </c>
      <c r="B58" s="257"/>
      <c r="C58" s="258"/>
      <c r="D58" s="197">
        <v>1</v>
      </c>
      <c r="E58" s="58">
        <v>10</v>
      </c>
      <c r="F58" s="58">
        <v>100</v>
      </c>
      <c r="G58" s="58">
        <v>1000</v>
      </c>
      <c r="H58" s="58">
        <v>10000</v>
      </c>
      <c r="I58" s="58">
        <v>100000</v>
      </c>
      <c r="J58" s="58">
        <v>1000000</v>
      </c>
      <c r="K58" s="58" t="e">
        <f>J13</f>
        <v>#N/A</v>
      </c>
      <c r="L58" s="58">
        <v>99999999</v>
      </c>
      <c r="M58" s="59">
        <v>1000000000</v>
      </c>
      <c r="V58" s="1">
        <v>1.6299999999999999E-2</v>
      </c>
      <c r="W58" s="1">
        <f>206000*V58</f>
        <v>3357.7999999999997</v>
      </c>
    </row>
    <row r="59" spans="1:24" ht="13.5" thickBot="1">
      <c r="A59" s="256"/>
      <c r="B59" s="257"/>
      <c r="C59" s="258"/>
      <c r="D59" s="198" t="e">
        <f t="shared" ref="D59:M59" si="7">10^((IF(D58&lt;$J13,$E13,$G13)-LOG(D58))/IF(D58&lt;$J13,$F13,$H13))</f>
        <v>#N/A</v>
      </c>
      <c r="E59" s="60" t="e">
        <f t="shared" si="7"/>
        <v>#N/A</v>
      </c>
      <c r="F59" s="60" t="e">
        <f t="shared" si="7"/>
        <v>#N/A</v>
      </c>
      <c r="G59" s="60" t="e">
        <f t="shared" si="7"/>
        <v>#N/A</v>
      </c>
      <c r="H59" s="60" t="e">
        <f t="shared" si="7"/>
        <v>#N/A</v>
      </c>
      <c r="I59" s="60" t="e">
        <f t="shared" si="7"/>
        <v>#N/A</v>
      </c>
      <c r="J59" s="60" t="e">
        <f t="shared" si="7"/>
        <v>#N/A</v>
      </c>
      <c r="K59" s="60" t="e">
        <f t="shared" si="7"/>
        <v>#N/A</v>
      </c>
      <c r="L59" s="60" t="e">
        <f t="shared" si="7"/>
        <v>#N/A</v>
      </c>
      <c r="M59" s="60" t="e">
        <f t="shared" si="7"/>
        <v>#N/A</v>
      </c>
    </row>
    <row r="60" spans="1:24" ht="13.5" thickBot="1">
      <c r="A60" s="256" t="e">
        <f>C14</f>
        <v>#N/A</v>
      </c>
      <c r="B60" s="257"/>
      <c r="C60" s="258"/>
      <c r="D60" s="197">
        <v>1</v>
      </c>
      <c r="E60" s="58">
        <v>10</v>
      </c>
      <c r="F60" s="58">
        <v>100</v>
      </c>
      <c r="G60" s="58">
        <v>1000</v>
      </c>
      <c r="H60" s="58">
        <v>10000</v>
      </c>
      <c r="I60" s="58">
        <v>100000</v>
      </c>
      <c r="J60" s="58">
        <v>1000000</v>
      </c>
      <c r="K60" s="58" t="e">
        <f>J14</f>
        <v>#N/A</v>
      </c>
      <c r="L60" s="58">
        <v>99999999</v>
      </c>
      <c r="M60" s="59">
        <v>1000000000</v>
      </c>
    </row>
    <row r="61" spans="1:24" ht="13.5" thickBot="1">
      <c r="A61" s="256"/>
      <c r="B61" s="257"/>
      <c r="C61" s="258"/>
      <c r="D61" s="198" t="e">
        <f t="shared" ref="D61:M61" si="8">10^((IF(D60&lt;$J14,$E14,$G14)-LOG(D60))/IF(D60&lt;$J14,$F14,$H14))</f>
        <v>#N/A</v>
      </c>
      <c r="E61" s="60" t="e">
        <f t="shared" si="8"/>
        <v>#N/A</v>
      </c>
      <c r="F61" s="60" t="e">
        <f t="shared" si="8"/>
        <v>#N/A</v>
      </c>
      <c r="G61" s="60" t="e">
        <f t="shared" si="8"/>
        <v>#N/A</v>
      </c>
      <c r="H61" s="60" t="e">
        <f t="shared" si="8"/>
        <v>#N/A</v>
      </c>
      <c r="I61" s="60" t="e">
        <f t="shared" si="8"/>
        <v>#N/A</v>
      </c>
      <c r="J61" s="60" t="e">
        <f t="shared" si="8"/>
        <v>#N/A</v>
      </c>
      <c r="K61" s="60" t="e">
        <f t="shared" si="8"/>
        <v>#N/A</v>
      </c>
      <c r="L61" s="60" t="e">
        <f t="shared" si="8"/>
        <v>#N/A</v>
      </c>
      <c r="M61" s="60" t="e">
        <f t="shared" si="8"/>
        <v>#N/A</v>
      </c>
    </row>
    <row r="62" spans="1:24" ht="13.5" thickBot="1">
      <c r="A62" s="256" t="e">
        <f>C15</f>
        <v>#N/A</v>
      </c>
      <c r="B62" s="257"/>
      <c r="C62" s="258"/>
      <c r="D62" s="197">
        <v>1</v>
      </c>
      <c r="E62" s="58">
        <v>10</v>
      </c>
      <c r="F62" s="58">
        <v>100</v>
      </c>
      <c r="G62" s="58">
        <v>1000</v>
      </c>
      <c r="H62" s="58">
        <v>10000</v>
      </c>
      <c r="I62" s="58">
        <v>100000</v>
      </c>
      <c r="J62" s="58">
        <v>1000000</v>
      </c>
      <c r="K62" s="58" t="e">
        <f>J15</f>
        <v>#N/A</v>
      </c>
      <c r="L62" s="58">
        <v>99999999</v>
      </c>
      <c r="M62" s="59">
        <v>1000000000</v>
      </c>
    </row>
    <row r="63" spans="1:24" ht="13.5" thickBot="1">
      <c r="A63" s="256"/>
      <c r="B63" s="257"/>
      <c r="C63" s="258"/>
      <c r="D63" s="198" t="e">
        <f t="shared" ref="D63:M63" si="9">10^((IF(D62&lt;$J15,$E15,$G15)-LOG(D62))/IF(D62&lt;$J15,$F15,$H15))</f>
        <v>#N/A</v>
      </c>
      <c r="E63" s="60" t="e">
        <f t="shared" si="9"/>
        <v>#N/A</v>
      </c>
      <c r="F63" s="60" t="e">
        <f t="shared" si="9"/>
        <v>#N/A</v>
      </c>
      <c r="G63" s="60" t="e">
        <f t="shared" si="9"/>
        <v>#N/A</v>
      </c>
      <c r="H63" s="60" t="e">
        <f t="shared" si="9"/>
        <v>#N/A</v>
      </c>
      <c r="I63" s="60" t="e">
        <f t="shared" si="9"/>
        <v>#N/A</v>
      </c>
      <c r="J63" s="60" t="e">
        <f t="shared" si="9"/>
        <v>#N/A</v>
      </c>
      <c r="K63" s="60" t="e">
        <f t="shared" si="9"/>
        <v>#N/A</v>
      </c>
      <c r="L63" s="60" t="e">
        <f t="shared" si="9"/>
        <v>#N/A</v>
      </c>
      <c r="M63" s="60" t="e">
        <f t="shared" si="9"/>
        <v>#N/A</v>
      </c>
    </row>
    <row r="67" spans="1:19">
      <c r="B67" s="1" t="s">
        <v>2</v>
      </c>
      <c r="D67" s="2">
        <v>2</v>
      </c>
      <c r="E67" s="36">
        <v>0.5</v>
      </c>
      <c r="G67" s="1" t="s">
        <v>29</v>
      </c>
      <c r="H67" s="2">
        <v>2</v>
      </c>
      <c r="I67" s="1" t="s">
        <v>30</v>
      </c>
    </row>
    <row r="68" spans="1:19">
      <c r="E68" s="36">
        <v>0.97499999999999998</v>
      </c>
      <c r="I68" s="1" t="s">
        <v>31</v>
      </c>
    </row>
    <row r="69" spans="1:19">
      <c r="E69" s="36"/>
    </row>
    <row r="70" spans="1:19">
      <c r="A70" s="66" t="s">
        <v>32</v>
      </c>
      <c r="B70" s="252" t="s">
        <v>33</v>
      </c>
      <c r="C70" s="253"/>
      <c r="D70" s="66" t="s">
        <v>34</v>
      </c>
      <c r="E70" s="66" t="s">
        <v>13</v>
      </c>
      <c r="F70" s="67" t="s">
        <v>14</v>
      </c>
      <c r="G70" s="66" t="s">
        <v>35</v>
      </c>
      <c r="H70" s="66" t="s">
        <v>36</v>
      </c>
      <c r="I70" s="66" t="s">
        <v>15</v>
      </c>
      <c r="J70" s="66" t="s">
        <v>37</v>
      </c>
      <c r="K70" s="68" t="s">
        <v>17</v>
      </c>
      <c r="L70" s="69" t="s">
        <v>24</v>
      </c>
      <c r="M70" s="69" t="s">
        <v>38</v>
      </c>
    </row>
    <row r="71" spans="1:19">
      <c r="A71" s="66">
        <v>1</v>
      </c>
      <c r="B71" s="342"/>
      <c r="C71" s="342"/>
      <c r="D71" s="66"/>
      <c r="E71" s="67"/>
      <c r="F71" s="67"/>
      <c r="G71" s="67"/>
      <c r="H71" s="67"/>
      <c r="I71" s="67"/>
      <c r="J71" s="67"/>
      <c r="K71" s="67"/>
      <c r="L71" s="67"/>
      <c r="M71" s="67"/>
      <c r="P71" s="174"/>
      <c r="R71" s="173"/>
      <c r="S71" s="174"/>
    </row>
    <row r="72" spans="1:19">
      <c r="A72" s="66">
        <v>2</v>
      </c>
      <c r="B72" s="342" t="s">
        <v>39</v>
      </c>
      <c r="C72" s="342"/>
      <c r="D72" s="67">
        <f>IF(H67=2,13.128,IF(H67=1,15.3697))</f>
        <v>13.128</v>
      </c>
      <c r="E72" s="67">
        <f t="shared" ref="E72:E79" si="10">D72-2*J72</f>
        <v>12.7638</v>
      </c>
      <c r="F72" s="103">
        <f>IF(H67=2,3,IF(H67=1,4))</f>
        <v>3</v>
      </c>
      <c r="G72" s="67"/>
      <c r="H72" s="67">
        <f>I72*LOG(L72)+LOG(K72)</f>
        <v>16.606333333333332</v>
      </c>
      <c r="I72" s="103">
        <f>F72+2</f>
        <v>5</v>
      </c>
      <c r="J72" s="106">
        <v>0.18210000000000001</v>
      </c>
      <c r="K72" s="68">
        <f t="shared" ref="K72:K97" si="11">10^7</f>
        <v>10000000</v>
      </c>
      <c r="L72" s="103">
        <f t="shared" ref="L72:L89" si="12">10^((E72-LOG(K72))/F72)</f>
        <v>83.419324097546124</v>
      </c>
      <c r="M72" s="103">
        <f>10^((H72-LOG(K72))/I72)</f>
        <v>83.419324097546124</v>
      </c>
      <c r="N72" s="1" t="s">
        <v>40</v>
      </c>
      <c r="P72" s="174"/>
      <c r="R72" s="173"/>
      <c r="S72" s="174"/>
    </row>
    <row r="73" spans="1:19">
      <c r="A73" s="66">
        <v>3</v>
      </c>
      <c r="B73" s="342" t="s">
        <v>41</v>
      </c>
      <c r="C73" s="342"/>
      <c r="D73" s="67">
        <f>IF(H67=2,12.947,IF(H67=1,14.0342))</f>
        <v>12.946999999999999</v>
      </c>
      <c r="E73" s="67">
        <f t="shared" si="10"/>
        <v>12.538799999999998</v>
      </c>
      <c r="F73" s="103">
        <f>IF(H67=2,3,IF(H67=1,3.5))</f>
        <v>3</v>
      </c>
      <c r="G73" s="67"/>
      <c r="H73" s="67">
        <f t="shared" ref="H73:H80" si="13">I73*LOG(L73)+LOG(K73)</f>
        <v>16.231333333333332</v>
      </c>
      <c r="I73" s="103">
        <f>F73+2</f>
        <v>5</v>
      </c>
      <c r="J73" s="106">
        <v>0.2041</v>
      </c>
      <c r="K73" s="68">
        <f t="shared" si="11"/>
        <v>10000000</v>
      </c>
      <c r="L73" s="103">
        <f t="shared" si="12"/>
        <v>70.188614015001193</v>
      </c>
      <c r="M73" s="103">
        <f t="shared" ref="M73:M79" si="14">10^((H73-LOG(K73))/I73)</f>
        <v>70.188614015001193</v>
      </c>
      <c r="N73" s="1" t="s">
        <v>40</v>
      </c>
      <c r="P73" s="174"/>
      <c r="R73" s="173"/>
      <c r="S73" s="174"/>
    </row>
    <row r="74" spans="1:19">
      <c r="A74" s="66">
        <v>4</v>
      </c>
      <c r="B74" s="342" t="s">
        <v>42</v>
      </c>
      <c r="C74" s="342"/>
      <c r="D74" s="67">
        <v>12.6007</v>
      </c>
      <c r="E74" s="67">
        <f t="shared" si="10"/>
        <v>12.181699999999999</v>
      </c>
      <c r="F74" s="103">
        <v>3</v>
      </c>
      <c r="G74" s="67"/>
      <c r="H74" s="67">
        <f t="shared" si="13"/>
        <v>15.636166666666668</v>
      </c>
      <c r="I74" s="103">
        <f t="shared" ref="I74:I79" si="15">2*F74-1</f>
        <v>5</v>
      </c>
      <c r="J74" s="106">
        <v>0.20949999999999999</v>
      </c>
      <c r="K74" s="68">
        <f t="shared" si="11"/>
        <v>10000000</v>
      </c>
      <c r="L74" s="103">
        <f t="shared" si="12"/>
        <v>53.3621517239322</v>
      </c>
      <c r="M74" s="103">
        <f t="shared" si="14"/>
        <v>53.36215172393225</v>
      </c>
      <c r="N74" s="1" t="s">
        <v>40</v>
      </c>
      <c r="P74" s="174"/>
      <c r="R74" s="173"/>
      <c r="S74" s="174"/>
    </row>
    <row r="75" spans="1:19">
      <c r="A75" s="66">
        <v>5</v>
      </c>
      <c r="B75" s="342" t="s">
        <v>43</v>
      </c>
      <c r="C75" s="342"/>
      <c r="D75" s="67">
        <v>12.5169</v>
      </c>
      <c r="E75" s="67">
        <f t="shared" si="10"/>
        <v>12.0151</v>
      </c>
      <c r="F75" s="103">
        <v>3</v>
      </c>
      <c r="G75" s="67"/>
      <c r="H75" s="67">
        <f t="shared" si="13"/>
        <v>15.358500000000003</v>
      </c>
      <c r="I75" s="103">
        <f t="shared" si="15"/>
        <v>5</v>
      </c>
      <c r="J75" s="106">
        <v>0.25090000000000001</v>
      </c>
      <c r="K75" s="68">
        <f t="shared" si="11"/>
        <v>10000000</v>
      </c>
      <c r="L75" s="103">
        <f t="shared" si="12"/>
        <v>46.956962933835882</v>
      </c>
      <c r="M75" s="103">
        <f t="shared" si="14"/>
        <v>46.956962933835925</v>
      </c>
      <c r="N75" s="1" t="s">
        <v>40</v>
      </c>
      <c r="P75" s="174"/>
      <c r="R75" s="173"/>
      <c r="S75" s="174"/>
    </row>
    <row r="76" spans="1:19">
      <c r="A76" s="66">
        <v>6</v>
      </c>
      <c r="B76" s="342" t="s">
        <v>44</v>
      </c>
      <c r="C76" s="342"/>
      <c r="D76" s="67">
        <v>12.237</v>
      </c>
      <c r="E76" s="67">
        <f t="shared" si="10"/>
        <v>11.8004</v>
      </c>
      <c r="F76" s="103">
        <v>3</v>
      </c>
      <c r="G76" s="67"/>
      <c r="H76" s="67">
        <f t="shared" si="13"/>
        <v>15.000666666666666</v>
      </c>
      <c r="I76" s="103">
        <f t="shared" si="15"/>
        <v>5</v>
      </c>
      <c r="J76" s="106">
        <v>0.21829999999999999</v>
      </c>
      <c r="K76" s="68">
        <f t="shared" si="11"/>
        <v>10000000</v>
      </c>
      <c r="L76" s="103">
        <f t="shared" si="12"/>
        <v>39.822941273558286</v>
      </c>
      <c r="M76" s="103">
        <f t="shared" si="14"/>
        <v>39.822941273558286</v>
      </c>
      <c r="N76" s="1" t="s">
        <v>40</v>
      </c>
      <c r="P76" s="174"/>
      <c r="R76" s="173"/>
      <c r="S76" s="174"/>
    </row>
    <row r="77" spans="1:19">
      <c r="A77" s="66">
        <v>7</v>
      </c>
      <c r="B77" s="342" t="s">
        <v>45</v>
      </c>
      <c r="C77" s="342"/>
      <c r="D77" s="67">
        <v>12.09</v>
      </c>
      <c r="E77" s="67">
        <f t="shared" si="10"/>
        <v>11.6342</v>
      </c>
      <c r="F77" s="103">
        <v>3</v>
      </c>
      <c r="G77" s="67"/>
      <c r="H77" s="67">
        <f t="shared" si="13"/>
        <v>14.723666666666666</v>
      </c>
      <c r="I77" s="103">
        <f t="shared" si="15"/>
        <v>5</v>
      </c>
      <c r="J77" s="106">
        <v>0.22789999999999999</v>
      </c>
      <c r="K77" s="68">
        <f t="shared" si="11"/>
        <v>10000000</v>
      </c>
      <c r="L77" s="103">
        <f t="shared" si="12"/>
        <v>35.053657045026981</v>
      </c>
      <c r="M77" s="103">
        <f t="shared" si="14"/>
        <v>35.053657045026981</v>
      </c>
      <c r="N77" s="1" t="s">
        <v>40</v>
      </c>
      <c r="P77" s="174"/>
      <c r="R77" s="173"/>
      <c r="S77" s="174"/>
    </row>
    <row r="78" spans="1:19">
      <c r="A78" s="66">
        <v>8</v>
      </c>
      <c r="B78" s="342" t="s">
        <v>46</v>
      </c>
      <c r="C78" s="342"/>
      <c r="D78" s="67">
        <v>11.7525</v>
      </c>
      <c r="E78" s="67">
        <f t="shared" si="10"/>
        <v>11.3939</v>
      </c>
      <c r="F78" s="103">
        <v>3</v>
      </c>
      <c r="G78" s="67"/>
      <c r="H78" s="67">
        <f t="shared" si="13"/>
        <v>14.323166666666667</v>
      </c>
      <c r="I78" s="103">
        <f t="shared" si="15"/>
        <v>5</v>
      </c>
      <c r="J78" s="106">
        <v>0.17929999999999999</v>
      </c>
      <c r="K78" s="68">
        <f t="shared" si="11"/>
        <v>10000000</v>
      </c>
      <c r="L78" s="103">
        <f t="shared" si="12"/>
        <v>29.149649247127449</v>
      </c>
      <c r="M78" s="103">
        <f t="shared" si="14"/>
        <v>29.149649247127449</v>
      </c>
      <c r="N78" s="1" t="s">
        <v>40</v>
      </c>
      <c r="P78" s="174"/>
      <c r="R78" s="173"/>
      <c r="S78" s="174"/>
    </row>
    <row r="79" spans="1:19">
      <c r="A79" s="66">
        <v>9</v>
      </c>
      <c r="B79" s="342" t="s">
        <v>47</v>
      </c>
      <c r="C79" s="342"/>
      <c r="D79" s="67">
        <v>11.5662</v>
      </c>
      <c r="E79" s="67">
        <f t="shared" si="10"/>
        <v>11.197000000000001</v>
      </c>
      <c r="F79" s="103">
        <v>3</v>
      </c>
      <c r="G79" s="67"/>
      <c r="H79" s="67">
        <f>I79*LOG(L79)+LOG(K79)</f>
        <v>13.995000000000003</v>
      </c>
      <c r="I79" s="103">
        <f t="shared" si="15"/>
        <v>5</v>
      </c>
      <c r="J79" s="106">
        <v>0.18459999999999999</v>
      </c>
      <c r="K79" s="68">
        <f t="shared" si="11"/>
        <v>10000000</v>
      </c>
      <c r="L79" s="103">
        <f t="shared" si="12"/>
        <v>25.061092530321165</v>
      </c>
      <c r="M79" s="103">
        <f t="shared" si="14"/>
        <v>25.061092530321176</v>
      </c>
      <c r="N79" s="1" t="s">
        <v>40</v>
      </c>
      <c r="P79" s="174"/>
      <c r="Q79" s="173"/>
      <c r="R79" s="173"/>
      <c r="S79" s="174"/>
    </row>
    <row r="80" spans="1:19">
      <c r="A80" s="66">
        <v>10</v>
      </c>
      <c r="B80" s="342" t="s">
        <v>48</v>
      </c>
      <c r="C80" s="342"/>
      <c r="D80" s="66"/>
      <c r="E80" s="67">
        <v>22.318999999999999</v>
      </c>
      <c r="F80" s="103">
        <v>8</v>
      </c>
      <c r="G80" s="67"/>
      <c r="H80" s="67">
        <f t="shared" si="13"/>
        <v>26.14875</v>
      </c>
      <c r="I80" s="103">
        <v>10</v>
      </c>
      <c r="J80" s="106"/>
      <c r="K80" s="68">
        <f t="shared" si="11"/>
        <v>10000000</v>
      </c>
      <c r="L80" s="103">
        <f t="shared" si="12"/>
        <v>82.200602354340745</v>
      </c>
      <c r="M80" s="103">
        <f>10^((H80-LOG(K80))/I80)</f>
        <v>82.200602354340745</v>
      </c>
      <c r="N80" s="1" t="s">
        <v>40</v>
      </c>
      <c r="P80" s="174"/>
      <c r="Q80" s="173"/>
      <c r="R80" s="173"/>
      <c r="S80" s="174"/>
    </row>
    <row r="81" spans="1:19">
      <c r="A81" s="66">
        <v>11</v>
      </c>
      <c r="B81" s="342" t="s">
        <v>49</v>
      </c>
      <c r="C81" s="342"/>
      <c r="D81" s="66"/>
      <c r="E81" s="67">
        <v>12.164</v>
      </c>
      <c r="F81" s="103">
        <v>3</v>
      </c>
      <c r="G81" s="67"/>
      <c r="H81" s="67">
        <f>I81*LOG(L81)+LOG(K81)</f>
        <v>15.606666666666667</v>
      </c>
      <c r="I81" s="103">
        <f t="shared" ref="I81:I90" si="16">2*F81-1</f>
        <v>5</v>
      </c>
      <c r="J81" s="106"/>
      <c r="K81" s="68">
        <f t="shared" si="11"/>
        <v>10000000</v>
      </c>
      <c r="L81" s="103">
        <f t="shared" si="12"/>
        <v>52.642115454076716</v>
      </c>
      <c r="M81" s="103">
        <f>10^((H81-LOG(K81))/I81)</f>
        <v>52.642115454076745</v>
      </c>
      <c r="N81" s="1" t="s">
        <v>40</v>
      </c>
      <c r="P81" s="174"/>
      <c r="Q81" s="173"/>
      <c r="R81" s="173"/>
      <c r="S81" s="174"/>
    </row>
    <row r="82" spans="1:19">
      <c r="A82" s="66">
        <v>12</v>
      </c>
      <c r="B82" s="342" t="s">
        <v>50</v>
      </c>
      <c r="C82" s="342"/>
      <c r="D82" s="67"/>
      <c r="E82" s="67">
        <v>12.763299999999999</v>
      </c>
      <c r="F82" s="103">
        <v>3</v>
      </c>
      <c r="G82" s="67"/>
      <c r="H82" s="67">
        <f>I82*LOG(L82)+LOG(K82)</f>
        <v>16.605499999999999</v>
      </c>
      <c r="I82" s="103">
        <f>F82+2</f>
        <v>5</v>
      </c>
      <c r="J82" s="106"/>
      <c r="K82" s="68">
        <f t="shared" si="11"/>
        <v>10000000</v>
      </c>
      <c r="L82" s="103">
        <f t="shared" si="12"/>
        <v>83.38731689085958</v>
      </c>
      <c r="M82" s="103">
        <f t="shared" ref="M82:M89" si="17">10^((H82-LOG(K82))/I82)</f>
        <v>83.38731689085958</v>
      </c>
      <c r="N82" s="1" t="s">
        <v>51</v>
      </c>
      <c r="O82" s="113"/>
      <c r="P82" s="174"/>
      <c r="Q82" s="173"/>
      <c r="R82" s="173"/>
      <c r="S82" s="174"/>
    </row>
    <row r="83" spans="1:19">
      <c r="A83" s="66">
        <v>13</v>
      </c>
      <c r="B83" s="342" t="s">
        <v>52</v>
      </c>
      <c r="C83" s="342"/>
      <c r="D83" s="67"/>
      <c r="E83" s="67">
        <v>12.54</v>
      </c>
      <c r="F83" s="103">
        <v>3</v>
      </c>
      <c r="G83" s="67"/>
      <c r="H83" s="67">
        <f t="shared" ref="H83:H91" si="18">I83*LOG(L83)+LOG(K83)</f>
        <v>16.233333333333334</v>
      </c>
      <c r="I83" s="103">
        <f>F83+2</f>
        <v>5</v>
      </c>
      <c r="J83" s="106"/>
      <c r="K83" s="68">
        <f t="shared" si="11"/>
        <v>10000000</v>
      </c>
      <c r="L83" s="103">
        <f t="shared" si="12"/>
        <v>70.25328989730518</v>
      </c>
      <c r="M83" s="103">
        <f t="shared" si="17"/>
        <v>70.253289897305308</v>
      </c>
      <c r="N83" s="1" t="s">
        <v>51</v>
      </c>
      <c r="O83" s="113"/>
    </row>
    <row r="84" spans="1:19">
      <c r="A84" s="66">
        <v>14</v>
      </c>
      <c r="B84" s="342" t="s">
        <v>53</v>
      </c>
      <c r="C84" s="342"/>
      <c r="D84" s="67"/>
      <c r="E84" s="67">
        <v>12.182</v>
      </c>
      <c r="F84" s="103">
        <v>3</v>
      </c>
      <c r="G84" s="67"/>
      <c r="H84" s="67">
        <f t="shared" si="18"/>
        <v>15.636666666666668</v>
      </c>
      <c r="I84" s="103">
        <f t="shared" si="16"/>
        <v>5</v>
      </c>
      <c r="J84" s="106"/>
      <c r="K84" s="68">
        <f t="shared" si="11"/>
        <v>10000000</v>
      </c>
      <c r="L84" s="103">
        <f t="shared" si="12"/>
        <v>53.374440228153226</v>
      </c>
      <c r="M84" s="103">
        <f t="shared" si="17"/>
        <v>53.374440228153247</v>
      </c>
      <c r="N84" s="1" t="s">
        <v>51</v>
      </c>
    </row>
    <row r="85" spans="1:19">
      <c r="A85" s="66">
        <v>15</v>
      </c>
      <c r="B85" s="342" t="s">
        <v>54</v>
      </c>
      <c r="C85" s="342"/>
      <c r="D85" s="67"/>
      <c r="E85" s="67">
        <v>12.010999999999999</v>
      </c>
      <c r="F85" s="103">
        <v>3</v>
      </c>
      <c r="G85" s="67"/>
      <c r="H85" s="67">
        <f t="shared" si="18"/>
        <v>15.351666666666667</v>
      </c>
      <c r="I85" s="103">
        <f t="shared" si="16"/>
        <v>5</v>
      </c>
      <c r="J85" s="106"/>
      <c r="K85" s="68">
        <f t="shared" si="11"/>
        <v>10000000</v>
      </c>
      <c r="L85" s="103">
        <f t="shared" si="12"/>
        <v>46.809427908172189</v>
      </c>
      <c r="M85" s="103">
        <f t="shared" si="17"/>
        <v>46.809427908172211</v>
      </c>
      <c r="N85" s="1" t="s">
        <v>51</v>
      </c>
    </row>
    <row r="86" spans="1:19">
      <c r="A86" s="66">
        <v>16</v>
      </c>
      <c r="B86" s="342" t="s">
        <v>55</v>
      </c>
      <c r="C86" s="342"/>
      <c r="D86" s="67"/>
      <c r="E86" s="67">
        <v>11.800800000000001</v>
      </c>
      <c r="F86" s="103">
        <v>3</v>
      </c>
      <c r="G86" s="67"/>
      <c r="H86" s="67">
        <f>I86*LOG(L86)+LOG(K86)</f>
        <v>15.001333333333335</v>
      </c>
      <c r="I86" s="103">
        <f t="shared" si="16"/>
        <v>5</v>
      </c>
      <c r="J86" s="106"/>
      <c r="K86" s="68">
        <f t="shared" si="11"/>
        <v>10000000</v>
      </c>
      <c r="L86" s="103">
        <f t="shared" si="12"/>
        <v>39.835169245316735</v>
      </c>
      <c r="M86" s="103">
        <f t="shared" si="17"/>
        <v>39.835169245316735</v>
      </c>
      <c r="N86" s="1" t="s">
        <v>51</v>
      </c>
    </row>
    <row r="87" spans="1:19">
      <c r="A87" s="66">
        <v>17</v>
      </c>
      <c r="B87" s="342" t="s">
        <v>56</v>
      </c>
      <c r="C87" s="342"/>
      <c r="D87" s="67"/>
      <c r="E87" s="67">
        <v>11.635999999999999</v>
      </c>
      <c r="F87" s="103">
        <v>3</v>
      </c>
      <c r="G87" s="67"/>
      <c r="H87" s="67">
        <v>14.728</v>
      </c>
      <c r="I87" s="103">
        <f t="shared" si="16"/>
        <v>5</v>
      </c>
      <c r="J87" s="106"/>
      <c r="K87" s="68">
        <f t="shared" si="11"/>
        <v>10000000</v>
      </c>
      <c r="L87" s="103">
        <f t="shared" si="12"/>
        <v>35.102118930503373</v>
      </c>
      <c r="M87" s="103">
        <f t="shared" si="17"/>
        <v>35.123679046568071</v>
      </c>
      <c r="N87" s="1" t="s">
        <v>51</v>
      </c>
    </row>
    <row r="88" spans="1:19">
      <c r="A88" s="66">
        <v>18</v>
      </c>
      <c r="B88" s="342" t="s">
        <v>57</v>
      </c>
      <c r="C88" s="342"/>
      <c r="D88" s="67"/>
      <c r="E88" s="67">
        <v>11.395</v>
      </c>
      <c r="F88" s="103">
        <v>3</v>
      </c>
      <c r="G88" s="67"/>
      <c r="H88" s="67">
        <f t="shared" si="18"/>
        <v>14.324999999999999</v>
      </c>
      <c r="I88" s="103">
        <f t="shared" si="16"/>
        <v>5</v>
      </c>
      <c r="J88" s="106"/>
      <c r="K88" s="68">
        <f t="shared" si="11"/>
        <v>10000000</v>
      </c>
      <c r="L88" s="103">
        <f t="shared" si="12"/>
        <v>29.174270140011661</v>
      </c>
      <c r="M88" s="103">
        <f t="shared" si="17"/>
        <v>29.174270140011661</v>
      </c>
      <c r="N88" s="1" t="s">
        <v>51</v>
      </c>
    </row>
    <row r="89" spans="1:19">
      <c r="A89" s="66">
        <v>19</v>
      </c>
      <c r="B89" s="342" t="s">
        <v>58</v>
      </c>
      <c r="C89" s="342"/>
      <c r="D89" s="67"/>
      <c r="E89" s="67">
        <v>10.967000000000001</v>
      </c>
      <c r="F89" s="103">
        <v>3</v>
      </c>
      <c r="G89" s="67"/>
      <c r="H89" s="67">
        <v>13.613</v>
      </c>
      <c r="I89" s="103">
        <f t="shared" si="16"/>
        <v>5</v>
      </c>
      <c r="J89" s="106"/>
      <c r="K89" s="68">
        <f t="shared" si="11"/>
        <v>10000000</v>
      </c>
      <c r="L89" s="103">
        <f t="shared" si="12"/>
        <v>21.005514979199592</v>
      </c>
      <c r="M89" s="103">
        <f t="shared" si="17"/>
        <v>21.018416802643536</v>
      </c>
      <c r="N89" s="1" t="s">
        <v>51</v>
      </c>
    </row>
    <row r="90" spans="1:19">
      <c r="A90" s="66">
        <v>20</v>
      </c>
      <c r="B90" s="342" t="s">
        <v>59</v>
      </c>
      <c r="C90" s="342"/>
      <c r="D90" s="66"/>
      <c r="E90" s="67">
        <v>12.476000000000001</v>
      </c>
      <c r="F90" s="103">
        <v>3</v>
      </c>
      <c r="G90" s="67"/>
      <c r="H90" s="67">
        <f t="shared" si="18"/>
        <v>16.126666666666669</v>
      </c>
      <c r="I90" s="103">
        <f t="shared" si="16"/>
        <v>5</v>
      </c>
      <c r="J90" s="106"/>
      <c r="K90" s="68">
        <f t="shared" si="11"/>
        <v>10000000</v>
      </c>
      <c r="L90" s="103">
        <f t="shared" ref="L90:L100" si="19">10^((E90-LOG(K90))/F90)</f>
        <v>66.88570873934836</v>
      </c>
      <c r="M90" s="103">
        <f t="shared" ref="M90:M100" si="20">10^((H90-LOG(K90))/I90)</f>
        <v>66.88570873934836</v>
      </c>
      <c r="N90" s="1" t="s">
        <v>51</v>
      </c>
    </row>
    <row r="91" spans="1:19">
      <c r="A91" s="66">
        <v>21</v>
      </c>
      <c r="B91" s="342" t="s">
        <v>60</v>
      </c>
      <c r="C91" s="342"/>
      <c r="D91" s="66"/>
      <c r="E91" s="67">
        <v>15.17</v>
      </c>
      <c r="F91" s="103">
        <v>4</v>
      </c>
      <c r="G91" s="67"/>
      <c r="H91" s="67">
        <f t="shared" si="18"/>
        <v>15.17</v>
      </c>
      <c r="I91" s="103">
        <v>4</v>
      </c>
      <c r="J91" s="106"/>
      <c r="K91" s="68">
        <f t="shared" si="11"/>
        <v>10000000</v>
      </c>
      <c r="L91" s="103">
        <f t="shared" si="19"/>
        <v>110.2808233849552</v>
      </c>
      <c r="M91" s="103">
        <f t="shared" si="20"/>
        <v>110.2808233849552</v>
      </c>
      <c r="N91" s="1" t="s">
        <v>51</v>
      </c>
    </row>
    <row r="92" spans="1:19">
      <c r="A92" s="66">
        <v>22</v>
      </c>
      <c r="B92" s="194" t="s">
        <v>61</v>
      </c>
      <c r="C92" s="195"/>
      <c r="D92" s="66"/>
      <c r="E92" s="67">
        <v>12.65</v>
      </c>
      <c r="F92" s="103">
        <v>3</v>
      </c>
      <c r="G92" s="67"/>
      <c r="H92" s="67">
        <f>I92*LOG(L92)+LOG(K92)</f>
        <v>16.416666666666668</v>
      </c>
      <c r="I92" s="103">
        <f>2*F92-1</f>
        <v>5</v>
      </c>
      <c r="J92" s="106"/>
      <c r="K92" s="68">
        <f t="shared" si="11"/>
        <v>10000000</v>
      </c>
      <c r="L92" s="103">
        <f t="shared" si="19"/>
        <v>76.442227425260114</v>
      </c>
      <c r="M92" s="103">
        <f t="shared" si="20"/>
        <v>76.442227425260114</v>
      </c>
      <c r="N92" s="1" t="s">
        <v>51</v>
      </c>
    </row>
    <row r="93" spans="1:19">
      <c r="A93" s="66">
        <v>23</v>
      </c>
      <c r="B93" s="194" t="s">
        <v>62</v>
      </c>
      <c r="C93" s="195"/>
      <c r="D93" s="66"/>
      <c r="E93" s="67">
        <v>12.89</v>
      </c>
      <c r="F93" s="103">
        <v>3</v>
      </c>
      <c r="G93" s="67"/>
      <c r="H93" s="67">
        <f>I93*LOG(L93)+LOG(K93)</f>
        <v>16.81666666666667</v>
      </c>
      <c r="I93" s="103">
        <f>2*F93-1</f>
        <v>5</v>
      </c>
      <c r="J93" s="106"/>
      <c r="K93" s="68">
        <f t="shared" si="11"/>
        <v>10000000</v>
      </c>
      <c r="L93" s="103">
        <f t="shared" si="19"/>
        <v>91.903771336326059</v>
      </c>
      <c r="M93" s="103">
        <f t="shared" si="20"/>
        <v>91.903771336326145</v>
      </c>
      <c r="N93" s="2" t="s">
        <v>63</v>
      </c>
    </row>
    <row r="94" spans="1:19">
      <c r="A94" s="66">
        <v>24</v>
      </c>
      <c r="B94" s="343" t="s">
        <v>64</v>
      </c>
      <c r="C94" s="344"/>
      <c r="D94" s="66"/>
      <c r="E94" s="67">
        <v>12.38</v>
      </c>
      <c r="F94" s="103">
        <v>3</v>
      </c>
      <c r="G94" s="67"/>
      <c r="H94" s="67">
        <f>E94</f>
        <v>12.38</v>
      </c>
      <c r="I94" s="103">
        <v>3</v>
      </c>
      <c r="J94" s="106"/>
      <c r="K94" s="68">
        <f t="shared" si="11"/>
        <v>10000000</v>
      </c>
      <c r="L94" s="103">
        <f t="shared" si="19"/>
        <v>62.134575174807644</v>
      </c>
      <c r="M94" s="103">
        <f t="shared" si="20"/>
        <v>62.134575174807644</v>
      </c>
      <c r="N94" s="2" t="s">
        <v>63</v>
      </c>
    </row>
    <row r="95" spans="1:19">
      <c r="A95" s="66">
        <v>25</v>
      </c>
      <c r="B95" s="343" t="s">
        <v>65</v>
      </c>
      <c r="C95" s="344"/>
      <c r="D95" s="66"/>
      <c r="E95" s="67">
        <v>12.62</v>
      </c>
      <c r="F95" s="103">
        <v>3</v>
      </c>
      <c r="G95" s="67"/>
      <c r="H95" s="67">
        <f>E95</f>
        <v>12.62</v>
      </c>
      <c r="I95" s="103">
        <v>3</v>
      </c>
      <c r="J95" s="106"/>
      <c r="K95" s="68">
        <f t="shared" si="11"/>
        <v>10000000</v>
      </c>
      <c r="L95" s="103">
        <f t="shared" si="19"/>
        <v>74.702189892733131</v>
      </c>
      <c r="M95" s="103">
        <f t="shared" si="20"/>
        <v>74.702189892733131</v>
      </c>
      <c r="N95" s="2" t="s">
        <v>63</v>
      </c>
    </row>
    <row r="96" spans="1:19">
      <c r="A96" s="66">
        <v>26</v>
      </c>
      <c r="B96" s="343" t="s">
        <v>66</v>
      </c>
      <c r="C96" s="344"/>
      <c r="D96" s="66"/>
      <c r="E96" s="67">
        <v>12.76</v>
      </c>
      <c r="F96" s="103">
        <v>3</v>
      </c>
      <c r="G96" s="67"/>
      <c r="H96" s="67">
        <f>E96</f>
        <v>12.76</v>
      </c>
      <c r="I96" s="103">
        <v>3</v>
      </c>
      <c r="J96" s="106"/>
      <c r="K96" s="68">
        <f t="shared" si="11"/>
        <v>10000000</v>
      </c>
      <c r="L96" s="103">
        <f t="shared" si="19"/>
        <v>83.176377110267126</v>
      </c>
      <c r="M96" s="103">
        <f t="shared" si="20"/>
        <v>83.176377110267126</v>
      </c>
      <c r="N96" s="2" t="s">
        <v>63</v>
      </c>
    </row>
    <row r="97" spans="1:14">
      <c r="A97" s="66">
        <v>27</v>
      </c>
      <c r="B97" s="343" t="s">
        <v>67</v>
      </c>
      <c r="C97" s="344"/>
      <c r="D97" s="66"/>
      <c r="E97" s="67">
        <v>13</v>
      </c>
      <c r="F97" s="103">
        <v>3</v>
      </c>
      <c r="G97" s="67"/>
      <c r="H97" s="67">
        <f>E97</f>
        <v>13</v>
      </c>
      <c r="I97" s="103">
        <v>3</v>
      </c>
      <c r="J97" s="106"/>
      <c r="K97" s="68">
        <f t="shared" si="11"/>
        <v>10000000</v>
      </c>
      <c r="L97" s="103">
        <f t="shared" si="19"/>
        <v>100</v>
      </c>
      <c r="M97" s="103">
        <f t="shared" si="20"/>
        <v>100</v>
      </c>
      <c r="N97" s="2" t="s">
        <v>63</v>
      </c>
    </row>
    <row r="98" spans="1:14">
      <c r="A98" s="66">
        <v>28</v>
      </c>
      <c r="B98" s="343" t="s">
        <v>68</v>
      </c>
      <c r="C98" s="344"/>
      <c r="D98" s="66"/>
      <c r="E98" s="67">
        <v>13.358000000000001</v>
      </c>
      <c r="F98" s="103">
        <v>3</v>
      </c>
      <c r="G98" s="67"/>
      <c r="H98" s="67">
        <f>I98*LOG(L98)+LOG(K98)</f>
        <v>17.797353330442654</v>
      </c>
      <c r="I98" s="103">
        <v>5</v>
      </c>
      <c r="J98" s="106"/>
      <c r="K98" s="68">
        <f t="shared" ref="K98:K103" si="21">5*10^6</f>
        <v>5000000</v>
      </c>
      <c r="L98" s="103">
        <f t="shared" si="19"/>
        <v>165.83517951218494</v>
      </c>
      <c r="M98" s="103">
        <f t="shared" si="20"/>
        <v>165.83517951218494</v>
      </c>
      <c r="N98" s="2" t="s">
        <v>63</v>
      </c>
    </row>
    <row r="99" spans="1:14">
      <c r="A99" s="66">
        <v>29</v>
      </c>
      <c r="B99" s="343" t="s">
        <v>69</v>
      </c>
      <c r="C99" s="344"/>
      <c r="D99" s="66"/>
      <c r="E99" s="67">
        <v>13.204000000000001</v>
      </c>
      <c r="F99" s="103">
        <v>3</v>
      </c>
      <c r="G99" s="67"/>
      <c r="H99" s="67">
        <f t="shared" ref="H99:H151" si="22">I99*LOG(L99)+LOG(K99)</f>
        <v>17.540686663775993</v>
      </c>
      <c r="I99" s="103">
        <v>5</v>
      </c>
      <c r="J99" s="106"/>
      <c r="K99" s="68">
        <f t="shared" si="21"/>
        <v>5000000</v>
      </c>
      <c r="L99" s="103">
        <f t="shared" si="19"/>
        <v>147.34769005851732</v>
      </c>
      <c r="M99" s="103">
        <f t="shared" si="20"/>
        <v>147.34769005851757</v>
      </c>
      <c r="N99" s="2" t="s">
        <v>63</v>
      </c>
    </row>
    <row r="100" spans="1:14">
      <c r="A100" s="66">
        <v>30</v>
      </c>
      <c r="B100" s="343" t="s">
        <v>70</v>
      </c>
      <c r="C100" s="344"/>
      <c r="D100" s="66"/>
      <c r="E100" s="67">
        <v>13.067</v>
      </c>
      <c r="F100" s="103">
        <v>3</v>
      </c>
      <c r="G100" s="67"/>
      <c r="H100" s="67">
        <f t="shared" si="22"/>
        <v>17.312353330442654</v>
      </c>
      <c r="I100" s="103">
        <v>5</v>
      </c>
      <c r="J100" s="106"/>
      <c r="K100" s="68">
        <f t="shared" si="21"/>
        <v>5000000</v>
      </c>
      <c r="L100" s="103">
        <f t="shared" si="19"/>
        <v>132.64065725908532</v>
      </c>
      <c r="M100" s="103">
        <f t="shared" si="20"/>
        <v>132.64065725908532</v>
      </c>
      <c r="N100" s="2" t="s">
        <v>63</v>
      </c>
    </row>
    <row r="101" spans="1:14">
      <c r="A101" s="66">
        <v>31</v>
      </c>
      <c r="B101" s="194" t="s">
        <v>71</v>
      </c>
      <c r="C101" s="195"/>
      <c r="D101" s="66"/>
      <c r="E101" s="67">
        <f>IF(H67=1,17.322,12.91339)</f>
        <v>12.91339</v>
      </c>
      <c r="F101" s="103">
        <f>IF(H67=2,3,IF(H67=1,5))</f>
        <v>3</v>
      </c>
      <c r="G101" s="67"/>
      <c r="H101" s="67">
        <f>I101*LOG(L101)+LOG(K101)</f>
        <v>17.056336663775987</v>
      </c>
      <c r="I101" s="103">
        <f t="shared" ref="I101:I151" si="23">2*F101-1</f>
        <v>5</v>
      </c>
      <c r="J101" s="106"/>
      <c r="K101" s="68">
        <f t="shared" si="21"/>
        <v>5000000</v>
      </c>
      <c r="L101" s="103">
        <f t="shared" ref="L101:L114" si="24">10^((E101-LOG(K101))/F101)</f>
        <v>117.88901305686926</v>
      </c>
      <c r="M101" s="103">
        <f t="shared" ref="M101:M114" si="25">10^((H101-LOG(K101))/I101)</f>
        <v>117.88901305686926</v>
      </c>
      <c r="N101" s="2" t="s">
        <v>63</v>
      </c>
    </row>
    <row r="102" spans="1:14">
      <c r="A102" s="66">
        <v>32</v>
      </c>
      <c r="B102" s="194" t="s">
        <v>72</v>
      </c>
      <c r="C102" s="195"/>
      <c r="D102" s="66"/>
      <c r="E102" s="67">
        <f>IF(H67=1,14.8855,12.7394)</f>
        <v>12.7394</v>
      </c>
      <c r="F102" s="103">
        <f>IF(H67=2,3,IF(H67=1,4))</f>
        <v>3</v>
      </c>
      <c r="G102" s="67"/>
      <c r="H102" s="67">
        <f t="shared" si="22"/>
        <v>16.766353330442655</v>
      </c>
      <c r="I102" s="103">
        <f t="shared" si="23"/>
        <v>5</v>
      </c>
      <c r="J102" s="106"/>
      <c r="K102" s="68">
        <f t="shared" si="21"/>
        <v>5000000</v>
      </c>
      <c r="L102" s="103">
        <f t="shared" si="24"/>
        <v>103.15176541835555</v>
      </c>
      <c r="M102" s="103">
        <f t="shared" si="25"/>
        <v>103.15176541835555</v>
      </c>
      <c r="N102" s="2" t="s">
        <v>63</v>
      </c>
    </row>
    <row r="103" spans="1:14">
      <c r="A103" s="66">
        <v>33</v>
      </c>
      <c r="B103" s="194" t="s">
        <v>73</v>
      </c>
      <c r="C103" s="195"/>
      <c r="D103" s="66"/>
      <c r="E103" s="67">
        <f>IF(H67=1,13.64,12.5918)</f>
        <v>12.591799999999999</v>
      </c>
      <c r="F103" s="103">
        <f>IF(H67=2,3,IF(H67=1,3.5))</f>
        <v>3</v>
      </c>
      <c r="G103" s="67"/>
      <c r="H103" s="67">
        <f t="shared" si="22"/>
        <v>16.520353330442653</v>
      </c>
      <c r="I103" s="103">
        <f t="shared" si="23"/>
        <v>5</v>
      </c>
      <c r="J103" s="106"/>
      <c r="K103" s="68">
        <f t="shared" si="21"/>
        <v>5000000</v>
      </c>
      <c r="L103" s="103">
        <f t="shared" si="24"/>
        <v>92.103612655906176</v>
      </c>
      <c r="M103" s="103">
        <f t="shared" si="25"/>
        <v>92.103612655906176</v>
      </c>
      <c r="N103" s="2" t="s">
        <v>63</v>
      </c>
    </row>
    <row r="104" spans="1:14">
      <c r="A104" s="66">
        <v>34</v>
      </c>
      <c r="B104" s="194" t="s">
        <v>74</v>
      </c>
      <c r="C104" s="195"/>
      <c r="D104" s="66"/>
      <c r="E104" s="67">
        <f>IF(H67=1,13.4733,12.449)</f>
        <v>12.449</v>
      </c>
      <c r="F104" s="103">
        <f>IF(H67=2,3,IF(H67=1,3.5))</f>
        <v>3</v>
      </c>
      <c r="G104" s="67"/>
      <c r="H104" s="67">
        <f t="shared" si="22"/>
        <v>16.282353330442653</v>
      </c>
      <c r="I104" s="103">
        <f t="shared" si="23"/>
        <v>5</v>
      </c>
      <c r="J104" s="106"/>
      <c r="K104" s="68">
        <f t="shared" ref="K104:K122" si="26">5*10^6</f>
        <v>5000000</v>
      </c>
      <c r="L104" s="103">
        <f t="shared" si="24"/>
        <v>82.542318837353491</v>
      </c>
      <c r="M104" s="103">
        <f t="shared" si="25"/>
        <v>82.542318837353491</v>
      </c>
      <c r="N104" s="2" t="s">
        <v>63</v>
      </c>
    </row>
    <row r="105" spans="1:14">
      <c r="A105" s="66">
        <v>35</v>
      </c>
      <c r="B105" s="194" t="s">
        <v>75</v>
      </c>
      <c r="C105" s="195"/>
      <c r="D105" s="66"/>
      <c r="E105" s="67">
        <f>IF(H67=1,13.301,12.301)</f>
        <v>12.301</v>
      </c>
      <c r="F105" s="103">
        <f>IF(H67=2,3,IF(H67=1,3.5))</f>
        <v>3</v>
      </c>
      <c r="G105" s="67"/>
      <c r="H105" s="67">
        <f t="shared" si="22"/>
        <v>16.035686663775991</v>
      </c>
      <c r="I105" s="103">
        <f t="shared" si="23"/>
        <v>5</v>
      </c>
      <c r="J105" s="106"/>
      <c r="K105" s="68">
        <f t="shared" si="26"/>
        <v>5000000</v>
      </c>
      <c r="L105" s="103">
        <f t="shared" si="24"/>
        <v>73.67893367834256</v>
      </c>
      <c r="M105" s="103">
        <f t="shared" si="25"/>
        <v>73.678933678342688</v>
      </c>
      <c r="N105" s="2" t="s">
        <v>63</v>
      </c>
    </row>
    <row r="106" spans="1:14">
      <c r="A106" s="66">
        <v>36</v>
      </c>
      <c r="B106" s="194" t="s">
        <v>76</v>
      </c>
      <c r="C106" s="195"/>
      <c r="D106" s="66"/>
      <c r="E106" s="67">
        <v>12.163757523981957</v>
      </c>
      <c r="F106" s="103">
        <v>3</v>
      </c>
      <c r="G106" s="67"/>
      <c r="H106" s="67">
        <f t="shared" si="22"/>
        <v>15.806949203745917</v>
      </c>
      <c r="I106" s="103">
        <f t="shared" si="23"/>
        <v>5</v>
      </c>
      <c r="J106" s="106"/>
      <c r="K106" s="68">
        <f t="shared" si="26"/>
        <v>5000000</v>
      </c>
      <c r="L106" s="103">
        <f t="shared" si="24"/>
        <v>66.312566975527034</v>
      </c>
      <c r="M106" s="103">
        <f t="shared" si="25"/>
        <v>66.312566975527091</v>
      </c>
      <c r="N106" s="2" t="s">
        <v>63</v>
      </c>
    </row>
    <row r="107" spans="1:14">
      <c r="A107" s="66">
        <v>37</v>
      </c>
      <c r="B107" s="194" t="s">
        <v>77</v>
      </c>
      <c r="C107" s="195"/>
      <c r="D107" s="66"/>
      <c r="E107" s="67">
        <v>12.010299956639813</v>
      </c>
      <c r="F107" s="103">
        <v>3</v>
      </c>
      <c r="G107" s="67"/>
      <c r="H107" s="67">
        <f t="shared" si="22"/>
        <v>15.55118659150901</v>
      </c>
      <c r="I107" s="103">
        <f t="shared" si="23"/>
        <v>5</v>
      </c>
      <c r="J107" s="106"/>
      <c r="K107" s="68">
        <f t="shared" si="26"/>
        <v>5000000</v>
      </c>
      <c r="L107" s="103">
        <f t="shared" si="24"/>
        <v>58.944503978246232</v>
      </c>
      <c r="M107" s="103">
        <f t="shared" si="25"/>
        <v>58.944503978246281</v>
      </c>
      <c r="N107" s="2" t="s">
        <v>63</v>
      </c>
    </row>
    <row r="108" spans="1:14">
      <c r="A108" s="66">
        <v>38</v>
      </c>
      <c r="B108" s="194" t="s">
        <v>78</v>
      </c>
      <c r="C108" s="195"/>
      <c r="D108" s="66"/>
      <c r="E108" s="67">
        <v>11.854805041821207</v>
      </c>
      <c r="F108" s="103">
        <v>3</v>
      </c>
      <c r="G108" s="67"/>
      <c r="H108" s="67">
        <f t="shared" si="22"/>
        <v>15.292028400144666</v>
      </c>
      <c r="I108" s="103">
        <f t="shared" si="23"/>
        <v>5</v>
      </c>
      <c r="J108" s="106"/>
      <c r="K108" s="68">
        <f t="shared" si="26"/>
        <v>5000000</v>
      </c>
      <c r="L108" s="103">
        <f t="shared" si="24"/>
        <v>52.31324728069351</v>
      </c>
      <c r="M108" s="103">
        <f t="shared" si="25"/>
        <v>52.31324728069351</v>
      </c>
      <c r="N108" s="2" t="s">
        <v>63</v>
      </c>
    </row>
    <row r="109" spans="1:14">
      <c r="A109" s="66">
        <v>39</v>
      </c>
      <c r="B109" s="194" t="s">
        <v>79</v>
      </c>
      <c r="C109" s="195"/>
      <c r="D109" s="66"/>
      <c r="E109" s="67">
        <v>11.699051644024699</v>
      </c>
      <c r="F109" s="103">
        <v>3</v>
      </c>
      <c r="G109" s="67"/>
      <c r="H109" s="67">
        <f t="shared" si="22"/>
        <v>15.032439403817152</v>
      </c>
      <c r="I109" s="103">
        <f t="shared" si="23"/>
        <v>5</v>
      </c>
      <c r="J109" s="106"/>
      <c r="K109" s="68">
        <f t="shared" si="26"/>
        <v>5000000</v>
      </c>
      <c r="L109" s="103">
        <f t="shared" si="24"/>
        <v>46.418796882867909</v>
      </c>
      <c r="M109" s="103">
        <f t="shared" si="25"/>
        <v>46.418796882867909</v>
      </c>
      <c r="N109" s="2" t="s">
        <v>63</v>
      </c>
    </row>
    <row r="110" spans="1:14">
      <c r="A110" s="66">
        <v>40</v>
      </c>
      <c r="B110" s="194" t="s">
        <v>80</v>
      </c>
      <c r="C110" s="195"/>
      <c r="D110" s="66"/>
      <c r="E110" s="67">
        <v>11.545594076682583</v>
      </c>
      <c r="F110" s="103">
        <v>3</v>
      </c>
      <c r="G110" s="67"/>
      <c r="H110" s="67">
        <f t="shared" si="22"/>
        <v>14.776676791580295</v>
      </c>
      <c r="I110" s="103">
        <f t="shared" si="23"/>
        <v>5</v>
      </c>
      <c r="J110" s="106"/>
      <c r="K110" s="68">
        <f t="shared" si="26"/>
        <v>5000000</v>
      </c>
      <c r="L110" s="103">
        <f t="shared" si="24"/>
        <v>41.261152784772378</v>
      </c>
      <c r="M110" s="103">
        <f t="shared" si="25"/>
        <v>41.261152784772413</v>
      </c>
      <c r="N110" s="2" t="s">
        <v>63</v>
      </c>
    </row>
    <row r="111" spans="1:14">
      <c r="A111" s="66">
        <v>41</v>
      </c>
      <c r="B111" s="194" t="s">
        <v>81</v>
      </c>
      <c r="C111" s="195"/>
      <c r="D111" s="66"/>
      <c r="E111" s="67">
        <v>11.397940008672037</v>
      </c>
      <c r="F111" s="103">
        <v>3</v>
      </c>
      <c r="G111" s="67"/>
      <c r="H111" s="67">
        <f t="shared" si="22"/>
        <v>14.530586678229383</v>
      </c>
      <c r="I111" s="103">
        <f t="shared" si="23"/>
        <v>5</v>
      </c>
      <c r="J111" s="106"/>
      <c r="K111" s="68">
        <f t="shared" si="26"/>
        <v>5000000</v>
      </c>
      <c r="L111" s="103">
        <f t="shared" si="24"/>
        <v>36.840314986403875</v>
      </c>
      <c r="M111" s="103">
        <f t="shared" si="25"/>
        <v>36.840314986403875</v>
      </c>
      <c r="N111" s="2" t="s">
        <v>63</v>
      </c>
    </row>
    <row r="112" spans="1:14">
      <c r="A112" s="66">
        <v>42</v>
      </c>
      <c r="B112" s="194" t="s">
        <v>82</v>
      </c>
      <c r="C112" s="195"/>
      <c r="D112" s="66"/>
      <c r="E112" s="67">
        <v>11.260667536990013</v>
      </c>
      <c r="F112" s="103">
        <v>3</v>
      </c>
      <c r="G112" s="67"/>
      <c r="H112" s="67">
        <f t="shared" si="22"/>
        <v>14.301799225426009</v>
      </c>
      <c r="I112" s="103">
        <f t="shared" si="23"/>
        <v>5</v>
      </c>
      <c r="J112" s="106"/>
      <c r="K112" s="68">
        <f t="shared" si="26"/>
        <v>5000000</v>
      </c>
      <c r="L112" s="103">
        <f t="shared" si="24"/>
        <v>33.156283487763517</v>
      </c>
      <c r="M112" s="103">
        <f t="shared" si="25"/>
        <v>33.156283487763517</v>
      </c>
      <c r="N112" s="2" t="s">
        <v>63</v>
      </c>
    </row>
    <row r="113" spans="1:14">
      <c r="A113" s="66">
        <v>43</v>
      </c>
      <c r="B113" s="194" t="s">
        <v>83</v>
      </c>
      <c r="C113" s="195"/>
      <c r="D113" s="66"/>
      <c r="E113" s="67">
        <v>11.107209969647869</v>
      </c>
      <c r="F113" s="103">
        <v>3</v>
      </c>
      <c r="G113" s="67"/>
      <c r="H113" s="67">
        <f t="shared" si="22"/>
        <v>14.046036613189102</v>
      </c>
      <c r="I113" s="103">
        <f t="shared" si="23"/>
        <v>5</v>
      </c>
      <c r="J113" s="106"/>
      <c r="K113" s="68">
        <f t="shared" si="26"/>
        <v>5000000</v>
      </c>
      <c r="L113" s="103">
        <f t="shared" si="24"/>
        <v>29.472251989123112</v>
      </c>
      <c r="M113" s="103">
        <f t="shared" si="25"/>
        <v>29.472251989123112</v>
      </c>
      <c r="N113" s="2" t="s">
        <v>63</v>
      </c>
    </row>
    <row r="114" spans="1:14">
      <c r="A114" s="66">
        <v>44</v>
      </c>
      <c r="B114" s="343" t="s">
        <v>84</v>
      </c>
      <c r="C114" s="344"/>
      <c r="D114" s="66"/>
      <c r="E114" s="67">
        <v>10.969937497965843</v>
      </c>
      <c r="F114" s="103">
        <v>3</v>
      </c>
      <c r="G114" s="67"/>
      <c r="H114" s="67">
        <f>I114*LOG(L114)+LOG(K114)</f>
        <v>13.817249160385725</v>
      </c>
      <c r="I114" s="103">
        <f t="shared" si="23"/>
        <v>5</v>
      </c>
      <c r="J114" s="106"/>
      <c r="K114" s="68">
        <f t="shared" si="26"/>
        <v>5000000</v>
      </c>
      <c r="L114" s="103">
        <f t="shared" si="24"/>
        <v>26.525026790210777</v>
      </c>
      <c r="M114" s="103">
        <f t="shared" si="25"/>
        <v>26.525026790210777</v>
      </c>
      <c r="N114" s="2" t="s">
        <v>63</v>
      </c>
    </row>
    <row r="115" spans="1:14">
      <c r="A115" s="66">
        <v>45</v>
      </c>
      <c r="B115" s="343" t="s">
        <v>85</v>
      </c>
      <c r="C115" s="344"/>
      <c r="D115" s="66"/>
      <c r="E115" s="67">
        <v>10.817</v>
      </c>
      <c r="F115" s="103">
        <v>3</v>
      </c>
      <c r="G115" s="67"/>
      <c r="H115" s="67">
        <f t="shared" si="22"/>
        <v>13.562353330442654</v>
      </c>
      <c r="I115" s="103">
        <f t="shared" si="23"/>
        <v>5</v>
      </c>
      <c r="J115" s="106"/>
      <c r="K115" s="68">
        <f t="shared" si="26"/>
        <v>5000000</v>
      </c>
      <c r="L115" s="103">
        <f t="shared" ref="L115:L122" si="27">10^((E115-LOG(K115))/F115)</f>
        <v>23.587214973786111</v>
      </c>
      <c r="M115" s="103">
        <f t="shared" ref="M115:M122" si="28">10^((H115-LOG(K115))/I115)</f>
        <v>23.587214973786111</v>
      </c>
      <c r="N115" s="2" t="s">
        <v>63</v>
      </c>
    </row>
    <row r="116" spans="1:14">
      <c r="A116" s="66">
        <v>46</v>
      </c>
      <c r="B116" s="343" t="s">
        <v>86</v>
      </c>
      <c r="C116" s="344"/>
      <c r="D116" s="66"/>
      <c r="E116" s="67">
        <v>10.64249</v>
      </c>
      <c r="F116" s="103">
        <v>3</v>
      </c>
      <c r="G116" s="67"/>
      <c r="H116" s="67">
        <f t="shared" si="22"/>
        <v>13.271503330442656</v>
      </c>
      <c r="I116" s="103">
        <f t="shared" si="23"/>
        <v>5</v>
      </c>
      <c r="J116" s="106"/>
      <c r="K116" s="68">
        <f t="shared" si="26"/>
        <v>5000000</v>
      </c>
      <c r="L116" s="103">
        <f t="shared" si="27"/>
        <v>20.630353289645644</v>
      </c>
      <c r="M116" s="103">
        <f t="shared" si="28"/>
        <v>20.630353289645644</v>
      </c>
      <c r="N116" s="2" t="s">
        <v>63</v>
      </c>
    </row>
    <row r="117" spans="1:14">
      <c r="A117" s="66">
        <v>47</v>
      </c>
      <c r="B117" s="343" t="s">
        <v>87</v>
      </c>
      <c r="C117" s="344"/>
      <c r="D117" s="66"/>
      <c r="E117" s="67">
        <v>10.4946</v>
      </c>
      <c r="F117" s="103">
        <v>3</v>
      </c>
      <c r="G117" s="67"/>
      <c r="H117" s="67">
        <f t="shared" si="22"/>
        <v>13.025019997109322</v>
      </c>
      <c r="I117" s="103">
        <f t="shared" si="23"/>
        <v>5</v>
      </c>
      <c r="J117" s="106"/>
      <c r="K117" s="68">
        <f t="shared" si="26"/>
        <v>5000000</v>
      </c>
      <c r="L117" s="103">
        <f t="shared" si="27"/>
        <v>18.416623027491635</v>
      </c>
      <c r="M117" s="103">
        <f t="shared" si="28"/>
        <v>18.416623027491635</v>
      </c>
      <c r="N117" s="2" t="s">
        <v>63</v>
      </c>
    </row>
    <row r="118" spans="1:14">
      <c r="A118" s="66">
        <v>48</v>
      </c>
      <c r="B118" s="343" t="s">
        <v>88</v>
      </c>
      <c r="C118" s="344"/>
      <c r="D118" s="66"/>
      <c r="E118" s="67">
        <v>10.32849</v>
      </c>
      <c r="F118" s="103">
        <v>3</v>
      </c>
      <c r="G118" s="67"/>
      <c r="H118" s="67">
        <f t="shared" si="22"/>
        <v>12.748169997109322</v>
      </c>
      <c r="I118" s="103">
        <f t="shared" si="23"/>
        <v>5</v>
      </c>
      <c r="J118" s="106"/>
      <c r="K118" s="68">
        <f t="shared" si="26"/>
        <v>5000000</v>
      </c>
      <c r="L118" s="103">
        <f t="shared" si="27"/>
        <v>16.212127050923769</v>
      </c>
      <c r="M118" s="103">
        <f t="shared" si="28"/>
        <v>16.212127050923769</v>
      </c>
      <c r="N118" s="2" t="s">
        <v>63</v>
      </c>
    </row>
    <row r="119" spans="1:14">
      <c r="A119" s="66">
        <v>49</v>
      </c>
      <c r="B119" s="343" t="s">
        <v>89</v>
      </c>
      <c r="C119" s="344"/>
      <c r="D119" s="66"/>
      <c r="E119" s="67">
        <v>10.204000000000001</v>
      </c>
      <c r="F119" s="103">
        <v>3</v>
      </c>
      <c r="G119" s="67"/>
      <c r="H119" s="67">
        <f t="shared" si="22"/>
        <v>12.540686663775988</v>
      </c>
      <c r="I119" s="103">
        <f t="shared" si="23"/>
        <v>5</v>
      </c>
      <c r="J119" s="106"/>
      <c r="K119" s="68">
        <f t="shared" si="26"/>
        <v>5000000</v>
      </c>
      <c r="L119" s="103">
        <f t="shared" si="27"/>
        <v>14.734769005851714</v>
      </c>
      <c r="M119" s="103">
        <f t="shared" si="28"/>
        <v>14.734769005851714</v>
      </c>
      <c r="N119" s="2" t="s">
        <v>63</v>
      </c>
    </row>
    <row r="120" spans="1:14">
      <c r="A120" s="66">
        <v>50</v>
      </c>
      <c r="B120" s="194" t="s">
        <v>90</v>
      </c>
      <c r="C120" s="195"/>
      <c r="D120" s="66"/>
      <c r="E120" s="67">
        <v>10.067</v>
      </c>
      <c r="F120" s="103">
        <v>3</v>
      </c>
      <c r="G120" s="67"/>
      <c r="H120" s="67">
        <f t="shared" si="22"/>
        <v>12.312353330442654</v>
      </c>
      <c r="I120" s="103">
        <f t="shared" si="23"/>
        <v>5</v>
      </c>
      <c r="J120" s="106"/>
      <c r="K120" s="68">
        <f t="shared" si="26"/>
        <v>5000000</v>
      </c>
      <c r="L120" s="103">
        <f t="shared" si="27"/>
        <v>13.264065725908528</v>
      </c>
      <c r="M120" s="103">
        <f t="shared" si="28"/>
        <v>13.264065725908528</v>
      </c>
      <c r="N120" s="2" t="s">
        <v>63</v>
      </c>
    </row>
    <row r="121" spans="1:14">
      <c r="A121" s="66">
        <v>51</v>
      </c>
      <c r="B121" s="194" t="s">
        <v>91</v>
      </c>
      <c r="C121" s="195"/>
      <c r="D121" s="66"/>
      <c r="E121" s="67">
        <v>9.9134899999999995</v>
      </c>
      <c r="F121" s="103">
        <v>3</v>
      </c>
      <c r="G121" s="67"/>
      <c r="H121" s="67">
        <f t="shared" si="22"/>
        <v>12.056503330442656</v>
      </c>
      <c r="I121" s="103">
        <f t="shared" si="23"/>
        <v>5</v>
      </c>
      <c r="J121" s="106"/>
      <c r="K121" s="68">
        <f t="shared" si="26"/>
        <v>5000000</v>
      </c>
      <c r="L121" s="103">
        <f t="shared" si="27"/>
        <v>11.789806172025651</v>
      </c>
      <c r="M121" s="103">
        <f t="shared" si="28"/>
        <v>11.789806172025662</v>
      </c>
      <c r="N121" s="2" t="s">
        <v>63</v>
      </c>
    </row>
    <row r="122" spans="1:14">
      <c r="A122" s="66">
        <v>52</v>
      </c>
      <c r="B122" s="194" t="s">
        <v>92</v>
      </c>
      <c r="C122" s="195"/>
      <c r="D122" s="66"/>
      <c r="E122" s="67">
        <v>9.7390000000000008</v>
      </c>
      <c r="F122" s="103">
        <v>3</v>
      </c>
      <c r="G122" s="67"/>
      <c r="H122" s="67">
        <f t="shared" si="22"/>
        <v>11.765686663775991</v>
      </c>
      <c r="I122" s="103">
        <f t="shared" si="23"/>
        <v>5</v>
      </c>
      <c r="J122" s="106"/>
      <c r="K122" s="68">
        <f t="shared" si="26"/>
        <v>5000000</v>
      </c>
      <c r="L122" s="103">
        <f t="shared" si="27"/>
        <v>10.312010151687705</v>
      </c>
      <c r="M122" s="103">
        <f t="shared" si="28"/>
        <v>10.312010151687714</v>
      </c>
      <c r="N122" s="2" t="s">
        <v>63</v>
      </c>
    </row>
    <row r="123" spans="1:14">
      <c r="A123" s="66">
        <v>53</v>
      </c>
      <c r="B123" s="343" t="s">
        <v>93</v>
      </c>
      <c r="C123" s="344"/>
      <c r="D123" s="66"/>
      <c r="E123" s="67">
        <f>IF(H67=1,17.322,12.91339)</f>
        <v>12.91339</v>
      </c>
      <c r="F123" s="103">
        <f>IF(H67=2,3,IF(H67=1,5))</f>
        <v>3</v>
      </c>
      <c r="G123" s="67"/>
      <c r="H123" s="67">
        <f>I123*LOG(L123)+LOG(K123)</f>
        <v>16.855649999999997</v>
      </c>
      <c r="I123" s="103">
        <f t="shared" si="23"/>
        <v>5</v>
      </c>
      <c r="J123" s="106"/>
      <c r="K123" s="68">
        <f>10^7</f>
        <v>10000000</v>
      </c>
      <c r="L123" s="103">
        <f t="shared" ref="L123:L137" si="29">10^((E123-LOG(K123))/F123)</f>
        <v>93.568571670983474</v>
      </c>
      <c r="M123" s="103">
        <f t="shared" ref="M123:M137" si="30">10^((H123-LOG(K123))/I123)</f>
        <v>93.568571670983388</v>
      </c>
      <c r="N123" s="1" t="s">
        <v>51</v>
      </c>
    </row>
    <row r="124" spans="1:14">
      <c r="A124" s="66">
        <v>54</v>
      </c>
      <c r="B124" s="343" t="s">
        <v>94</v>
      </c>
      <c r="C124" s="344"/>
      <c r="D124" s="66"/>
      <c r="E124" s="67">
        <v>12.739000000000001</v>
      </c>
      <c r="F124" s="103">
        <v>3</v>
      </c>
      <c r="G124" s="67"/>
      <c r="H124" s="67">
        <f t="shared" si="22"/>
        <v>16.565000000000001</v>
      </c>
      <c r="I124" s="103">
        <f t="shared" si="23"/>
        <v>5</v>
      </c>
      <c r="J124" s="106"/>
      <c r="K124" s="68">
        <f t="shared" ref="K124:K137" si="31">10^7</f>
        <v>10000000</v>
      </c>
      <c r="L124" s="103">
        <f t="shared" si="29"/>
        <v>81.846478813479038</v>
      </c>
      <c r="M124" s="103">
        <f t="shared" si="30"/>
        <v>81.846478813479038</v>
      </c>
      <c r="N124" s="1" t="s">
        <v>51</v>
      </c>
    </row>
    <row r="125" spans="1:14">
      <c r="A125" s="66">
        <v>55</v>
      </c>
      <c r="B125" s="343" t="s">
        <v>95</v>
      </c>
      <c r="C125" s="344"/>
      <c r="D125" s="66"/>
      <c r="E125" s="67">
        <v>12.592000000000001</v>
      </c>
      <c r="F125" s="103">
        <v>3</v>
      </c>
      <c r="G125" s="67"/>
      <c r="H125" s="67">
        <f t="shared" si="22"/>
        <v>16.32</v>
      </c>
      <c r="I125" s="103">
        <f t="shared" si="23"/>
        <v>5</v>
      </c>
      <c r="J125" s="106"/>
      <c r="K125" s="68">
        <f t="shared" si="31"/>
        <v>10000000</v>
      </c>
      <c r="L125" s="103">
        <f t="shared" si="29"/>
        <v>73.113908348341823</v>
      </c>
      <c r="M125" s="103">
        <f t="shared" si="30"/>
        <v>73.113908348341823</v>
      </c>
      <c r="N125" s="1" t="s">
        <v>51</v>
      </c>
    </row>
    <row r="126" spans="1:14">
      <c r="A126" s="66">
        <v>56</v>
      </c>
      <c r="B126" s="343" t="s">
        <v>96</v>
      </c>
      <c r="C126" s="344"/>
      <c r="D126" s="66"/>
      <c r="E126" s="67">
        <v>12.449</v>
      </c>
      <c r="F126" s="103">
        <v>3</v>
      </c>
      <c r="G126" s="67"/>
      <c r="H126" s="67">
        <f t="shared" si="22"/>
        <v>16.081666666666667</v>
      </c>
      <c r="I126" s="103">
        <f t="shared" si="23"/>
        <v>5</v>
      </c>
      <c r="J126" s="106"/>
      <c r="K126" s="68">
        <f t="shared" si="31"/>
        <v>10000000</v>
      </c>
      <c r="L126" s="103">
        <f t="shared" si="29"/>
        <v>65.513881877154745</v>
      </c>
      <c r="M126" s="103">
        <f t="shared" si="30"/>
        <v>65.513881877154745</v>
      </c>
      <c r="N126" s="1" t="s">
        <v>51</v>
      </c>
    </row>
    <row r="127" spans="1:14">
      <c r="A127" s="66">
        <v>57</v>
      </c>
      <c r="B127" s="343" t="s">
        <v>97</v>
      </c>
      <c r="C127" s="344"/>
      <c r="D127" s="66"/>
      <c r="E127" s="67">
        <v>12.301</v>
      </c>
      <c r="F127" s="103">
        <v>3</v>
      </c>
      <c r="G127" s="67"/>
      <c r="H127" s="67">
        <f t="shared" si="22"/>
        <v>15.835000000000001</v>
      </c>
      <c r="I127" s="103">
        <f t="shared" si="23"/>
        <v>5</v>
      </c>
      <c r="J127" s="106"/>
      <c r="K127" s="68">
        <f t="shared" si="31"/>
        <v>10000000</v>
      </c>
      <c r="L127" s="103">
        <f t="shared" si="29"/>
        <v>58.479008414448103</v>
      </c>
      <c r="M127" s="103">
        <f t="shared" si="30"/>
        <v>58.479008414448103</v>
      </c>
      <c r="N127" s="1" t="s">
        <v>51</v>
      </c>
    </row>
    <row r="128" spans="1:14">
      <c r="A128" s="66">
        <v>58</v>
      </c>
      <c r="B128" s="343" t="s">
        <v>98</v>
      </c>
      <c r="C128" s="344"/>
      <c r="D128" s="66"/>
      <c r="E128" s="67">
        <v>12.164</v>
      </c>
      <c r="F128" s="103">
        <v>3</v>
      </c>
      <c r="G128" s="67"/>
      <c r="H128" s="67">
        <f t="shared" si="22"/>
        <v>15.606666666666667</v>
      </c>
      <c r="I128" s="103">
        <f t="shared" si="23"/>
        <v>5</v>
      </c>
      <c r="J128" s="106"/>
      <c r="K128" s="68">
        <f t="shared" si="31"/>
        <v>10000000</v>
      </c>
      <c r="L128" s="103">
        <f t="shared" si="29"/>
        <v>52.642115454076716</v>
      </c>
      <c r="M128" s="103">
        <f t="shared" si="30"/>
        <v>52.642115454076745</v>
      </c>
      <c r="N128" s="1" t="s">
        <v>51</v>
      </c>
    </row>
    <row r="129" spans="1:14">
      <c r="A129" s="66">
        <v>59</v>
      </c>
      <c r="B129" s="343" t="s">
        <v>99</v>
      </c>
      <c r="C129" s="344"/>
      <c r="D129" s="66"/>
      <c r="E129" s="67">
        <v>12.01</v>
      </c>
      <c r="F129" s="103">
        <v>3</v>
      </c>
      <c r="G129" s="67"/>
      <c r="H129" s="67">
        <f t="shared" si="22"/>
        <v>15.35</v>
      </c>
      <c r="I129" s="103">
        <f t="shared" si="23"/>
        <v>5</v>
      </c>
      <c r="J129" s="106"/>
      <c r="K129" s="68">
        <f t="shared" si="31"/>
        <v>10000000</v>
      </c>
      <c r="L129" s="103">
        <f t="shared" si="29"/>
        <v>46.773514128719818</v>
      </c>
      <c r="M129" s="103">
        <f t="shared" si="30"/>
        <v>46.773514128719818</v>
      </c>
      <c r="N129" s="1" t="s">
        <v>51</v>
      </c>
    </row>
    <row r="130" spans="1:14">
      <c r="A130" s="66">
        <v>60</v>
      </c>
      <c r="B130" s="343" t="s">
        <v>100</v>
      </c>
      <c r="C130" s="344"/>
      <c r="D130" s="66"/>
      <c r="E130" s="67">
        <v>11.855</v>
      </c>
      <c r="F130" s="103">
        <v>3</v>
      </c>
      <c r="G130" s="67"/>
      <c r="H130" s="67">
        <f t="shared" si="22"/>
        <v>15.091666666666669</v>
      </c>
      <c r="I130" s="103">
        <f t="shared" si="23"/>
        <v>5</v>
      </c>
      <c r="J130" s="106"/>
      <c r="K130" s="68">
        <f t="shared" si="31"/>
        <v>10000000</v>
      </c>
      <c r="L130" s="103">
        <f t="shared" si="29"/>
        <v>41.527265388792507</v>
      </c>
      <c r="M130" s="103">
        <f t="shared" si="30"/>
        <v>41.527265388792522</v>
      </c>
      <c r="N130" s="1" t="s">
        <v>51</v>
      </c>
    </row>
    <row r="131" spans="1:14">
      <c r="A131" s="66">
        <v>61</v>
      </c>
      <c r="B131" s="343" t="s">
        <v>101</v>
      </c>
      <c r="C131" s="344"/>
      <c r="D131" s="66"/>
      <c r="E131" s="67">
        <v>11.699</v>
      </c>
      <c r="F131" s="103">
        <v>3</v>
      </c>
      <c r="G131" s="67"/>
      <c r="H131" s="67">
        <f t="shared" si="22"/>
        <v>14.831666666666667</v>
      </c>
      <c r="I131" s="103">
        <f t="shared" si="23"/>
        <v>5</v>
      </c>
      <c r="J131" s="106"/>
      <c r="K131" s="68">
        <f t="shared" si="31"/>
        <v>10000000</v>
      </c>
      <c r="L131" s="103">
        <f t="shared" si="29"/>
        <v>36.841163153163187</v>
      </c>
      <c r="M131" s="103">
        <f t="shared" si="30"/>
        <v>36.841163153163187</v>
      </c>
      <c r="N131" s="1" t="s">
        <v>51</v>
      </c>
    </row>
    <row r="132" spans="1:14">
      <c r="A132" s="66">
        <v>62</v>
      </c>
      <c r="B132" s="343" t="s">
        <v>102</v>
      </c>
      <c r="C132" s="344"/>
      <c r="D132" s="66"/>
      <c r="E132" s="67">
        <v>11.545999999999999</v>
      </c>
      <c r="F132" s="103">
        <v>3</v>
      </c>
      <c r="G132" s="67"/>
      <c r="H132" s="67">
        <f t="shared" si="22"/>
        <v>14.576666666666666</v>
      </c>
      <c r="I132" s="103">
        <f t="shared" si="23"/>
        <v>5</v>
      </c>
      <c r="J132" s="106"/>
      <c r="K132" s="68">
        <f t="shared" si="31"/>
        <v>10000000</v>
      </c>
      <c r="L132" s="103">
        <f t="shared" si="29"/>
        <v>32.759203458979755</v>
      </c>
      <c r="M132" s="103">
        <f t="shared" si="30"/>
        <v>32.759203458979755</v>
      </c>
      <c r="N132" s="1" t="s">
        <v>51</v>
      </c>
    </row>
    <row r="133" spans="1:14">
      <c r="A133" s="66">
        <v>63</v>
      </c>
      <c r="B133" s="343" t="s">
        <v>103</v>
      </c>
      <c r="C133" s="344"/>
      <c r="D133" s="66"/>
      <c r="E133" s="67">
        <v>11.398</v>
      </c>
      <c r="F133" s="103">
        <v>3</v>
      </c>
      <c r="G133" s="67"/>
      <c r="H133" s="67">
        <f t="shared" si="22"/>
        <v>14.33</v>
      </c>
      <c r="I133" s="103">
        <f t="shared" si="23"/>
        <v>5</v>
      </c>
      <c r="J133" s="106"/>
      <c r="K133" s="68">
        <f t="shared" si="31"/>
        <v>10000000</v>
      </c>
      <c r="L133" s="103">
        <f t="shared" si="29"/>
        <v>29.241523778433354</v>
      </c>
      <c r="M133" s="103">
        <f t="shared" si="30"/>
        <v>29.241523778433354</v>
      </c>
      <c r="N133" s="1" t="s">
        <v>51</v>
      </c>
    </row>
    <row r="134" spans="1:14">
      <c r="A134" s="66">
        <v>64</v>
      </c>
      <c r="B134" s="343" t="s">
        <v>104</v>
      </c>
      <c r="C134" s="344"/>
      <c r="D134" s="66"/>
      <c r="E134" s="67">
        <v>11.260999999999999</v>
      </c>
      <c r="F134" s="103">
        <v>3</v>
      </c>
      <c r="G134" s="67"/>
      <c r="H134" s="67">
        <f t="shared" si="22"/>
        <v>14.101666666666667</v>
      </c>
      <c r="I134" s="103">
        <f t="shared" si="23"/>
        <v>5</v>
      </c>
      <c r="J134" s="106"/>
      <c r="K134" s="68">
        <f t="shared" si="31"/>
        <v>10000000</v>
      </c>
      <c r="L134" s="103">
        <f t="shared" si="29"/>
        <v>26.322875721283651</v>
      </c>
      <c r="M134" s="103">
        <f t="shared" si="30"/>
        <v>26.322875721283662</v>
      </c>
      <c r="N134" s="1" t="s">
        <v>51</v>
      </c>
    </row>
    <row r="135" spans="1:14">
      <c r="A135" s="66">
        <v>65</v>
      </c>
      <c r="B135" s="343" t="s">
        <v>105</v>
      </c>
      <c r="C135" s="344"/>
      <c r="D135" s="66"/>
      <c r="E135" s="67">
        <v>11.106999999999999</v>
      </c>
      <c r="F135" s="103">
        <v>3</v>
      </c>
      <c r="G135" s="67"/>
      <c r="H135" s="67">
        <f t="shared" si="22"/>
        <v>13.844999999999999</v>
      </c>
      <c r="I135" s="103">
        <f t="shared" si="23"/>
        <v>5</v>
      </c>
      <c r="J135" s="106"/>
      <c r="K135" s="68">
        <f t="shared" si="31"/>
        <v>10000000</v>
      </c>
      <c r="L135" s="103">
        <f t="shared" si="29"/>
        <v>23.388372386593549</v>
      </c>
      <c r="M135" s="103">
        <f t="shared" si="30"/>
        <v>23.388372386593549</v>
      </c>
      <c r="N135" s="1" t="s">
        <v>51</v>
      </c>
    </row>
    <row r="136" spans="1:14">
      <c r="A136" s="66">
        <v>66</v>
      </c>
      <c r="B136" s="343" t="s">
        <v>106</v>
      </c>
      <c r="C136" s="344"/>
      <c r="D136" s="66"/>
      <c r="E136" s="67">
        <v>10.97</v>
      </c>
      <c r="F136" s="103">
        <v>3</v>
      </c>
      <c r="G136" s="67"/>
      <c r="H136" s="67">
        <f t="shared" si="22"/>
        <v>13.616666666666669</v>
      </c>
      <c r="I136" s="103">
        <f t="shared" si="23"/>
        <v>5</v>
      </c>
      <c r="J136" s="106"/>
      <c r="K136" s="68">
        <f t="shared" si="31"/>
        <v>10000000</v>
      </c>
      <c r="L136" s="103">
        <f t="shared" si="29"/>
        <v>21.053937692175531</v>
      </c>
      <c r="M136" s="103">
        <f t="shared" si="30"/>
        <v>21.053937692175541</v>
      </c>
      <c r="N136" s="1" t="s">
        <v>51</v>
      </c>
    </row>
    <row r="137" spans="1:14">
      <c r="A137" s="66">
        <v>67</v>
      </c>
      <c r="B137" s="343" t="s">
        <v>107</v>
      </c>
      <c r="C137" s="344"/>
      <c r="D137" s="66"/>
      <c r="E137" s="67">
        <v>12.164</v>
      </c>
      <c r="F137" s="103">
        <v>3</v>
      </c>
      <c r="G137" s="67"/>
      <c r="H137" s="67">
        <f t="shared" si="22"/>
        <v>15.606666666666667</v>
      </c>
      <c r="I137" s="103">
        <f t="shared" si="23"/>
        <v>5</v>
      </c>
      <c r="J137" s="106"/>
      <c r="K137" s="68">
        <f t="shared" si="31"/>
        <v>10000000</v>
      </c>
      <c r="L137" s="103">
        <f t="shared" si="29"/>
        <v>52.642115454076716</v>
      </c>
      <c r="M137" s="103">
        <f t="shared" si="30"/>
        <v>52.642115454076745</v>
      </c>
      <c r="N137" s="1" t="s">
        <v>51</v>
      </c>
    </row>
    <row r="138" spans="1:14">
      <c r="A138" s="66">
        <v>68</v>
      </c>
      <c r="B138" s="343" t="s">
        <v>108</v>
      </c>
      <c r="C138" s="344"/>
      <c r="D138" s="66"/>
      <c r="E138" s="67">
        <v>12.901</v>
      </c>
      <c r="F138" s="103">
        <v>3</v>
      </c>
      <c r="G138" s="67"/>
      <c r="H138" s="67">
        <f t="shared" si="22"/>
        <v>17.035686663775987</v>
      </c>
      <c r="I138" s="103">
        <f t="shared" si="23"/>
        <v>5</v>
      </c>
      <c r="J138" s="106"/>
      <c r="K138" s="68">
        <f t="shared" ref="K138:K151" si="32">5*10^6</f>
        <v>5000000</v>
      </c>
      <c r="L138" s="103">
        <f t="shared" ref="L138:L151" si="33">10^((E138-LOG(K138))/F138)</f>
        <v>116.77324041459897</v>
      </c>
      <c r="M138" s="103">
        <f t="shared" ref="M138:M151" si="34">10^((H138-LOG(K138))/I138)</f>
        <v>116.77324041459897</v>
      </c>
    </row>
    <row r="139" spans="1:14">
      <c r="A139" s="66">
        <v>69</v>
      </c>
      <c r="B139" s="343" t="s">
        <v>109</v>
      </c>
      <c r="C139" s="344"/>
      <c r="D139" s="66"/>
      <c r="E139" s="67">
        <v>12.750999999999999</v>
      </c>
      <c r="F139" s="103">
        <v>3</v>
      </c>
      <c r="G139" s="67"/>
      <c r="H139" s="67">
        <f t="shared" si="22"/>
        <v>16.785686663775984</v>
      </c>
      <c r="I139" s="103">
        <f t="shared" si="23"/>
        <v>5</v>
      </c>
      <c r="J139" s="106"/>
      <c r="K139" s="68">
        <f t="shared" si="32"/>
        <v>5000000</v>
      </c>
      <c r="L139" s="103">
        <f t="shared" si="33"/>
        <v>104.0742600684287</v>
      </c>
      <c r="M139" s="103">
        <f t="shared" si="34"/>
        <v>104.0742600684286</v>
      </c>
    </row>
    <row r="140" spans="1:14">
      <c r="A140" s="66">
        <v>70</v>
      </c>
      <c r="B140" s="343" t="s">
        <v>110</v>
      </c>
      <c r="C140" s="344"/>
      <c r="D140" s="66"/>
      <c r="E140" s="67">
        <v>12.601000000000001</v>
      </c>
      <c r="F140" s="103">
        <v>3</v>
      </c>
      <c r="G140" s="67"/>
      <c r="H140" s="67">
        <f t="shared" si="22"/>
        <v>16.535686663775991</v>
      </c>
      <c r="I140" s="103">
        <f t="shared" si="23"/>
        <v>5</v>
      </c>
      <c r="J140" s="106"/>
      <c r="K140" s="68">
        <f t="shared" si="32"/>
        <v>5000000</v>
      </c>
      <c r="L140" s="103">
        <f t="shared" si="33"/>
        <v>92.756281921562618</v>
      </c>
      <c r="M140" s="103">
        <f t="shared" si="34"/>
        <v>92.756281921562703</v>
      </c>
    </row>
    <row r="141" spans="1:14">
      <c r="A141" s="66">
        <v>71</v>
      </c>
      <c r="B141" s="343" t="s">
        <v>111</v>
      </c>
      <c r="C141" s="344"/>
      <c r="D141" s="66"/>
      <c r="E141" s="67">
        <v>12.451000000000001</v>
      </c>
      <c r="F141" s="103">
        <v>3</v>
      </c>
      <c r="G141" s="67"/>
      <c r="H141" s="67">
        <f t="shared" si="22"/>
        <v>16.285686663775991</v>
      </c>
      <c r="I141" s="103">
        <f t="shared" si="23"/>
        <v>5</v>
      </c>
      <c r="J141" s="106"/>
      <c r="K141" s="68">
        <f t="shared" si="32"/>
        <v>5000000</v>
      </c>
      <c r="L141" s="103">
        <f t="shared" si="33"/>
        <v>82.669123280390821</v>
      </c>
      <c r="M141" s="103">
        <f t="shared" si="34"/>
        <v>82.669123280390977</v>
      </c>
    </row>
    <row r="142" spans="1:14">
      <c r="A142" s="66">
        <v>72</v>
      </c>
      <c r="B142" s="343" t="s">
        <v>112</v>
      </c>
      <c r="C142" s="344"/>
      <c r="D142" s="66"/>
      <c r="E142" s="67">
        <v>12.301</v>
      </c>
      <c r="F142" s="103">
        <v>3</v>
      </c>
      <c r="G142" s="67"/>
      <c r="H142" s="67">
        <f t="shared" si="22"/>
        <v>16.035686663775991</v>
      </c>
      <c r="I142" s="103">
        <f t="shared" si="23"/>
        <v>5</v>
      </c>
      <c r="J142" s="106"/>
      <c r="K142" s="68">
        <f t="shared" si="32"/>
        <v>5000000</v>
      </c>
      <c r="L142" s="103">
        <f t="shared" si="33"/>
        <v>73.67893367834256</v>
      </c>
      <c r="M142" s="103">
        <f t="shared" si="34"/>
        <v>73.678933678342688</v>
      </c>
    </row>
    <row r="143" spans="1:14">
      <c r="A143" s="66">
        <v>73</v>
      </c>
      <c r="B143" s="343" t="s">
        <v>113</v>
      </c>
      <c r="C143" s="344"/>
      <c r="D143" s="66"/>
      <c r="E143" s="67">
        <v>12.151</v>
      </c>
      <c r="F143" s="103">
        <v>3</v>
      </c>
      <c r="G143" s="67"/>
      <c r="H143" s="67">
        <f t="shared" si="22"/>
        <v>15.785686663775987</v>
      </c>
      <c r="I143" s="103">
        <f t="shared" si="23"/>
        <v>5</v>
      </c>
      <c r="J143" s="106"/>
      <c r="K143" s="68">
        <f t="shared" si="32"/>
        <v>5000000</v>
      </c>
      <c r="L143" s="103">
        <f>10^((E143-LOG(K143))/F143)</f>
        <v>65.666418761516795</v>
      </c>
      <c r="M143" s="103">
        <f t="shared" si="34"/>
        <v>65.666418761516795</v>
      </c>
    </row>
    <row r="144" spans="1:14">
      <c r="A144" s="66">
        <v>74</v>
      </c>
      <c r="B144" s="343" t="s">
        <v>114</v>
      </c>
      <c r="C144" s="344"/>
      <c r="D144" s="66"/>
      <c r="E144" s="67">
        <v>12.000999999999999</v>
      </c>
      <c r="F144" s="103">
        <v>3</v>
      </c>
      <c r="G144" s="67"/>
      <c r="H144" s="67">
        <f t="shared" si="22"/>
        <v>15.535686663775987</v>
      </c>
      <c r="I144" s="103">
        <f t="shared" si="23"/>
        <v>5</v>
      </c>
      <c r="J144" s="106"/>
      <c r="K144" s="68">
        <f t="shared" si="32"/>
        <v>5000000</v>
      </c>
      <c r="L144" s="103">
        <f t="shared" si="33"/>
        <v>58.525257325085263</v>
      </c>
      <c r="M144" s="103">
        <f t="shared" si="34"/>
        <v>58.525257325085263</v>
      </c>
    </row>
    <row r="145" spans="1:13">
      <c r="A145" s="66">
        <v>75</v>
      </c>
      <c r="B145" s="343" t="s">
        <v>115</v>
      </c>
      <c r="C145" s="344"/>
      <c r="D145" s="66"/>
      <c r="E145" s="67">
        <v>11.851000000000001</v>
      </c>
      <c r="F145" s="103">
        <v>3</v>
      </c>
      <c r="G145" s="67"/>
      <c r="H145" s="67">
        <f t="shared" si="22"/>
        <v>15.285686663775991</v>
      </c>
      <c r="I145" s="103">
        <f t="shared" si="23"/>
        <v>5</v>
      </c>
      <c r="J145" s="106"/>
      <c r="K145" s="68">
        <f t="shared" si="32"/>
        <v>5000000</v>
      </c>
      <c r="L145" s="103">
        <f t="shared" si="33"/>
        <v>52.16069049550115</v>
      </c>
      <c r="M145" s="103">
        <f t="shared" si="34"/>
        <v>52.160690495501193</v>
      </c>
    </row>
    <row r="146" spans="1:13">
      <c r="A146" s="66">
        <v>76</v>
      </c>
      <c r="B146" s="343" t="s">
        <v>116</v>
      </c>
      <c r="C146" s="344"/>
      <c r="D146" s="66"/>
      <c r="E146" s="67">
        <v>11.701000000000001</v>
      </c>
      <c r="F146" s="103">
        <v>3</v>
      </c>
      <c r="G146" s="67"/>
      <c r="H146" s="67">
        <f t="shared" si="22"/>
        <v>15.035686663775989</v>
      </c>
      <c r="I146" s="103">
        <f t="shared" si="23"/>
        <v>5</v>
      </c>
      <c r="J146" s="106"/>
      <c r="K146" s="68">
        <f t="shared" si="32"/>
        <v>5000000</v>
      </c>
      <c r="L146" s="103">
        <f t="shared" si="33"/>
        <v>46.488264337819324</v>
      </c>
      <c r="M146" s="103">
        <f t="shared" si="34"/>
        <v>46.488264337819324</v>
      </c>
    </row>
    <row r="147" spans="1:13">
      <c r="A147" s="66">
        <v>77</v>
      </c>
      <c r="B147" s="343" t="s">
        <v>117</v>
      </c>
      <c r="C147" s="344"/>
      <c r="D147" s="66"/>
      <c r="E147" s="67">
        <v>11.551</v>
      </c>
      <c r="F147" s="103">
        <v>3</v>
      </c>
      <c r="G147" s="67"/>
      <c r="H147" s="67">
        <f t="shared" si="22"/>
        <v>14.785686663775989</v>
      </c>
      <c r="I147" s="103">
        <f t="shared" si="23"/>
        <v>5</v>
      </c>
      <c r="J147" s="106"/>
      <c r="K147" s="68">
        <f t="shared" si="32"/>
        <v>5000000</v>
      </c>
      <c r="L147" s="103">
        <f t="shared" si="33"/>
        <v>41.432709203291004</v>
      </c>
      <c r="M147" s="103">
        <f t="shared" si="34"/>
        <v>41.432709203291019</v>
      </c>
    </row>
    <row r="148" spans="1:13">
      <c r="A148" s="66">
        <v>78</v>
      </c>
      <c r="B148" s="343" t="s">
        <v>118</v>
      </c>
      <c r="C148" s="344"/>
      <c r="D148" s="66"/>
      <c r="E148" s="67">
        <v>11.401</v>
      </c>
      <c r="F148" s="103">
        <v>3</v>
      </c>
      <c r="G148" s="67"/>
      <c r="H148" s="67">
        <f t="shared" si="22"/>
        <v>14.535686663775987</v>
      </c>
      <c r="I148" s="103">
        <f t="shared" si="23"/>
        <v>5</v>
      </c>
      <c r="J148" s="106"/>
      <c r="K148" s="68">
        <f t="shared" si="32"/>
        <v>5000000</v>
      </c>
      <c r="L148" s="103">
        <f t="shared" si="33"/>
        <v>36.926940946855765</v>
      </c>
      <c r="M148" s="103">
        <f t="shared" si="34"/>
        <v>36.926940946855765</v>
      </c>
    </row>
    <row r="149" spans="1:13">
      <c r="A149" s="66">
        <v>79</v>
      </c>
      <c r="B149" s="343" t="s">
        <v>119</v>
      </c>
      <c r="C149" s="344"/>
      <c r="D149" s="66"/>
      <c r="E149" s="67">
        <v>11.250999999999999</v>
      </c>
      <c r="F149" s="103">
        <v>3</v>
      </c>
      <c r="G149" s="67"/>
      <c r="H149" s="67">
        <f t="shared" si="22"/>
        <v>14.285686663775987</v>
      </c>
      <c r="I149" s="103">
        <f t="shared" si="23"/>
        <v>5</v>
      </c>
      <c r="J149" s="106"/>
      <c r="K149" s="68">
        <f t="shared" si="32"/>
        <v>5000000</v>
      </c>
      <c r="L149" s="103">
        <f t="shared" si="33"/>
        <v>32.91117076129462</v>
      </c>
      <c r="M149" s="103">
        <f t="shared" si="34"/>
        <v>32.91117076129462</v>
      </c>
    </row>
    <row r="150" spans="1:13">
      <c r="A150" s="66">
        <v>80</v>
      </c>
      <c r="B150" s="343" t="s">
        <v>120</v>
      </c>
      <c r="C150" s="344"/>
      <c r="D150" s="66"/>
      <c r="E150" s="67">
        <v>11.101000000000001</v>
      </c>
      <c r="F150" s="103">
        <v>3</v>
      </c>
      <c r="G150" s="67"/>
      <c r="H150" s="67">
        <f t="shared" si="22"/>
        <v>14.035686663775989</v>
      </c>
      <c r="I150" s="103">
        <f t="shared" si="23"/>
        <v>5</v>
      </c>
      <c r="J150" s="106"/>
      <c r="K150" s="68">
        <f t="shared" si="32"/>
        <v>5000000</v>
      </c>
      <c r="L150" s="103">
        <f t="shared" si="33"/>
        <v>29.332111816083753</v>
      </c>
      <c r="M150" s="103">
        <f t="shared" si="34"/>
        <v>29.332111816083753</v>
      </c>
    </row>
    <row r="151" spans="1:13">
      <c r="A151" s="66">
        <v>81</v>
      </c>
      <c r="B151" s="343" t="s">
        <v>121</v>
      </c>
      <c r="C151" s="344"/>
      <c r="D151" s="66"/>
      <c r="E151" s="67">
        <v>10.951000000000001</v>
      </c>
      <c r="F151" s="103">
        <v>3</v>
      </c>
      <c r="G151" s="67"/>
      <c r="H151" s="67">
        <f t="shared" si="22"/>
        <v>13.785686663775991</v>
      </c>
      <c r="I151" s="103">
        <f t="shared" si="23"/>
        <v>5</v>
      </c>
      <c r="J151" s="106"/>
      <c r="K151" s="68">
        <f t="shared" si="32"/>
        <v>5000000</v>
      </c>
      <c r="L151" s="103">
        <f t="shared" si="33"/>
        <v>26.142272173528568</v>
      </c>
      <c r="M151" s="103">
        <f t="shared" si="34"/>
        <v>26.142272173528593</v>
      </c>
    </row>
    <row r="152" spans="1:13">
      <c r="A152" s="66">
        <v>82</v>
      </c>
      <c r="B152" s="343" t="s">
        <v>122</v>
      </c>
      <c r="C152" s="344"/>
      <c r="D152" s="66"/>
      <c r="E152" s="67">
        <v>15.01</v>
      </c>
      <c r="F152" s="103">
        <v>4</v>
      </c>
      <c r="G152" s="67"/>
      <c r="H152" s="67">
        <f t="shared" ref="H152:H160" si="35">I152*LOG(L152)+LOG(K152)</f>
        <v>16.762499999999999</v>
      </c>
      <c r="I152" s="103">
        <v>5</v>
      </c>
      <c r="J152" s="106"/>
      <c r="K152" s="68">
        <f>10^8</f>
        <v>100000000</v>
      </c>
      <c r="L152" s="103">
        <f t="shared" ref="L152:L160" si="36">10^((E152-LOG(K152))/F152)</f>
        <v>56.558775708915398</v>
      </c>
      <c r="M152" s="103">
        <f t="shared" ref="M152:M160" si="37">10^((H152-LOG(K152))/I152)</f>
        <v>56.558775708915398</v>
      </c>
    </row>
    <row r="153" spans="1:13">
      <c r="A153" s="66">
        <v>83</v>
      </c>
      <c r="B153" s="343" t="s">
        <v>123</v>
      </c>
      <c r="C153" s="344"/>
      <c r="D153" s="66"/>
      <c r="E153" s="67">
        <v>13.63</v>
      </c>
      <c r="F153" s="103">
        <v>3.5</v>
      </c>
      <c r="G153" s="67"/>
      <c r="H153" s="67">
        <f t="shared" si="35"/>
        <v>16.042857142857144</v>
      </c>
      <c r="I153" s="103">
        <v>5</v>
      </c>
      <c r="J153" s="106"/>
      <c r="K153" s="68">
        <f t="shared" ref="K153:K160" si="38">10^8</f>
        <v>100000000</v>
      </c>
      <c r="L153" s="103">
        <f t="shared" si="36"/>
        <v>40.604243970781511</v>
      </c>
      <c r="M153" s="103">
        <f t="shared" si="37"/>
        <v>40.604243970781525</v>
      </c>
    </row>
    <row r="154" spans="1:13">
      <c r="A154" s="66">
        <v>84</v>
      </c>
      <c r="B154" s="343" t="s">
        <v>124</v>
      </c>
      <c r="C154" s="344"/>
      <c r="D154" s="66"/>
      <c r="E154" s="67">
        <v>12.18</v>
      </c>
      <c r="F154" s="103">
        <v>3</v>
      </c>
      <c r="G154" s="67"/>
      <c r="H154" s="67">
        <f t="shared" si="35"/>
        <v>14.966666666666669</v>
      </c>
      <c r="I154" s="103">
        <f t="shared" ref="I154:I160" si="39">2*F154-1</f>
        <v>5</v>
      </c>
      <c r="J154" s="106"/>
      <c r="K154" s="68">
        <f t="shared" si="38"/>
        <v>100000000</v>
      </c>
      <c r="L154" s="103">
        <f t="shared" si="36"/>
        <v>24.736219916386219</v>
      </c>
      <c r="M154" s="103">
        <f t="shared" si="37"/>
        <v>24.736219916386251</v>
      </c>
    </row>
    <row r="155" spans="1:13">
      <c r="A155" s="66">
        <v>85</v>
      </c>
      <c r="B155" s="343" t="s">
        <v>125</v>
      </c>
      <c r="C155" s="344"/>
      <c r="D155" s="66"/>
      <c r="E155" s="67">
        <v>12.02</v>
      </c>
      <c r="F155" s="103">
        <v>3</v>
      </c>
      <c r="G155" s="67"/>
      <c r="H155" s="67">
        <f t="shared" si="35"/>
        <v>14.7</v>
      </c>
      <c r="I155" s="103">
        <f t="shared" si="39"/>
        <v>5</v>
      </c>
      <c r="J155" s="106"/>
      <c r="K155" s="68">
        <f t="shared" si="38"/>
        <v>100000000</v>
      </c>
      <c r="L155" s="103">
        <f t="shared" si="36"/>
        <v>21.877616239495527</v>
      </c>
      <c r="M155" s="103">
        <f t="shared" si="37"/>
        <v>21.877616239495527</v>
      </c>
    </row>
    <row r="156" spans="1:13">
      <c r="A156" s="66">
        <v>86</v>
      </c>
      <c r="B156" s="343" t="s">
        <v>126</v>
      </c>
      <c r="C156" s="344"/>
      <c r="D156" s="66"/>
      <c r="E156" s="67">
        <v>11.8</v>
      </c>
      <c r="F156" s="103">
        <v>3</v>
      </c>
      <c r="G156" s="67"/>
      <c r="H156" s="67">
        <f t="shared" si="35"/>
        <v>14.333333333333336</v>
      </c>
      <c r="I156" s="103">
        <f t="shared" si="39"/>
        <v>5</v>
      </c>
      <c r="J156" s="106"/>
      <c r="K156" s="68">
        <f t="shared" si="38"/>
        <v>100000000</v>
      </c>
      <c r="L156" s="103">
        <f t="shared" si="36"/>
        <v>18.478497974222922</v>
      </c>
      <c r="M156" s="103">
        <f t="shared" si="37"/>
        <v>18.478497974222929</v>
      </c>
    </row>
    <row r="157" spans="1:13">
      <c r="A157" s="66">
        <v>87</v>
      </c>
      <c r="B157" s="343" t="s">
        <v>127</v>
      </c>
      <c r="C157" s="344"/>
      <c r="D157" s="66"/>
      <c r="E157" s="67">
        <v>11.63</v>
      </c>
      <c r="F157" s="103">
        <v>3</v>
      </c>
      <c r="G157" s="67"/>
      <c r="H157" s="67">
        <f t="shared" si="35"/>
        <v>14.050000000000002</v>
      </c>
      <c r="I157" s="103">
        <f t="shared" si="39"/>
        <v>5</v>
      </c>
      <c r="J157" s="106"/>
      <c r="K157" s="68">
        <f t="shared" si="38"/>
        <v>100000000</v>
      </c>
      <c r="L157" s="103">
        <f t="shared" si="36"/>
        <v>16.218100973589316</v>
      </c>
      <c r="M157" s="103">
        <f t="shared" si="37"/>
        <v>16.218100973589323</v>
      </c>
    </row>
    <row r="158" spans="1:13">
      <c r="A158" s="66">
        <v>88</v>
      </c>
      <c r="B158" s="343" t="s">
        <v>128</v>
      </c>
      <c r="C158" s="344"/>
      <c r="D158" s="66"/>
      <c r="E158" s="67">
        <v>10.97</v>
      </c>
      <c r="F158" s="103">
        <v>3</v>
      </c>
      <c r="G158" s="67"/>
      <c r="H158" s="67">
        <f t="shared" si="35"/>
        <v>12.950000000000003</v>
      </c>
      <c r="I158" s="103">
        <f t="shared" si="39"/>
        <v>5</v>
      </c>
      <c r="J158" s="106"/>
      <c r="K158" s="68">
        <f t="shared" si="38"/>
        <v>100000000</v>
      </c>
      <c r="L158" s="103">
        <f t="shared" si="36"/>
        <v>9.7723722095581138</v>
      </c>
      <c r="M158" s="103">
        <f t="shared" si="37"/>
        <v>9.7723722095581227</v>
      </c>
    </row>
    <row r="159" spans="1:13">
      <c r="A159" s="66">
        <v>89</v>
      </c>
      <c r="B159" s="343" t="s">
        <v>129</v>
      </c>
      <c r="C159" s="344"/>
      <c r="D159" s="66"/>
      <c r="E159" s="67">
        <v>12.48</v>
      </c>
      <c r="F159" s="103">
        <v>3</v>
      </c>
      <c r="G159" s="67"/>
      <c r="H159" s="67">
        <f t="shared" si="35"/>
        <v>15.466666666666669</v>
      </c>
      <c r="I159" s="103">
        <f t="shared" si="39"/>
        <v>5</v>
      </c>
      <c r="J159" s="106"/>
      <c r="K159" s="68">
        <f t="shared" si="38"/>
        <v>100000000</v>
      </c>
      <c r="L159" s="103">
        <f t="shared" si="36"/>
        <v>31.141055844467612</v>
      </c>
      <c r="M159" s="103">
        <f t="shared" si="37"/>
        <v>31.141055844467626</v>
      </c>
    </row>
    <row r="160" spans="1:13">
      <c r="A160" s="66">
        <v>90</v>
      </c>
      <c r="B160" s="343" t="s">
        <v>130</v>
      </c>
      <c r="C160" s="344"/>
      <c r="D160" s="66"/>
      <c r="E160" s="67">
        <v>15.17</v>
      </c>
      <c r="F160" s="103">
        <v>3</v>
      </c>
      <c r="G160" s="67"/>
      <c r="H160" s="67">
        <f t="shared" si="35"/>
        <v>19.950000000000003</v>
      </c>
      <c r="I160" s="103">
        <f t="shared" si="39"/>
        <v>5</v>
      </c>
      <c r="J160" s="106"/>
      <c r="K160" s="68">
        <f t="shared" si="38"/>
        <v>100000000</v>
      </c>
      <c r="L160" s="103">
        <f t="shared" si="36"/>
        <v>245.4708915685033</v>
      </c>
      <c r="M160" s="103">
        <f t="shared" si="37"/>
        <v>245.47089156850353</v>
      </c>
    </row>
    <row r="161" spans="1:13">
      <c r="A161" s="66">
        <v>91</v>
      </c>
      <c r="B161" s="343" t="s">
        <v>131</v>
      </c>
      <c r="C161" s="344"/>
      <c r="D161" s="66"/>
      <c r="E161" s="67">
        <f>LOG(2340000000000000)</f>
        <v>15.369215857410143</v>
      </c>
      <c r="F161" s="103">
        <v>4</v>
      </c>
      <c r="G161" s="67"/>
      <c r="H161" s="67">
        <f>LOG(4.44E+21)</f>
        <v>21.64738297011462</v>
      </c>
      <c r="I161" s="103">
        <f>2*F161-1</f>
        <v>7</v>
      </c>
      <c r="J161" s="106"/>
      <c r="K161" s="68">
        <f>10^7</f>
        <v>10000000</v>
      </c>
      <c r="L161" s="103">
        <f>10^((E161-LOG(K161))/F161)</f>
        <v>123.6812780528176</v>
      </c>
      <c r="M161" s="103">
        <f>10^((H161-LOG(K161))/I161)</f>
        <v>123.73235571399911</v>
      </c>
    </row>
    <row r="162" spans="1:13">
      <c r="A162" s="66">
        <v>92</v>
      </c>
      <c r="B162" s="343" t="s">
        <v>132</v>
      </c>
      <c r="C162" s="344"/>
      <c r="D162" s="66"/>
      <c r="E162" s="67">
        <f>LOG(54600000000000000)</f>
        <v>16.737192642704738</v>
      </c>
      <c r="F162" s="239">
        <v>4.63</v>
      </c>
      <c r="G162" s="67"/>
      <c r="H162" s="67">
        <f>LOG(2.35E+24)</f>
        <v>24.371067862271737</v>
      </c>
      <c r="I162" s="239">
        <v>8.25</v>
      </c>
      <c r="J162" s="106"/>
      <c r="K162" s="68">
        <f>10^7</f>
        <v>10000000</v>
      </c>
      <c r="L162" s="103">
        <f>10^((E162-LOG(K162))/F162)</f>
        <v>126.78426743020789</v>
      </c>
      <c r="M162" s="103">
        <f>10^((H162-LOG(K162))/I162)</f>
        <v>127.5216675854475</v>
      </c>
    </row>
    <row r="163" spans="1:13">
      <c r="A163" s="66">
        <v>93</v>
      </c>
      <c r="B163" s="343"/>
      <c r="C163" s="344"/>
      <c r="D163" s="66"/>
      <c r="E163" s="67"/>
      <c r="F163" s="103"/>
      <c r="G163" s="67"/>
      <c r="H163" s="67"/>
      <c r="I163" s="103"/>
      <c r="J163" s="106"/>
      <c r="K163" s="68"/>
      <c r="L163" s="103"/>
      <c r="M163" s="103"/>
    </row>
    <row r="164" spans="1:13">
      <c r="A164" s="66">
        <v>94</v>
      </c>
      <c r="B164" s="343"/>
      <c r="C164" s="344"/>
      <c r="D164" s="66"/>
      <c r="E164" s="67"/>
      <c r="F164" s="103"/>
      <c r="G164" s="67"/>
      <c r="H164" s="67"/>
      <c r="I164" s="103"/>
      <c r="J164" s="106"/>
      <c r="K164" s="68"/>
      <c r="L164" s="103"/>
      <c r="M164" s="103"/>
    </row>
    <row r="165" spans="1:13">
      <c r="A165" s="66">
        <v>95</v>
      </c>
      <c r="B165" s="343"/>
      <c r="C165" s="344"/>
      <c r="D165" s="66"/>
      <c r="E165" s="67"/>
      <c r="F165" s="103"/>
      <c r="G165" s="67"/>
      <c r="H165" s="67"/>
      <c r="I165" s="103"/>
      <c r="J165" s="106"/>
      <c r="K165" s="68"/>
      <c r="L165" s="103"/>
      <c r="M165" s="103"/>
    </row>
    <row r="166" spans="1:13">
      <c r="A166" s="66">
        <v>96</v>
      </c>
      <c r="B166" s="343"/>
      <c r="C166" s="344"/>
      <c r="D166" s="66"/>
      <c r="E166" s="67"/>
      <c r="F166" s="103"/>
      <c r="G166" s="67"/>
      <c r="H166" s="67"/>
      <c r="I166" s="103"/>
      <c r="J166" s="106"/>
      <c r="K166" s="68"/>
      <c r="L166" s="103"/>
      <c r="M166" s="103"/>
    </row>
    <row r="167" spans="1:13">
      <c r="A167" s="66">
        <v>97</v>
      </c>
      <c r="B167" s="343"/>
      <c r="C167" s="344"/>
      <c r="D167" s="66"/>
      <c r="E167" s="67"/>
      <c r="F167" s="103"/>
      <c r="G167" s="67"/>
      <c r="H167" s="67"/>
      <c r="I167" s="103"/>
      <c r="J167" s="106"/>
      <c r="K167" s="68"/>
      <c r="L167" s="103"/>
      <c r="M167" s="103"/>
    </row>
    <row r="168" spans="1:13">
      <c r="A168" s="66">
        <v>98</v>
      </c>
      <c r="B168" s="343"/>
      <c r="C168" s="344"/>
      <c r="D168" s="66"/>
      <c r="E168" s="67"/>
      <c r="F168" s="103"/>
      <c r="G168" s="67"/>
      <c r="H168" s="67"/>
      <c r="I168" s="103"/>
      <c r="J168" s="106"/>
      <c r="K168" s="68"/>
      <c r="L168" s="103"/>
      <c r="M168" s="103"/>
    </row>
    <row r="169" spans="1:13">
      <c r="A169" s="66">
        <v>99</v>
      </c>
      <c r="B169" s="343"/>
      <c r="C169" s="344"/>
      <c r="D169" s="66"/>
      <c r="E169" s="67"/>
      <c r="F169" s="103"/>
      <c r="G169" s="67"/>
      <c r="H169" s="67"/>
      <c r="I169" s="103"/>
      <c r="J169" s="106"/>
      <c r="K169" s="68"/>
      <c r="L169" s="103"/>
      <c r="M169" s="103"/>
    </row>
    <row r="170" spans="1:13">
      <c r="A170" s="66">
        <v>100</v>
      </c>
      <c r="B170" s="343"/>
      <c r="C170" s="344"/>
      <c r="D170" s="66"/>
      <c r="E170" s="67"/>
      <c r="F170" s="103"/>
      <c r="G170" s="67"/>
      <c r="H170" s="67"/>
      <c r="I170" s="103"/>
      <c r="J170" s="106"/>
      <c r="K170" s="68"/>
      <c r="L170" s="103"/>
      <c r="M170" s="103"/>
    </row>
    <row r="171" spans="1:13">
      <c r="A171" s="66">
        <v>101</v>
      </c>
      <c r="B171" s="194"/>
      <c r="C171" s="195"/>
      <c r="D171" s="66"/>
      <c r="E171" s="67"/>
      <c r="F171" s="103"/>
      <c r="G171" s="67"/>
      <c r="H171" s="67"/>
      <c r="I171" s="103"/>
      <c r="J171" s="106"/>
      <c r="K171" s="68"/>
      <c r="L171" s="103"/>
      <c r="M171" s="103"/>
    </row>
    <row r="172" spans="1:13">
      <c r="A172" s="66">
        <v>102</v>
      </c>
      <c r="B172" s="343"/>
      <c r="C172" s="344"/>
      <c r="D172" s="66"/>
      <c r="E172" s="66"/>
      <c r="F172" s="103"/>
      <c r="G172" s="67"/>
      <c r="H172" s="66"/>
      <c r="I172" s="103"/>
      <c r="J172" s="106"/>
      <c r="K172" s="66"/>
      <c r="L172" s="103"/>
      <c r="M172" s="103"/>
    </row>
  </sheetData>
  <mergeCells count="100">
    <mergeCell ref="B128:C128"/>
    <mergeCell ref="B129:C129"/>
    <mergeCell ref="B130:C130"/>
    <mergeCell ref="B135:C135"/>
    <mergeCell ref="B136:C136"/>
    <mergeCell ref="B172:C172"/>
    <mergeCell ref="B123:C123"/>
    <mergeCell ref="B115:C115"/>
    <mergeCell ref="B116:C116"/>
    <mergeCell ref="B117:C117"/>
    <mergeCell ref="B118:C118"/>
    <mergeCell ref="B119:C119"/>
    <mergeCell ref="B124:C124"/>
    <mergeCell ref="B125:C125"/>
    <mergeCell ref="B137:C137"/>
    <mergeCell ref="B131:C131"/>
    <mergeCell ref="B132:C132"/>
    <mergeCell ref="B133:C133"/>
    <mergeCell ref="B134:C134"/>
    <mergeCell ref="B127:C127"/>
    <mergeCell ref="B91:C91"/>
    <mergeCell ref="B126:C126"/>
    <mergeCell ref="B78:C78"/>
    <mergeCell ref="B114:C114"/>
    <mergeCell ref="B72:C72"/>
    <mergeCell ref="B85:C85"/>
    <mergeCell ref="B86:C86"/>
    <mergeCell ref="B89:C89"/>
    <mergeCell ref="B90:C90"/>
    <mergeCell ref="B98:C98"/>
    <mergeCell ref="B99:C99"/>
    <mergeCell ref="B100:C100"/>
    <mergeCell ref="B94:C94"/>
    <mergeCell ref="B95:C95"/>
    <mergeCell ref="B96:C96"/>
    <mergeCell ref="B97:C97"/>
    <mergeCell ref="A62:C63"/>
    <mergeCell ref="A9:A10"/>
    <mergeCell ref="G9:H9"/>
    <mergeCell ref="I9:I10"/>
    <mergeCell ref="J9:J10"/>
    <mergeCell ref="C11:D11"/>
    <mergeCell ref="B9:D10"/>
    <mergeCell ref="C14:D14"/>
    <mergeCell ref="C12:D12"/>
    <mergeCell ref="C13:D13"/>
    <mergeCell ref="C15:D15"/>
    <mergeCell ref="E9:F9"/>
    <mergeCell ref="A54:C55"/>
    <mergeCell ref="A56:C57"/>
    <mergeCell ref="A58:C59"/>
    <mergeCell ref="A60:C61"/>
    <mergeCell ref="B70:C70"/>
    <mergeCell ref="B87:C87"/>
    <mergeCell ref="B88:C88"/>
    <mergeCell ref="B71:C71"/>
    <mergeCell ref="B73:C73"/>
    <mergeCell ref="B74:C74"/>
    <mergeCell ref="B75:C75"/>
    <mergeCell ref="B76:C76"/>
    <mergeCell ref="B77:C77"/>
    <mergeCell ref="B83:C83"/>
    <mergeCell ref="B79:C79"/>
    <mergeCell ref="B84:C84"/>
    <mergeCell ref="B80:C80"/>
    <mergeCell ref="B81:C81"/>
    <mergeCell ref="B82:C82"/>
    <mergeCell ref="B141:C141"/>
    <mergeCell ref="B142:C142"/>
    <mergeCell ref="B143:C143"/>
    <mergeCell ref="B144:C144"/>
    <mergeCell ref="B138:C138"/>
    <mergeCell ref="B139:C139"/>
    <mergeCell ref="B140:C140"/>
    <mergeCell ref="B165:C165"/>
    <mergeCell ref="B145:C145"/>
    <mergeCell ref="B146:C146"/>
    <mergeCell ref="B147:C147"/>
    <mergeCell ref="B148:C148"/>
    <mergeCell ref="B158:C158"/>
    <mergeCell ref="B159:C159"/>
    <mergeCell ref="B149:C149"/>
    <mergeCell ref="B150:C150"/>
    <mergeCell ref="B151:C151"/>
    <mergeCell ref="B169:C169"/>
    <mergeCell ref="B170:C170"/>
    <mergeCell ref="B152:C152"/>
    <mergeCell ref="B153:C153"/>
    <mergeCell ref="B154:C154"/>
    <mergeCell ref="B155:C155"/>
    <mergeCell ref="B156:C156"/>
    <mergeCell ref="B157:C157"/>
    <mergeCell ref="B168:C168"/>
    <mergeCell ref="B160:C160"/>
    <mergeCell ref="B161:C161"/>
    <mergeCell ref="B162:C162"/>
    <mergeCell ref="B163:C163"/>
    <mergeCell ref="B166:C166"/>
    <mergeCell ref="B167:C167"/>
    <mergeCell ref="B164:C164"/>
  </mergeCells>
  <phoneticPr fontId="2" type="noConversion"/>
  <pageMargins left="0.59055118110236227" right="0.38" top="0.98425196850393704" bottom="0.98425196850393704" header="0.51181102362204722" footer="0.51181102362204722"/>
  <pageSetup paperSize="9" orientation="portrait" blackAndWhite="1" horizontalDpi="2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9793" r:id="rId4">
          <objectPr defaultSize="0" autoPict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8</xdr:col>
                <xdr:colOff>0</xdr:colOff>
                <xdr:row>3</xdr:row>
                <xdr:rowOff>190500</xdr:rowOff>
              </to>
            </anchor>
          </objectPr>
        </oleObject>
      </mc:Choice>
      <mc:Fallback>
        <oleObject progId="Equation.3" shapeId="29793" r:id="rId4"/>
      </mc:Fallback>
    </mc:AlternateContent>
    <mc:AlternateContent xmlns:mc="http://schemas.openxmlformats.org/markup-compatibility/2006">
      <mc:Choice Requires="x14">
        <oleObject progId="Equation.3" shapeId="29794" r:id="rId6">
          <objectPr defaultSize="0" autoPict="0" r:id="rId7">
            <anchor moveWithCells="1">
              <from>
                <xdr:col>0</xdr:col>
                <xdr:colOff>266700</xdr:colOff>
                <xdr:row>4</xdr:row>
                <xdr:rowOff>238125</xdr:rowOff>
              </from>
              <to>
                <xdr:col>10</xdr:col>
                <xdr:colOff>400050</xdr:colOff>
                <xdr:row>5</xdr:row>
                <xdr:rowOff>209550</xdr:rowOff>
              </to>
            </anchor>
          </objectPr>
        </oleObject>
      </mc:Choice>
      <mc:Fallback>
        <oleObject progId="Equation.3" shapeId="29794" r:id="rId6"/>
      </mc:Fallback>
    </mc:AlternateContent>
    <mc:AlternateContent xmlns:mc="http://schemas.openxmlformats.org/markup-compatibility/2006">
      <mc:Choice Requires="x14">
        <oleObject progId="Equation.3" shapeId="29795" r:id="rId8">
          <objectPr defaultSize="0" autoPict="0" r:id="rId9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8</xdr:col>
                <xdr:colOff>0</xdr:colOff>
                <xdr:row>4</xdr:row>
                <xdr:rowOff>190500</xdr:rowOff>
              </to>
            </anchor>
          </objectPr>
        </oleObject>
      </mc:Choice>
      <mc:Fallback>
        <oleObject progId="Equation.3" shapeId="29795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9" r:id="rId10" name="Drop Down 3">
              <controlPr defaultSize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11" name="Drop Down 4">
              <controlPr defaultSize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12" name="Drop Down 5">
              <controlPr defaultSize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3" name="Drop Down 8">
              <controlPr defaultSize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4" name="Drop Down 9">
              <controlPr defaultSize="0" autoLine="0" autoPict="0">
                <anchor moveWithCells="1">
                  <from>
                    <xdr:col>3</xdr:col>
                    <xdr:colOff>19050</xdr:colOff>
                    <xdr:row>7</xdr:row>
                    <xdr:rowOff>19050</xdr:rowOff>
                  </from>
                  <to>
                    <xdr:col>4</xdr:col>
                    <xdr:colOff>19050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0" r:id="rId15" name="Drop Down 54">
              <controlPr defaultSize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16" name="Drop Down 55">
              <controlPr defaultSize="0" autoLine="0" autoPict="0">
                <anchor moveWithCells="1">
                  <from>
                    <xdr:col>0</xdr:col>
                    <xdr:colOff>247650</xdr:colOff>
                    <xdr:row>16</xdr:row>
                    <xdr:rowOff>0</xdr:rowOff>
                  </from>
                  <to>
                    <xdr:col>3</xdr:col>
                    <xdr:colOff>514350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2" r:id="rId17" name="Drop Down 86">
              <controlPr defaultSize="0" autoLine="0" autoPict="0">
                <anchor moveWithCells="1">
                  <from>
                    <xdr:col>5</xdr:col>
                    <xdr:colOff>533400</xdr:colOff>
                    <xdr:row>7</xdr:row>
                    <xdr:rowOff>9525</xdr:rowOff>
                  </from>
                  <to>
                    <xdr:col>8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40C52-13E6-434F-93EE-97C094272D57}">
  <sheetPr codeName="Sheet7112"/>
  <dimension ref="A1:T122"/>
  <sheetViews>
    <sheetView showGridLines="0" topLeftCell="A76" workbookViewId="0">
      <selection activeCell="K6" sqref="K6"/>
    </sheetView>
  </sheetViews>
  <sheetFormatPr defaultRowHeight="12.75"/>
  <cols>
    <col min="1" max="1" width="4.83203125" style="204" customWidth="1"/>
    <col min="2" max="4" width="10.83203125" style="204" customWidth="1"/>
    <col min="5" max="14" width="9.5" style="204" customWidth="1"/>
    <col min="15" max="15" width="9.83203125" style="204" customWidth="1"/>
    <col min="16" max="16" width="12.1640625" style="204" customWidth="1"/>
    <col min="17" max="17" width="11.83203125" style="204" customWidth="1"/>
    <col min="18" max="18" width="11.6640625" style="204" customWidth="1"/>
    <col min="19" max="19" width="12.83203125" style="204" customWidth="1"/>
    <col min="20" max="20" width="13.1640625" style="204" customWidth="1"/>
    <col min="21" max="21" width="9.6640625" style="204" customWidth="1"/>
    <col min="22" max="22" width="9.83203125" style="204" bestFit="1" customWidth="1"/>
    <col min="23" max="23" width="10" style="204" customWidth="1"/>
    <col min="24" max="24" width="12.5" style="204" customWidth="1"/>
    <col min="25" max="25" width="10" style="204" customWidth="1"/>
    <col min="26" max="16384" width="9.33203125" style="204"/>
  </cols>
  <sheetData>
    <row r="1" spans="1:20" s="206" customFormat="1" ht="20.25">
      <c r="A1" s="30"/>
      <c r="B1" s="192" t="s">
        <v>133</v>
      </c>
      <c r="C1" s="203"/>
      <c r="D1" s="203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45"/>
      <c r="S1" s="345"/>
      <c r="T1" s="30"/>
    </row>
    <row r="2" spans="1:20" s="206" customFormat="1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46"/>
      <c r="S2" s="30"/>
      <c r="T2" s="30"/>
    </row>
    <row r="3" spans="1:20" ht="18.75">
      <c r="A3" s="30"/>
      <c r="B3" s="242" t="s">
        <v>134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81"/>
      <c r="Q3" s="30"/>
      <c r="R3" s="30"/>
      <c r="S3" s="30"/>
      <c r="T3" s="347"/>
    </row>
    <row r="7" spans="1:20">
      <c r="A7" s="30"/>
      <c r="B7" s="345"/>
      <c r="C7" s="345"/>
      <c r="D7" s="345"/>
      <c r="E7" s="30"/>
      <c r="F7" s="30"/>
      <c r="G7" s="30"/>
      <c r="H7" s="30"/>
      <c r="I7" s="30"/>
      <c r="J7" s="30"/>
      <c r="K7" s="30"/>
      <c r="L7" s="30"/>
      <c r="M7" s="30"/>
      <c r="N7" s="348"/>
      <c r="O7" s="30"/>
      <c r="P7" s="30"/>
      <c r="Q7" s="30"/>
      <c r="R7" s="30"/>
      <c r="S7" s="30"/>
      <c r="T7" s="30"/>
    </row>
    <row r="8" spans="1:20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49"/>
      <c r="O8" s="30"/>
      <c r="P8" s="30"/>
      <c r="Q8" s="30"/>
      <c r="R8" s="30"/>
      <c r="S8" s="30"/>
      <c r="T8" s="30"/>
    </row>
    <row r="9" spans="1:20" s="247" customFormat="1" ht="18">
      <c r="A9" s="30"/>
      <c r="B9" s="213" t="s">
        <v>135</v>
      </c>
      <c r="C9" s="223" t="s">
        <v>136</v>
      </c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50"/>
      <c r="Q9" s="346"/>
      <c r="R9" s="30"/>
      <c r="S9" s="30"/>
      <c r="T9" s="346"/>
    </row>
    <row r="10" spans="1:20" s="247" customFormat="1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50"/>
      <c r="Q10" s="346"/>
      <c r="R10" s="30"/>
      <c r="S10" s="30"/>
      <c r="T10" s="346"/>
    </row>
    <row r="11" spans="1:20" s="247" customFormat="1">
      <c r="A11" s="30">
        <v>1</v>
      </c>
      <c r="B11" s="223">
        <v>1.12E-2</v>
      </c>
      <c r="C11" s="226" t="e">
        <f ca="1">stress(#REF!,B11,#REF!,#REF!)</f>
        <v>#NAME?</v>
      </c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50"/>
      <c r="Q11" s="346"/>
      <c r="R11" s="30"/>
      <c r="S11" s="30"/>
      <c r="T11" s="346"/>
    </row>
    <row r="12" spans="1:20" s="247" customFormat="1">
      <c r="A12" s="30">
        <v>2</v>
      </c>
      <c r="B12" s="351">
        <v>-7.1999999999999998E-3</v>
      </c>
      <c r="C12" s="226" t="e">
        <f ca="1">stress(#REF!,B12,#REF!,#REF!)</f>
        <v>#NAME?</v>
      </c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50"/>
      <c r="Q12" s="346"/>
      <c r="R12" s="30"/>
      <c r="S12" s="30"/>
      <c r="T12" s="346"/>
    </row>
    <row r="13" spans="1:20" s="247" customFormat="1">
      <c r="A13" s="30">
        <v>3</v>
      </c>
      <c r="B13" s="351">
        <v>3.2000000000000002E-3</v>
      </c>
      <c r="C13" s="226" t="e">
        <f ca="1">stress(#REF!,B13,#REF!,#REF!)</f>
        <v>#NAME?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50"/>
      <c r="Q13" s="346"/>
      <c r="R13" s="30"/>
      <c r="S13" s="30"/>
      <c r="T13" s="346"/>
    </row>
    <row r="14" spans="1:20" s="247" customFormat="1">
      <c r="A14" s="30">
        <v>4</v>
      </c>
      <c r="B14" s="351">
        <v>8.0000000000000004E-4</v>
      </c>
      <c r="C14" s="226" t="e">
        <f ca="1">stress(#REF!,B14,#REF!,#REF!)</f>
        <v>#NAME?</v>
      </c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50"/>
      <c r="Q14" s="346"/>
      <c r="R14" s="30"/>
      <c r="S14" s="30"/>
      <c r="T14" s="346"/>
    </row>
    <row r="15" spans="1:20" s="247" customFormat="1">
      <c r="A15" s="30">
        <v>5</v>
      </c>
      <c r="B15" s="351">
        <v>8.8000000000000005E-3</v>
      </c>
      <c r="C15" s="226" t="e">
        <f ca="1">stress(#REF!,B15,#REF!,#REF!)</f>
        <v>#NAME?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52"/>
      <c r="Q15" s="30"/>
      <c r="R15" s="30"/>
      <c r="S15" s="30"/>
      <c r="T15" s="346"/>
    </row>
    <row r="16" spans="1:20" s="247" customFormat="1">
      <c r="A16" s="30">
        <v>6</v>
      </c>
      <c r="B16" s="351">
        <v>-2.3999999999999998E-3</v>
      </c>
      <c r="C16" s="226" t="e">
        <f ca="1">stress(#REF!,B16,#REF!,#REF!)</f>
        <v>#NAME?</v>
      </c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</row>
    <row r="17" spans="1:3" s="247" customFormat="1">
      <c r="A17" s="30">
        <v>7</v>
      </c>
      <c r="B17" s="351">
        <v>2E-3</v>
      </c>
      <c r="C17" s="226" t="e">
        <f ca="1">stress(#REF!,B17,#REF!,#REF!)</f>
        <v>#NAME?</v>
      </c>
    </row>
    <row r="18" spans="1:3" s="247" customFormat="1">
      <c r="A18" s="30">
        <v>8</v>
      </c>
      <c r="B18" s="351">
        <v>-2.3999999999999998E-3</v>
      </c>
      <c r="C18" s="226" t="e">
        <f ca="1">stress(#REF!,B18,#REF!,#REF!)</f>
        <v>#NAME?</v>
      </c>
    </row>
    <row r="19" spans="1:3" s="247" customFormat="1">
      <c r="A19" s="30">
        <v>9</v>
      </c>
      <c r="B19" s="351">
        <v>7.1999999999999998E-3</v>
      </c>
      <c r="C19" s="226" t="e">
        <f ca="1">stress(#REF!,B19,#REF!,#REF!)</f>
        <v>#NAME?</v>
      </c>
    </row>
    <row r="20" spans="1:3" s="247" customFormat="1">
      <c r="A20" s="30">
        <v>10</v>
      </c>
      <c r="B20" s="351">
        <v>0</v>
      </c>
      <c r="C20" s="226" t="e">
        <f ca="1">stress(#REF!,B20,#REF!,#REF!)</f>
        <v>#NAME?</v>
      </c>
    </row>
    <row r="21" spans="1:3" s="247" customFormat="1">
      <c r="A21" s="30">
        <v>11</v>
      </c>
      <c r="B21" s="351">
        <v>1.04E-2</v>
      </c>
      <c r="C21" s="226" t="e">
        <f ca="1">stress(#REF!,B21,#REF!,#REF!)</f>
        <v>#NAME?</v>
      </c>
    </row>
    <row r="22" spans="1:3" s="247" customFormat="1">
      <c r="A22" s="30">
        <v>12</v>
      </c>
      <c r="B22" s="351">
        <v>5.5999999999999999E-3</v>
      </c>
      <c r="C22" s="226" t="e">
        <f ca="1">stress(#REF!,B22,#REF!,#REF!)</f>
        <v>#NAME?</v>
      </c>
    </row>
    <row r="23" spans="1:3" s="247" customFormat="1">
      <c r="A23" s="30">
        <v>13</v>
      </c>
      <c r="B23" s="351">
        <v>1.12E-2</v>
      </c>
      <c r="C23" s="226" t="e">
        <f ca="1">stress(#REF!,B23,#REF!,#REF!)</f>
        <v>#NAME?</v>
      </c>
    </row>
    <row r="24" spans="1:3" s="247" customFormat="1">
      <c r="A24" s="30"/>
      <c r="B24" s="351"/>
      <c r="C24" s="226" t="e">
        <f ca="1">stress(#REF!,B24,#REF!,#REF!)</f>
        <v>#NAME?</v>
      </c>
    </row>
    <row r="25" spans="1:3" s="247" customFormat="1">
      <c r="A25" s="30"/>
      <c r="B25" s="351"/>
      <c r="C25" s="226" t="e">
        <f ca="1">stress(#REF!,B25,#REF!,#REF!)</f>
        <v>#NAME?</v>
      </c>
    </row>
    <row r="26" spans="1:3" s="247" customFormat="1">
      <c r="A26" s="30"/>
      <c r="B26" s="351"/>
      <c r="C26" s="226" t="e">
        <f ca="1">stress(#REF!,B26,#REF!,#REF!)</f>
        <v>#NAME?</v>
      </c>
    </row>
    <row r="27" spans="1:3" s="247" customFormat="1">
      <c r="A27" s="30"/>
      <c r="B27" s="351"/>
      <c r="C27" s="226" t="e">
        <f ca="1">stress(#REF!,B27,#REF!,#REF!)</f>
        <v>#NAME?</v>
      </c>
    </row>
    <row r="28" spans="1:3" s="247" customFormat="1">
      <c r="A28" s="30"/>
      <c r="B28" s="351"/>
      <c r="C28" s="226" t="e">
        <f ca="1">stress(#REF!,B28,#REF!,#REF!)</f>
        <v>#NAME?</v>
      </c>
    </row>
    <row r="29" spans="1:3" s="247" customFormat="1">
      <c r="A29" s="30"/>
      <c r="B29" s="351"/>
      <c r="C29" s="226" t="e">
        <f ca="1">stress(#REF!,B29,#REF!,#REF!)</f>
        <v>#NAME?</v>
      </c>
    </row>
    <row r="30" spans="1:3" s="247" customFormat="1">
      <c r="A30" s="30"/>
      <c r="B30" s="351"/>
      <c r="C30" s="226" t="e">
        <f ca="1">stress(#REF!,B30,#REF!,#REF!)</f>
        <v>#NAME?</v>
      </c>
    </row>
    <row r="33" spans="2:15" s="247" customFormat="1">
      <c r="B33" s="223" t="s">
        <v>137</v>
      </c>
      <c r="C33" s="223" t="s">
        <v>138</v>
      </c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</row>
    <row r="34" spans="2:15" s="247" customFormat="1">
      <c r="B34" s="223" t="s">
        <v>139</v>
      </c>
      <c r="C34" s="223">
        <v>206000</v>
      </c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</row>
    <row r="35" spans="2:15" s="247" customFormat="1">
      <c r="B35" s="223" t="s">
        <v>140</v>
      </c>
      <c r="C35" s="223">
        <v>235</v>
      </c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</row>
    <row r="36" spans="2:15" s="247" customFormat="1">
      <c r="B36" s="223" t="s">
        <v>141</v>
      </c>
      <c r="C36" s="223">
        <v>400</v>
      </c>
      <c r="D36" s="30">
        <f>C36*(1+0.22)</f>
        <v>488</v>
      </c>
      <c r="E36" s="30" t="s">
        <v>142</v>
      </c>
      <c r="F36" s="30">
        <v>673</v>
      </c>
      <c r="G36" s="30">
        <v>0</v>
      </c>
      <c r="H36" s="30">
        <v>0</v>
      </c>
      <c r="I36" s="30"/>
      <c r="J36" s="30"/>
      <c r="K36" s="30"/>
      <c r="L36" s="30"/>
      <c r="M36" s="30"/>
      <c r="N36" s="30"/>
      <c r="O36" s="30"/>
    </row>
    <row r="37" spans="2:15" s="247" customFormat="1">
      <c r="B37" s="223" t="s">
        <v>143</v>
      </c>
      <c r="C37" s="223">
        <v>1.7529999999999999</v>
      </c>
      <c r="D37" s="30"/>
      <c r="E37" s="30" t="s">
        <v>144</v>
      </c>
      <c r="F37" s="30">
        <v>0.2</v>
      </c>
      <c r="G37" s="30">
        <v>2E-3</v>
      </c>
      <c r="H37" s="30">
        <v>235</v>
      </c>
      <c r="I37" s="30"/>
      <c r="J37" s="30"/>
      <c r="K37" s="30"/>
      <c r="L37" s="30"/>
      <c r="M37" s="30"/>
      <c r="N37" s="30"/>
      <c r="O37" s="30"/>
    </row>
    <row r="38" spans="2:15" s="247" customFormat="1">
      <c r="B38" s="223" t="s">
        <v>144</v>
      </c>
      <c r="C38" s="223">
        <v>7.319</v>
      </c>
      <c r="D38" s="30"/>
      <c r="E38" s="30"/>
      <c r="F38" s="30"/>
      <c r="G38" s="30">
        <v>0.2</v>
      </c>
      <c r="H38" s="30">
        <v>488</v>
      </c>
      <c r="I38" s="30"/>
      <c r="J38" s="30"/>
      <c r="K38" s="30"/>
      <c r="L38" s="30"/>
      <c r="M38" s="30"/>
      <c r="N38" s="30"/>
      <c r="O38" s="30"/>
    </row>
    <row r="39" spans="2:15" s="247" customFormat="1">
      <c r="B39" s="353" t="s">
        <v>145</v>
      </c>
      <c r="C39" s="354" t="s">
        <v>146</v>
      </c>
      <c r="D39" s="354" t="s">
        <v>147</v>
      </c>
      <c r="E39" s="354" t="s">
        <v>148</v>
      </c>
      <c r="F39" s="354" t="s">
        <v>148</v>
      </c>
      <c r="G39" s="30"/>
      <c r="H39" s="30"/>
      <c r="I39" s="30"/>
      <c r="J39" s="30"/>
      <c r="K39" s="30"/>
      <c r="L39" s="30"/>
      <c r="M39" s="30"/>
      <c r="N39" s="30"/>
      <c r="O39" s="30"/>
    </row>
    <row r="40" spans="2:15" s="247" customFormat="1">
      <c r="B40" s="355">
        <v>0</v>
      </c>
      <c r="C40" s="356">
        <f>($C$35/$C$34)*(1+$C$37*(B40/$C$35)^($C$38-1))</f>
        <v>1.1407766990291263E-3</v>
      </c>
      <c r="D40" s="356">
        <f>(B40/$C$34)*(1+$C$37*(B40/$C$35)^($C$38-1))</f>
        <v>0</v>
      </c>
      <c r="E40" s="356">
        <f t="shared" ref="E40:E58" si="0">($C$35/$C$34)*(1+$C$37*(C40/$C$35)^($C$38-1))</f>
        <v>1.1407766990291263E-3</v>
      </c>
      <c r="F40" s="356">
        <f>($C$35/$C$34)*(1+$C$37*(B40/$C$35)^($C$38-1))</f>
        <v>1.1407766990291263E-3</v>
      </c>
      <c r="G40" s="30">
        <f t="shared" ref="G40:G58" si="1">(B40/$C$34)+(B40/$F$36)^(1/$F$37)</f>
        <v>0</v>
      </c>
      <c r="H40" s="30"/>
      <c r="I40" s="30"/>
      <c r="J40" s="30"/>
      <c r="K40" s="30"/>
      <c r="L40" s="30"/>
      <c r="M40" s="30"/>
      <c r="N40" s="30"/>
      <c r="O40" s="30"/>
    </row>
    <row r="41" spans="2:15" s="247" customFormat="1">
      <c r="B41" s="355">
        <v>50</v>
      </c>
      <c r="C41" s="356">
        <f t="shared" ref="C41:C58" si="2">($C$35/$C$34)*(1+$C$37*(B41/$C$35)^($C$38-1))</f>
        <v>1.1408899380729812E-3</v>
      </c>
      <c r="D41" s="356">
        <f>(B41/$C$34)*(1+$C$37*(B41/$C$35)^($C$38-1))</f>
        <v>2.427425400155279E-4</v>
      </c>
      <c r="E41" s="356">
        <f t="shared" si="0"/>
        <v>1.1407766990291263E-3</v>
      </c>
      <c r="F41" s="356">
        <f t="shared" ref="F41:F58" si="3">($C$35/$C$34)*(1+$C$37*(B41/$C$35)^($C$38-1))</f>
        <v>1.1408899380729812E-3</v>
      </c>
      <c r="G41" s="30">
        <f t="shared" si="1"/>
        <v>2.4498191638212667E-4</v>
      </c>
      <c r="H41" s="30"/>
      <c r="I41" s="30"/>
      <c r="J41" s="30"/>
      <c r="K41" s="30"/>
      <c r="L41" s="30"/>
      <c r="M41" s="30"/>
      <c r="N41" s="30"/>
      <c r="O41" s="30"/>
    </row>
    <row r="42" spans="2:15" s="247" customFormat="1">
      <c r="B42" s="357">
        <v>100</v>
      </c>
      <c r="C42" s="356">
        <f t="shared" si="2"/>
        <v>1.1498174547798872E-3</v>
      </c>
      <c r="D42" s="356">
        <f t="shared" ref="D42:D58" si="4">(B42/$C$34)*(1+$C$37*(B42/$C$35)^($C$38-1))</f>
        <v>4.8928402331059021E-4</v>
      </c>
      <c r="E42" s="356">
        <f t="shared" si="0"/>
        <v>1.1407766990291263E-3</v>
      </c>
      <c r="F42" s="356">
        <f t="shared" si="3"/>
        <v>1.1498174547798872E-3</v>
      </c>
      <c r="G42" s="30">
        <f t="shared" si="1"/>
        <v>5.5786792616980077E-4</v>
      </c>
      <c r="H42" s="30"/>
      <c r="I42" s="30"/>
      <c r="J42" s="30"/>
      <c r="K42" s="30"/>
      <c r="L42" s="30"/>
      <c r="M42" s="30"/>
      <c r="N42" s="30"/>
      <c r="O42" s="30"/>
    </row>
    <row r="43" spans="2:15" s="247" customFormat="1">
      <c r="B43" s="357">
        <v>235</v>
      </c>
      <c r="C43" s="356">
        <f t="shared" si="2"/>
        <v>3.1405582524271849E-3</v>
      </c>
      <c r="D43" s="356">
        <f>(B43/$C$34)*(1+$C$37*(B43/$C$35)^($C$38-1))</f>
        <v>3.1405582524271849E-3</v>
      </c>
      <c r="E43" s="356">
        <f t="shared" si="0"/>
        <v>1.1407766990291263E-3</v>
      </c>
      <c r="F43" s="356">
        <f t="shared" si="3"/>
        <v>3.1405582524271849E-3</v>
      </c>
      <c r="G43" s="30">
        <f t="shared" si="1"/>
        <v>6.3319316248371012E-3</v>
      </c>
      <c r="H43" s="30"/>
      <c r="I43" s="30"/>
      <c r="J43" s="30"/>
      <c r="K43" s="30"/>
      <c r="L43" s="30"/>
      <c r="M43" s="30"/>
      <c r="N43" s="30"/>
      <c r="O43" s="30"/>
    </row>
    <row r="44" spans="2:15" s="247" customFormat="1">
      <c r="B44" s="357">
        <v>265</v>
      </c>
      <c r="C44" s="356">
        <f t="shared" si="2"/>
        <v>5.4134079600045371E-3</v>
      </c>
      <c r="D44" s="356">
        <f t="shared" si="4"/>
        <v>6.1044813166008603E-3</v>
      </c>
      <c r="E44" s="356">
        <f t="shared" si="0"/>
        <v>1.1407766990291263E-3</v>
      </c>
      <c r="F44" s="356">
        <f t="shared" si="3"/>
        <v>5.4134079600045371E-3</v>
      </c>
      <c r="G44" s="30">
        <f t="shared" si="1"/>
        <v>1.0752136373140609E-2</v>
      </c>
      <c r="H44" s="30"/>
      <c r="I44" s="30">
        <f>1/C38</f>
        <v>0.13663068725235689</v>
      </c>
      <c r="J44" s="30"/>
      <c r="K44" s="30"/>
      <c r="L44" s="30"/>
      <c r="M44" s="30"/>
      <c r="N44" s="30"/>
      <c r="O44" s="30"/>
    </row>
    <row r="45" spans="2:15" s="247" customFormat="1">
      <c r="B45" s="357">
        <v>315</v>
      </c>
      <c r="C45" s="356">
        <f t="shared" si="2"/>
        <v>1.3876661605003435E-2</v>
      </c>
      <c r="D45" s="356">
        <f t="shared" si="4"/>
        <v>1.8600631513089709E-2</v>
      </c>
      <c r="E45" s="356">
        <f t="shared" si="0"/>
        <v>1.1407766990291263E-3</v>
      </c>
      <c r="F45" s="356">
        <f t="shared" si="3"/>
        <v>1.3876661605003435E-2</v>
      </c>
      <c r="G45" s="30">
        <f t="shared" si="1"/>
        <v>2.3992627451909103E-2</v>
      </c>
      <c r="H45" s="30"/>
      <c r="I45" s="30"/>
      <c r="J45" s="30"/>
      <c r="K45" s="30"/>
      <c r="L45" s="30"/>
      <c r="M45" s="30"/>
      <c r="N45" s="30"/>
      <c r="O45" s="30"/>
    </row>
    <row r="46" spans="2:15" s="247" customFormat="1">
      <c r="B46" s="357">
        <v>355</v>
      </c>
      <c r="C46" s="356">
        <f t="shared" si="2"/>
        <v>2.8248790573937751E-2</v>
      </c>
      <c r="D46" s="356">
        <f t="shared" si="4"/>
        <v>4.2673704909565534E-2</v>
      </c>
      <c r="E46" s="356">
        <f t="shared" si="0"/>
        <v>1.1407766990291263E-3</v>
      </c>
      <c r="F46" s="356">
        <f t="shared" si="3"/>
        <v>2.8248790573937751E-2</v>
      </c>
      <c r="G46" s="30">
        <f t="shared" si="1"/>
        <v>4.2561487095985194E-2</v>
      </c>
      <c r="H46" s="30"/>
      <c r="I46" s="30"/>
      <c r="J46" s="30"/>
      <c r="K46" s="30"/>
      <c r="L46" s="30"/>
      <c r="M46" s="30"/>
      <c r="N46" s="30"/>
      <c r="O46" s="30"/>
    </row>
    <row r="47" spans="2:15" s="247" customFormat="1">
      <c r="B47" s="357">
        <v>400</v>
      </c>
      <c r="C47" s="356">
        <f t="shared" si="2"/>
        <v>5.8767220757859444E-2</v>
      </c>
      <c r="D47" s="356">
        <f t="shared" si="4"/>
        <v>0.10002931192827139</v>
      </c>
      <c r="E47" s="356">
        <f t="shared" si="0"/>
        <v>1.1407766990291263E-3</v>
      </c>
      <c r="F47" s="356">
        <f t="shared" si="3"/>
        <v>5.8767220757859444E-2</v>
      </c>
      <c r="G47" s="30">
        <f t="shared" si="1"/>
        <v>7.6111125329914819E-2</v>
      </c>
      <c r="H47" s="30"/>
      <c r="I47" s="30"/>
      <c r="J47" s="30"/>
      <c r="K47" s="30"/>
      <c r="L47" s="30"/>
      <c r="M47" s="30"/>
      <c r="N47" s="30"/>
      <c r="O47" s="30"/>
    </row>
    <row r="48" spans="2:15" s="247" customFormat="1">
      <c r="B48" s="357">
        <v>440</v>
      </c>
      <c r="C48" s="356">
        <f t="shared" si="2"/>
        <v>0.10638110616425821</v>
      </c>
      <c r="D48" s="356">
        <f t="shared" si="4"/>
        <v>0.199181645584143</v>
      </c>
      <c r="E48" s="356">
        <f t="shared" si="0"/>
        <v>1.1407766990291263E-3</v>
      </c>
      <c r="F48" s="356">
        <f t="shared" si="3"/>
        <v>0.10638110616425821</v>
      </c>
      <c r="G48" s="30">
        <f t="shared" si="1"/>
        <v>0.12158644690168305</v>
      </c>
      <c r="H48" s="30"/>
      <c r="I48" s="30"/>
      <c r="J48" s="30"/>
      <c r="K48" s="30"/>
      <c r="L48" s="30"/>
      <c r="M48" s="30"/>
      <c r="N48" s="30"/>
      <c r="O48" s="30"/>
    </row>
    <row r="49" spans="2:15" s="247" customFormat="1">
      <c r="B49" s="357">
        <v>488</v>
      </c>
      <c r="C49" s="356">
        <f t="shared" si="2"/>
        <v>0.20359628230539545</v>
      </c>
      <c r="D49" s="356">
        <f t="shared" si="4"/>
        <v>0.42278717346822547</v>
      </c>
      <c r="E49" s="356">
        <f t="shared" si="0"/>
        <v>1.1407766990291263E-3</v>
      </c>
      <c r="F49" s="356">
        <f t="shared" si="3"/>
        <v>0.20359628230539545</v>
      </c>
      <c r="G49" s="30">
        <f t="shared" si="1"/>
        <v>0.20282711476241161</v>
      </c>
      <c r="H49" s="30"/>
      <c r="I49" s="30"/>
      <c r="J49" s="30"/>
      <c r="K49" s="30"/>
      <c r="L49" s="30"/>
      <c r="M49" s="30"/>
      <c r="N49" s="30"/>
      <c r="O49" s="30"/>
    </row>
    <row r="50" spans="2:15" s="247" customFormat="1">
      <c r="B50" s="357">
        <v>563</v>
      </c>
      <c r="C50" s="356">
        <f t="shared" si="2"/>
        <v>0.50079237774190066</v>
      </c>
      <c r="D50" s="356">
        <f t="shared" si="4"/>
        <v>1.1997706751859152</v>
      </c>
      <c r="E50" s="356">
        <f t="shared" si="0"/>
        <v>1.1407766990291263E-3</v>
      </c>
      <c r="F50" s="356">
        <f t="shared" si="3"/>
        <v>0.50079237774190066</v>
      </c>
      <c r="G50" s="30">
        <f t="shared" si="1"/>
        <v>0.41243365986387359</v>
      </c>
      <c r="H50" s="30"/>
      <c r="I50" s="30"/>
      <c r="J50" s="30"/>
      <c r="K50" s="30"/>
      <c r="L50" s="30"/>
      <c r="M50" s="30"/>
      <c r="N50" s="30"/>
      <c r="O50" s="30"/>
    </row>
    <row r="51" spans="2:15" s="247" customFormat="1">
      <c r="B51" s="357">
        <v>638</v>
      </c>
      <c r="C51" s="356">
        <f t="shared" si="2"/>
        <v>1.1023417970758378</v>
      </c>
      <c r="D51" s="356">
        <f t="shared" si="4"/>
        <v>2.9927407086569553</v>
      </c>
      <c r="E51" s="356">
        <f t="shared" si="0"/>
        <v>1.1407766990291302E-3</v>
      </c>
      <c r="F51" s="356">
        <f t="shared" si="3"/>
        <v>1.1023417970758378</v>
      </c>
      <c r="G51" s="30">
        <f t="shared" si="1"/>
        <v>0.76874318350862836</v>
      </c>
      <c r="H51" s="30"/>
      <c r="I51" s="30"/>
      <c r="J51" s="30"/>
      <c r="K51" s="30"/>
      <c r="L51" s="30"/>
      <c r="M51" s="30"/>
      <c r="N51" s="30"/>
      <c r="O51" s="30"/>
    </row>
    <row r="52" spans="2:15" s="247" customFormat="1">
      <c r="B52" s="357">
        <v>713</v>
      </c>
      <c r="C52" s="356">
        <f t="shared" si="2"/>
        <v>2.2238235084407729</v>
      </c>
      <c r="D52" s="356">
        <f t="shared" si="4"/>
        <v>6.7471751553968984</v>
      </c>
      <c r="E52" s="356">
        <f t="shared" si="0"/>
        <v>1.1407766990294511E-3</v>
      </c>
      <c r="F52" s="356">
        <f t="shared" si="3"/>
        <v>2.2238235084407729</v>
      </c>
      <c r="G52" s="30">
        <f t="shared" si="1"/>
        <v>1.3381263383080981</v>
      </c>
      <c r="H52" s="30"/>
      <c r="I52" s="30"/>
      <c r="J52" s="30"/>
      <c r="K52" s="30"/>
      <c r="L52" s="30"/>
      <c r="M52" s="30"/>
      <c r="N52" s="30"/>
      <c r="O52" s="30"/>
    </row>
    <row r="53" spans="2:15" s="247" customFormat="1">
      <c r="B53" s="357">
        <v>788</v>
      </c>
      <c r="C53" s="356">
        <f t="shared" si="2"/>
        <v>4.1828507116970739</v>
      </c>
      <c r="D53" s="356">
        <f t="shared" si="4"/>
        <v>14.025899407733165</v>
      </c>
      <c r="E53" s="356">
        <f t="shared" si="0"/>
        <v>1.1407766990467172E-3</v>
      </c>
      <c r="F53" s="356">
        <f t="shared" si="3"/>
        <v>4.1828507116970739</v>
      </c>
      <c r="G53" s="30">
        <f t="shared" si="1"/>
        <v>2.204499515568763</v>
      </c>
      <c r="H53" s="30"/>
      <c r="I53" s="30"/>
      <c r="J53" s="30"/>
      <c r="K53" s="30"/>
      <c r="L53" s="30"/>
      <c r="M53" s="30"/>
      <c r="N53" s="30"/>
      <c r="O53" s="345"/>
    </row>
    <row r="54" spans="2:15" s="247" customFormat="1">
      <c r="B54" s="357">
        <v>863</v>
      </c>
      <c r="C54" s="356">
        <f t="shared" si="2"/>
        <v>7.4288852422980884</v>
      </c>
      <c r="D54" s="356">
        <f t="shared" si="4"/>
        <v>27.281395591928725</v>
      </c>
      <c r="E54" s="356">
        <f t="shared" si="0"/>
        <v>1.1407766996922146E-3</v>
      </c>
      <c r="F54" s="356">
        <f t="shared" si="3"/>
        <v>7.4288852422980884</v>
      </c>
      <c r="G54" s="30">
        <f t="shared" si="1"/>
        <v>3.4713874321293581</v>
      </c>
      <c r="H54" s="30"/>
      <c r="I54" s="30"/>
      <c r="J54" s="30"/>
      <c r="K54" s="30"/>
      <c r="L54" s="30"/>
      <c r="M54" s="30"/>
      <c r="N54" s="30"/>
      <c r="O54" s="345"/>
    </row>
    <row r="55" spans="2:15" s="247" customFormat="1">
      <c r="B55" s="357">
        <v>938</v>
      </c>
      <c r="C55" s="356">
        <f t="shared" si="2"/>
        <v>12.57748662796994</v>
      </c>
      <c r="D55" s="356">
        <f t="shared" si="4"/>
        <v>50.202904072492778</v>
      </c>
      <c r="E55" s="356">
        <f t="shared" si="0"/>
        <v>1.140776717502166E-3</v>
      </c>
      <c r="F55" s="356">
        <f t="shared" si="3"/>
        <v>12.57748662796994</v>
      </c>
      <c r="G55" s="30">
        <f t="shared" si="1"/>
        <v>5.2639857171980582</v>
      </c>
      <c r="H55" s="30"/>
      <c r="I55" s="30"/>
      <c r="J55" s="30"/>
      <c r="K55" s="30"/>
      <c r="L55" s="30"/>
      <c r="M55" s="30"/>
      <c r="N55" s="30"/>
      <c r="O55" s="345"/>
    </row>
    <row r="56" spans="2:15" s="247" customFormat="1">
      <c r="B56" s="357">
        <v>1013</v>
      </c>
      <c r="C56" s="356">
        <f t="shared" si="2"/>
        <v>20.44914007302005</v>
      </c>
      <c r="D56" s="356">
        <f t="shared" si="4"/>
        <v>88.148846357316216</v>
      </c>
      <c r="E56" s="356">
        <f t="shared" si="0"/>
        <v>1.1407770974667818E-3</v>
      </c>
      <c r="F56" s="356">
        <f t="shared" si="3"/>
        <v>20.44914007302005</v>
      </c>
      <c r="G56" s="30">
        <f t="shared" si="1"/>
        <v>7.7312234991896904</v>
      </c>
      <c r="H56" s="30"/>
      <c r="I56" s="30"/>
      <c r="J56" s="30"/>
      <c r="K56" s="30"/>
      <c r="L56" s="30"/>
      <c r="M56" s="30"/>
      <c r="N56" s="30"/>
      <c r="O56" s="345"/>
    </row>
    <row r="57" spans="2:15" s="247" customFormat="1">
      <c r="B57" s="357">
        <v>1088</v>
      </c>
      <c r="C57" s="356">
        <f t="shared" si="2"/>
        <v>32.11279850383152</v>
      </c>
      <c r="D57" s="356">
        <f t="shared" si="4"/>
        <v>148.67542456241998</v>
      </c>
      <c r="E57" s="356">
        <f t="shared" si="0"/>
        <v>1.1407835999014617E-3</v>
      </c>
      <c r="F57" s="356">
        <f t="shared" si="3"/>
        <v>32.11279850383152</v>
      </c>
      <c r="G57" s="30">
        <f t="shared" si="1"/>
        <v>11.047825992562904</v>
      </c>
      <c r="H57" s="30"/>
      <c r="I57" s="30"/>
      <c r="J57" s="30"/>
      <c r="K57" s="30"/>
      <c r="L57" s="30"/>
      <c r="M57" s="30"/>
      <c r="N57" s="30"/>
      <c r="O57" s="345"/>
    </row>
    <row r="58" spans="2:15" s="247" customFormat="1">
      <c r="B58" s="357">
        <v>1163</v>
      </c>
      <c r="C58" s="356">
        <f t="shared" si="2"/>
        <v>48.934265981728046</v>
      </c>
      <c r="D58" s="356">
        <f t="shared" si="4"/>
        <v>242.17255887978604</v>
      </c>
      <c r="E58" s="356">
        <f t="shared" si="0"/>
        <v>1.1408755247014882E-3</v>
      </c>
      <c r="F58" s="356">
        <f t="shared" si="3"/>
        <v>48.934265981728046</v>
      </c>
      <c r="G58" s="30">
        <f t="shared" si="1"/>
        <v>15.416377084657386</v>
      </c>
      <c r="H58" s="30"/>
      <c r="I58" s="30"/>
      <c r="J58" s="30"/>
      <c r="K58" s="30"/>
      <c r="L58" s="30"/>
      <c r="M58" s="30"/>
      <c r="N58" s="30"/>
      <c r="O58" s="345"/>
    </row>
    <row r="59" spans="2:15" s="247" customFormat="1"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45"/>
    </row>
    <row r="60" spans="2:15" s="247" customFormat="1"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45"/>
    </row>
    <row r="61" spans="2:15" s="247" customFormat="1"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45"/>
    </row>
    <row r="62" spans="2:15" s="247" customFormat="1"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45"/>
    </row>
    <row r="63" spans="2:15" s="247" customFormat="1"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45"/>
    </row>
    <row r="64" spans="2:15" s="247" customFormat="1" ht="18.75">
      <c r="B64" s="242" t="s">
        <v>149</v>
      </c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45"/>
    </row>
    <row r="65" spans="2:19" s="247" customFormat="1">
      <c r="B65" s="30"/>
      <c r="C65" s="358"/>
      <c r="D65" s="345"/>
      <c r="E65" s="345"/>
      <c r="F65" s="345"/>
      <c r="G65" s="30"/>
      <c r="H65" s="30"/>
      <c r="I65" s="30"/>
      <c r="J65" s="30"/>
      <c r="K65" s="359"/>
      <c r="L65" s="30"/>
      <c r="M65" s="30"/>
      <c r="N65" s="30"/>
      <c r="O65" s="360"/>
      <c r="P65" s="30"/>
      <c r="Q65" s="30"/>
      <c r="R65" s="30"/>
      <c r="S65" s="30"/>
    </row>
    <row r="66" spans="2:19">
      <c r="B66" s="223" t="s">
        <v>32</v>
      </c>
      <c r="C66" s="223" t="s">
        <v>137</v>
      </c>
      <c r="D66" s="223" t="s">
        <v>150</v>
      </c>
      <c r="E66" s="223" t="s">
        <v>140</v>
      </c>
      <c r="F66" s="223" t="s">
        <v>141</v>
      </c>
      <c r="G66" s="31" t="s">
        <v>143</v>
      </c>
      <c r="H66" s="223" t="s">
        <v>144</v>
      </c>
      <c r="I66" s="30"/>
      <c r="J66" s="30"/>
      <c r="K66" s="30"/>
      <c r="L66" s="30"/>
      <c r="M66" s="30"/>
      <c r="N66" s="30"/>
      <c r="O66" s="360"/>
      <c r="P66" s="30"/>
      <c r="Q66" s="30"/>
      <c r="R66" s="30"/>
      <c r="S66" s="30">
        <f>G73+342</f>
        <v>742</v>
      </c>
    </row>
    <row r="67" spans="2:19">
      <c r="B67" s="223">
        <v>1</v>
      </c>
      <c r="C67" s="223" t="s">
        <v>151</v>
      </c>
      <c r="D67" s="223">
        <v>210000</v>
      </c>
      <c r="E67" s="223">
        <v>235</v>
      </c>
      <c r="F67" s="223">
        <v>400</v>
      </c>
      <c r="G67" s="223">
        <v>1.7529999999999999</v>
      </c>
      <c r="H67" s="223">
        <v>7.319</v>
      </c>
      <c r="I67" s="30"/>
      <c r="J67" s="30"/>
      <c r="K67" s="30"/>
      <c r="L67" s="30"/>
      <c r="M67" s="30"/>
      <c r="N67" s="30"/>
      <c r="O67" s="360"/>
      <c r="P67" s="30"/>
      <c r="Q67" s="30"/>
      <c r="R67" s="30"/>
      <c r="S67" s="30">
        <f>G74+342</f>
        <v>742</v>
      </c>
    </row>
    <row r="68" spans="2:19">
      <c r="B68" s="223">
        <v>2</v>
      </c>
      <c r="C68" s="223" t="s">
        <v>152</v>
      </c>
      <c r="D68" s="223">
        <v>210000</v>
      </c>
      <c r="E68" s="223">
        <v>265</v>
      </c>
      <c r="F68" s="223">
        <v>400</v>
      </c>
      <c r="G68" s="223">
        <v>1.8939999999999999</v>
      </c>
      <c r="H68" s="223">
        <v>8.9740000000000002</v>
      </c>
      <c r="I68" s="30"/>
      <c r="J68" s="30"/>
      <c r="K68" s="30"/>
      <c r="L68" s="30"/>
      <c r="M68" s="360"/>
      <c r="N68" s="30"/>
      <c r="O68" s="30"/>
      <c r="P68" s="30"/>
      <c r="Q68" s="30"/>
      <c r="R68" s="30"/>
      <c r="S68" s="30">
        <f>G75+342</f>
        <v>782</v>
      </c>
    </row>
    <row r="69" spans="2:19">
      <c r="B69" s="223">
        <v>3</v>
      </c>
      <c r="C69" s="223" t="s">
        <v>138</v>
      </c>
      <c r="D69" s="223">
        <v>210000</v>
      </c>
      <c r="E69" s="223">
        <v>315</v>
      </c>
      <c r="F69" s="223">
        <v>440</v>
      </c>
      <c r="G69" s="223">
        <v>1.4350000000000001</v>
      </c>
      <c r="H69" s="223">
        <v>11.364000000000001</v>
      </c>
      <c r="I69" s="30"/>
      <c r="J69" s="30"/>
      <c r="K69" s="30"/>
      <c r="L69" s="30"/>
      <c r="M69" s="360"/>
      <c r="N69" s="30"/>
      <c r="O69" s="30"/>
      <c r="P69" s="30"/>
      <c r="Q69" s="30"/>
      <c r="R69" s="30"/>
      <c r="S69" s="30">
        <f>G76+342</f>
        <v>832</v>
      </c>
    </row>
    <row r="70" spans="2:19">
      <c r="B70" s="223">
        <v>4</v>
      </c>
      <c r="C70" s="223" t="s">
        <v>153</v>
      </c>
      <c r="D70" s="223">
        <v>210000</v>
      </c>
      <c r="E70" s="223">
        <v>355</v>
      </c>
      <c r="F70" s="223">
        <v>490</v>
      </c>
      <c r="G70" s="223">
        <v>1.161</v>
      </c>
      <c r="H70" s="223">
        <v>12.064</v>
      </c>
      <c r="I70" s="30"/>
      <c r="J70" s="30"/>
      <c r="K70" s="30"/>
      <c r="L70" s="30"/>
      <c r="M70" s="360"/>
      <c r="N70" s="30"/>
      <c r="O70" s="30" t="s">
        <v>154</v>
      </c>
      <c r="P70" s="30"/>
      <c r="Q70" s="30" t="e">
        <f>2*H73*(SQRT(#REF!)/#REF!)^(2/5)</f>
        <v>#REF!</v>
      </c>
      <c r="R70" s="30"/>
      <c r="S70" s="30"/>
    </row>
    <row r="71" spans="2:19">
      <c r="B71" s="30"/>
      <c r="C71" s="30"/>
      <c r="D71" s="30"/>
      <c r="E71" s="30"/>
      <c r="F71" s="203"/>
      <c r="G71" s="203"/>
      <c r="H71" s="203"/>
      <c r="I71" s="361"/>
      <c r="J71" s="30"/>
      <c r="K71" s="30"/>
      <c r="L71" s="30"/>
      <c r="M71" s="360"/>
      <c r="N71" s="30"/>
      <c r="O71" s="30"/>
      <c r="P71" s="30"/>
      <c r="Q71" s="30"/>
      <c r="R71" s="30"/>
      <c r="S71" s="30"/>
    </row>
    <row r="72" spans="2:19">
      <c r="B72" s="223" t="s">
        <v>32</v>
      </c>
      <c r="C72" s="223" t="s">
        <v>137</v>
      </c>
      <c r="D72" s="223" t="s">
        <v>150</v>
      </c>
      <c r="E72" s="223" t="s">
        <v>155</v>
      </c>
      <c r="F72" s="223" t="s">
        <v>156</v>
      </c>
      <c r="G72" s="223" t="s">
        <v>157</v>
      </c>
      <c r="H72" s="223" t="s">
        <v>158</v>
      </c>
      <c r="I72" s="223" t="s">
        <v>159</v>
      </c>
      <c r="J72" s="246" t="s">
        <v>159</v>
      </c>
      <c r="K72" s="246" t="s">
        <v>160</v>
      </c>
      <c r="L72" s="362" t="s">
        <v>144</v>
      </c>
      <c r="M72" s="362" t="s">
        <v>142</v>
      </c>
      <c r="N72" s="246" t="s">
        <v>159</v>
      </c>
      <c r="O72" s="30"/>
      <c r="P72" s="30"/>
      <c r="Q72" s="30"/>
      <c r="R72" s="30"/>
      <c r="S72" s="30"/>
    </row>
    <row r="73" spans="2:19">
      <c r="B73" s="223">
        <v>1</v>
      </c>
      <c r="C73" s="223" t="s">
        <v>151</v>
      </c>
      <c r="D73" s="223">
        <v>210000</v>
      </c>
      <c r="E73" s="223">
        <v>2E-3</v>
      </c>
      <c r="F73" s="223">
        <v>235</v>
      </c>
      <c r="G73" s="223">
        <v>400</v>
      </c>
      <c r="H73" s="363">
        <v>0.22</v>
      </c>
      <c r="I73" s="364">
        <f>H73</f>
        <v>0.22</v>
      </c>
      <c r="J73" s="365">
        <f>LN(1+I73)</f>
        <v>0.19885085874516517</v>
      </c>
      <c r="K73" s="362">
        <f>G73*(1+I73)</f>
        <v>488</v>
      </c>
      <c r="L73" s="366">
        <f>J73</f>
        <v>0.19885085874516517</v>
      </c>
      <c r="M73" s="367">
        <f>K73/(L73^L73)</f>
        <v>672.83447635202378</v>
      </c>
      <c r="N73" s="365">
        <v>0.3</v>
      </c>
      <c r="O73" s="105">
        <f>M73*N73^L73</f>
        <v>529.58216324983221</v>
      </c>
      <c r="P73" s="30"/>
      <c r="Q73" s="30"/>
      <c r="R73" s="30"/>
      <c r="S73" s="30"/>
    </row>
    <row r="74" spans="2:19">
      <c r="B74" s="223">
        <v>2</v>
      </c>
      <c r="C74" s="223" t="s">
        <v>152</v>
      </c>
      <c r="D74" s="223">
        <v>210000</v>
      </c>
      <c r="E74" s="223">
        <v>2E-3</v>
      </c>
      <c r="F74" s="223">
        <v>265</v>
      </c>
      <c r="G74" s="223">
        <v>400</v>
      </c>
      <c r="H74" s="363">
        <v>0.22</v>
      </c>
      <c r="I74" s="364">
        <f>H74</f>
        <v>0.22</v>
      </c>
      <c r="J74" s="365">
        <f>LN(1+I74)</f>
        <v>0.19885085874516517</v>
      </c>
      <c r="K74" s="362">
        <f>G74*(1+I74)</f>
        <v>488</v>
      </c>
      <c r="L74" s="366">
        <f>J74</f>
        <v>0.19885085874516517</v>
      </c>
      <c r="M74" s="367">
        <f>K74/(L74^L74)</f>
        <v>672.83447635202378</v>
      </c>
      <c r="N74" s="365">
        <v>0.3</v>
      </c>
      <c r="O74" s="105">
        <f>M74*N74^L74</f>
        <v>529.58216324983221</v>
      </c>
      <c r="P74" s="30"/>
      <c r="Q74" s="30"/>
      <c r="R74" s="30"/>
      <c r="S74" s="30"/>
    </row>
    <row r="75" spans="2:19">
      <c r="B75" s="223">
        <v>3</v>
      </c>
      <c r="C75" s="223" t="s">
        <v>138</v>
      </c>
      <c r="D75" s="223">
        <v>210000</v>
      </c>
      <c r="E75" s="223">
        <v>2E-3</v>
      </c>
      <c r="F75" s="223">
        <v>315</v>
      </c>
      <c r="G75" s="223">
        <v>440</v>
      </c>
      <c r="H75" s="363">
        <v>0.22</v>
      </c>
      <c r="I75" s="364">
        <f>H75</f>
        <v>0.22</v>
      </c>
      <c r="J75" s="365">
        <f>LN(1+I75)</f>
        <v>0.19885085874516517</v>
      </c>
      <c r="K75" s="367">
        <f>G75*(1+I75)</f>
        <v>536.79999999999995</v>
      </c>
      <c r="L75" s="366">
        <f>J75</f>
        <v>0.19885085874516517</v>
      </c>
      <c r="M75" s="367">
        <f>K75/(L75^L75)</f>
        <v>740.11792398722605</v>
      </c>
      <c r="N75" s="365">
        <v>0.3</v>
      </c>
      <c r="O75" s="105">
        <f>M75*N75^L75</f>
        <v>582.54037957481535</v>
      </c>
      <c r="P75" s="30"/>
      <c r="Q75" s="30"/>
      <c r="R75" s="30"/>
      <c r="S75" s="30"/>
    </row>
    <row r="76" spans="2:19">
      <c r="B76" s="223">
        <v>4</v>
      </c>
      <c r="C76" s="223" t="s">
        <v>153</v>
      </c>
      <c r="D76" s="223">
        <v>210000</v>
      </c>
      <c r="E76" s="223">
        <v>2E-3</v>
      </c>
      <c r="F76" s="223">
        <v>355</v>
      </c>
      <c r="G76" s="223">
        <v>490</v>
      </c>
      <c r="H76" s="363">
        <v>0.21</v>
      </c>
      <c r="I76" s="364">
        <f>H76</f>
        <v>0.21</v>
      </c>
      <c r="J76" s="365">
        <f>LN(1+I76)</f>
        <v>0.1906203596086497</v>
      </c>
      <c r="K76" s="367">
        <f>G76*(1+I76)</f>
        <v>592.9</v>
      </c>
      <c r="L76" s="366">
        <f>J76</f>
        <v>0.1906203596086497</v>
      </c>
      <c r="M76" s="367">
        <f>K76/(L76^L76)</f>
        <v>813.19713555343526</v>
      </c>
      <c r="N76" s="365">
        <v>0.3</v>
      </c>
      <c r="O76" s="105">
        <f>M76*N76^L76</f>
        <v>646.43446902479138</v>
      </c>
      <c r="P76" s="30"/>
      <c r="Q76" s="30"/>
      <c r="R76" s="30"/>
      <c r="S76" s="30"/>
    </row>
    <row r="77" spans="2:19"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60"/>
      <c r="N77" s="30"/>
      <c r="O77" s="30"/>
      <c r="P77" s="30"/>
      <c r="Q77" s="30"/>
      <c r="R77" s="30"/>
      <c r="S77" s="30"/>
    </row>
    <row r="78" spans="2:19"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60"/>
      <c r="N78" s="30"/>
      <c r="O78" s="30"/>
      <c r="P78" s="30"/>
      <c r="Q78" s="361"/>
      <c r="R78" s="368"/>
      <c r="S78" s="30"/>
    </row>
    <row r="79" spans="2:19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60"/>
      <c r="N79" s="30"/>
      <c r="O79" s="30"/>
      <c r="P79" s="30"/>
      <c r="Q79" s="361"/>
      <c r="R79" s="30"/>
      <c r="S79" s="30"/>
    </row>
    <row r="80" spans="2:19"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60"/>
      <c r="N80" s="30"/>
      <c r="O80" s="30"/>
      <c r="P80" s="203"/>
      <c r="Q80" s="203"/>
      <c r="R80" s="30"/>
      <c r="S80" s="30"/>
    </row>
    <row r="81" spans="2:17"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60"/>
      <c r="N81" s="30"/>
      <c r="O81" s="30"/>
      <c r="P81" s="203"/>
      <c r="Q81" s="203"/>
    </row>
    <row r="82" spans="2:17"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60"/>
      <c r="N82" s="30"/>
      <c r="O82" s="30"/>
      <c r="P82" s="30"/>
      <c r="Q82" s="30"/>
    </row>
    <row r="83" spans="2:17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53" t="s">
        <v>161</v>
      </c>
      <c r="N83" s="203" t="s">
        <v>162</v>
      </c>
      <c r="O83" s="203" t="s">
        <v>163</v>
      </c>
      <c r="P83" s="203" t="s">
        <v>164</v>
      </c>
      <c r="Q83" s="203" t="s">
        <v>165</v>
      </c>
    </row>
    <row r="84" spans="2:17"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55">
        <v>0</v>
      </c>
      <c r="N84" s="369">
        <f t="shared" ref="N84:N102" si="5">(M84/$D$73)+(M84/$M$73)^(1/$L$73)</f>
        <v>0</v>
      </c>
      <c r="O84" s="369">
        <f t="shared" ref="O84:O102" si="6">(M84/$D$74)+(M84/$M$74)^(1/$L$74)</f>
        <v>0</v>
      </c>
      <c r="P84" s="369">
        <f t="shared" ref="P84:P102" si="7">(M84/$D$75)+(M84/$M$75)^(1/$L$75)</f>
        <v>0</v>
      </c>
      <c r="Q84" s="369">
        <f t="shared" ref="Q84:Q102" si="8">(M84/$D$76)+(M84/$M$76)^(1/$L$76)</f>
        <v>0</v>
      </c>
    </row>
    <row r="85" spans="2:17"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55">
        <v>50</v>
      </c>
      <c r="N85" s="369">
        <f t="shared" si="5"/>
        <v>2.4019750897369283E-4</v>
      </c>
      <c r="O85" s="369">
        <f t="shared" si="6"/>
        <v>2.4019750897369283E-4</v>
      </c>
      <c r="P85" s="369">
        <f t="shared" si="7"/>
        <v>2.3939699300835234E-4</v>
      </c>
      <c r="Q85" s="369">
        <f t="shared" si="8"/>
        <v>2.385376977981136E-4</v>
      </c>
    </row>
    <row r="86" spans="2:17"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57">
        <v>100</v>
      </c>
      <c r="N86" s="369">
        <f t="shared" si="5"/>
        <v>5.448240761742329E-4</v>
      </c>
      <c r="O86" s="369">
        <f t="shared" si="6"/>
        <v>5.448240761742329E-4</v>
      </c>
      <c r="P86" s="369">
        <f t="shared" si="7"/>
        <v>5.186893410604709E-4</v>
      </c>
      <c r="Q86" s="369">
        <f t="shared" si="8"/>
        <v>4.9298183777956282E-4</v>
      </c>
    </row>
    <row r="87" spans="2:17"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57">
        <v>235</v>
      </c>
      <c r="N87" s="369">
        <f t="shared" si="5"/>
        <v>6.1609905983193783E-3</v>
      </c>
      <c r="O87" s="369">
        <f t="shared" si="6"/>
        <v>6.1609905983193783E-3</v>
      </c>
      <c r="P87" s="369">
        <f t="shared" si="7"/>
        <v>4.2410877482117817E-3</v>
      </c>
      <c r="Q87" s="369">
        <f t="shared" si="8"/>
        <v>2.6040214757900209E-3</v>
      </c>
    </row>
    <row r="88" spans="2:17"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57">
        <v>265</v>
      </c>
      <c r="N88" s="369">
        <f t="shared" si="5"/>
        <v>1.0487526591951884E-2</v>
      </c>
      <c r="O88" s="369">
        <f t="shared" si="6"/>
        <v>1.0487526591951884E-2</v>
      </c>
      <c r="P88" s="369">
        <f t="shared" si="7"/>
        <v>6.974536120155507E-3</v>
      </c>
      <c r="Q88" s="369">
        <f t="shared" si="8"/>
        <v>4.0508898239508626E-3</v>
      </c>
    </row>
    <row r="89" spans="2:17"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57">
        <v>315</v>
      </c>
      <c r="N89" s="369">
        <f t="shared" si="5"/>
        <v>2.3503309511140911E-2</v>
      </c>
      <c r="O89" s="369">
        <f t="shared" si="6"/>
        <v>2.3503309511140911E-2</v>
      </c>
      <c r="P89" s="369">
        <f t="shared" si="7"/>
        <v>1.5124750527845818E-2</v>
      </c>
      <c r="Q89" s="369">
        <f t="shared" si="8"/>
        <v>8.4061769452366021E-3</v>
      </c>
    </row>
    <row r="90" spans="2:17"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57">
        <v>355</v>
      </c>
      <c r="N90" s="369">
        <f t="shared" si="5"/>
        <v>4.1830455626716286E-2</v>
      </c>
      <c r="O90" s="369">
        <f t="shared" si="6"/>
        <v>4.1830455626716286E-2</v>
      </c>
      <c r="P90" s="369">
        <f t="shared" si="7"/>
        <v>2.6545701070838961E-2</v>
      </c>
      <c r="Q90" s="369">
        <f t="shared" si="8"/>
        <v>1.4620520100963645E-2</v>
      </c>
    </row>
    <row r="91" spans="2:17"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70"/>
      <c r="M91" s="357">
        <v>400</v>
      </c>
      <c r="N91" s="369">
        <f t="shared" si="5"/>
        <v>7.5057904696394687E-2</v>
      </c>
      <c r="O91" s="369">
        <f t="shared" si="6"/>
        <v>7.5057904696394687E-2</v>
      </c>
      <c r="P91" s="369">
        <f t="shared" si="7"/>
        <v>4.7202189564870226E-2</v>
      </c>
      <c r="Q91" s="369">
        <f t="shared" si="8"/>
        <v>2.6087768541347905E-2</v>
      </c>
    </row>
    <row r="92" spans="2:17" ht="12.75" customHeight="1">
      <c r="B92" s="241" t="s">
        <v>166</v>
      </c>
      <c r="C92" s="241" t="s">
        <v>167</v>
      </c>
      <c r="D92" s="271" t="s">
        <v>168</v>
      </c>
      <c r="E92" s="271"/>
      <c r="F92" s="271"/>
      <c r="G92" s="271"/>
      <c r="H92" s="271"/>
      <c r="I92" s="271"/>
      <c r="J92" s="271"/>
      <c r="K92" s="30"/>
      <c r="L92" s="30"/>
      <c r="M92" s="357">
        <v>440</v>
      </c>
      <c r="N92" s="369">
        <f t="shared" si="5"/>
        <v>0.12023400616055518</v>
      </c>
      <c r="O92" s="369">
        <f t="shared" si="6"/>
        <v>0.12023400616055518</v>
      </c>
      <c r="P92" s="369">
        <f t="shared" si="7"/>
        <v>7.5248380886870928E-2</v>
      </c>
      <c r="Q92" s="369">
        <f t="shared" si="8"/>
        <v>4.1966275526459762E-2</v>
      </c>
    </row>
    <row r="93" spans="2:17" ht="12.75" customHeight="1">
      <c r="B93" s="241" t="s">
        <v>169</v>
      </c>
      <c r="C93" s="241" t="s">
        <v>167</v>
      </c>
      <c r="D93" s="271" t="s">
        <v>170</v>
      </c>
      <c r="E93" s="271"/>
      <c r="F93" s="271"/>
      <c r="G93" s="271"/>
      <c r="H93" s="271"/>
      <c r="I93" s="271"/>
      <c r="J93" s="30"/>
      <c r="K93" s="30"/>
      <c r="L93" s="30"/>
      <c r="M93" s="357">
        <v>488</v>
      </c>
      <c r="N93" s="369">
        <f>(M93/$D$73)+(M93/$M$73)^(1/$L$73)</f>
        <v>0.2011746682689747</v>
      </c>
      <c r="O93" s="369">
        <f t="shared" si="6"/>
        <v>0.2011746682689747</v>
      </c>
      <c r="P93" s="369">
        <f t="shared" si="7"/>
        <v>0.12545498400822011</v>
      </c>
      <c r="Q93" s="369">
        <f t="shared" si="8"/>
        <v>7.0960526290616693E-2</v>
      </c>
    </row>
    <row r="94" spans="2:17" ht="12.75" customHeight="1">
      <c r="B94" s="271" t="s">
        <v>171</v>
      </c>
      <c r="C94" s="271" t="s">
        <v>167</v>
      </c>
      <c r="D94" s="271" t="s">
        <v>172</v>
      </c>
      <c r="E94" s="271"/>
      <c r="F94" s="271"/>
      <c r="G94" s="271"/>
      <c r="H94" s="271"/>
      <c r="I94" s="271"/>
      <c r="J94" s="30"/>
      <c r="K94" s="30"/>
      <c r="L94" s="30"/>
      <c r="M94" s="357">
        <v>563</v>
      </c>
      <c r="N94" s="369">
        <f t="shared" si="5"/>
        <v>0.41077884913329821</v>
      </c>
      <c r="O94" s="369">
        <f t="shared" si="6"/>
        <v>0.41077884913329821</v>
      </c>
      <c r="P94" s="369">
        <f t="shared" si="7"/>
        <v>0.25538075789766279</v>
      </c>
      <c r="Q94" s="369">
        <f t="shared" si="8"/>
        <v>0.14798408450329464</v>
      </c>
    </row>
    <row r="95" spans="2:17" ht="12.75" customHeight="1">
      <c r="B95" s="271"/>
      <c r="C95" s="271"/>
      <c r="D95" s="241"/>
      <c r="E95" s="30"/>
      <c r="F95" s="30"/>
      <c r="G95" s="30"/>
      <c r="H95" s="30"/>
      <c r="I95" s="30"/>
      <c r="J95" s="30"/>
      <c r="K95" s="30"/>
      <c r="L95" s="30"/>
      <c r="M95" s="357">
        <v>638</v>
      </c>
      <c r="N95" s="369">
        <f t="shared" si="5"/>
        <v>0.76844981005359159</v>
      </c>
      <c r="O95" s="369">
        <f t="shared" si="6"/>
        <v>0.76844981005359159</v>
      </c>
      <c r="P95" s="369">
        <f t="shared" si="7"/>
        <v>0.47699150939024965</v>
      </c>
      <c r="Q95" s="369">
        <f t="shared" si="8"/>
        <v>0.28306438799648259</v>
      </c>
    </row>
    <row r="96" spans="2:17" ht="12.75" customHeight="1">
      <c r="B96" s="271"/>
      <c r="C96" s="271"/>
      <c r="D96" s="241"/>
      <c r="E96" s="30"/>
      <c r="F96" s="30"/>
      <c r="G96" s="30"/>
      <c r="H96" s="30"/>
      <c r="I96" s="30"/>
      <c r="J96" s="30"/>
      <c r="K96" s="30"/>
      <c r="L96" s="30"/>
      <c r="M96" s="357">
        <v>713</v>
      </c>
      <c r="N96" s="369">
        <f t="shared" si="5"/>
        <v>1.3419436013597956</v>
      </c>
      <c r="O96" s="369">
        <f t="shared" si="6"/>
        <v>1.3419436013597956</v>
      </c>
      <c r="P96" s="369">
        <f t="shared" si="7"/>
        <v>0.83224271259455462</v>
      </c>
      <c r="Q96" s="369">
        <f t="shared" si="8"/>
        <v>0.50506580341126861</v>
      </c>
    </row>
    <row r="97" spans="2:17" ht="12.75" customHeight="1">
      <c r="B97" s="271"/>
      <c r="C97" s="271"/>
      <c r="D97" s="371"/>
      <c r="E97" s="30"/>
      <c r="F97" s="30"/>
      <c r="G97" s="30"/>
      <c r="H97" s="30"/>
      <c r="I97" s="30"/>
      <c r="J97" s="30"/>
      <c r="K97" s="30"/>
      <c r="L97" s="30"/>
      <c r="M97" s="357">
        <v>788</v>
      </c>
      <c r="N97" s="369">
        <f t="shared" si="5"/>
        <v>2.217217023985607</v>
      </c>
      <c r="O97" s="369">
        <f t="shared" si="6"/>
        <v>2.217217023985607</v>
      </c>
      <c r="P97" s="369">
        <f t="shared" si="7"/>
        <v>1.3743599956053119</v>
      </c>
      <c r="Q97" s="369">
        <f t="shared" si="8"/>
        <v>0.85154329573315091</v>
      </c>
    </row>
    <row r="98" spans="2:17" ht="12.75" customHeight="1">
      <c r="B98" s="271"/>
      <c r="C98" s="271"/>
      <c r="D98" s="271" t="s">
        <v>173</v>
      </c>
      <c r="E98" s="271"/>
      <c r="F98" s="271"/>
      <c r="G98" s="271"/>
      <c r="H98" s="271"/>
      <c r="I98" s="271"/>
      <c r="J98" s="30"/>
      <c r="K98" s="30"/>
      <c r="L98" s="30"/>
      <c r="M98" s="357">
        <v>832</v>
      </c>
      <c r="N98" s="369">
        <f t="shared" si="5"/>
        <v>2.9129367179030869</v>
      </c>
      <c r="O98" s="369">
        <f t="shared" si="6"/>
        <v>2.9129367179030869</v>
      </c>
      <c r="P98" s="369">
        <f t="shared" si="7"/>
        <v>1.8052389399627977</v>
      </c>
      <c r="Q98" s="369">
        <f t="shared" si="8"/>
        <v>1.1313667148298414</v>
      </c>
    </row>
    <row r="99" spans="2:17" ht="12.75" customHeight="1">
      <c r="B99" s="271"/>
      <c r="C99" s="271"/>
      <c r="D99" s="371"/>
      <c r="E99" s="30"/>
      <c r="F99" s="30"/>
      <c r="G99" s="30"/>
      <c r="H99" s="30"/>
      <c r="I99" s="30"/>
      <c r="J99" s="30"/>
      <c r="K99" s="30"/>
      <c r="L99" s="30"/>
      <c r="M99" s="357">
        <v>938</v>
      </c>
      <c r="N99" s="369">
        <f t="shared" si="5"/>
        <v>5.3211688707832439</v>
      </c>
      <c r="O99" s="369">
        <f t="shared" si="6"/>
        <v>5.3211688707832439</v>
      </c>
      <c r="P99" s="369">
        <f t="shared" si="7"/>
        <v>3.2966414699733502</v>
      </c>
      <c r="Q99" s="369">
        <f t="shared" si="8"/>
        <v>2.1193700502283566</v>
      </c>
    </row>
    <row r="100" spans="2:17" ht="12.75" customHeight="1">
      <c r="B100" s="271"/>
      <c r="C100" s="271"/>
      <c r="D100" s="271" t="s">
        <v>174</v>
      </c>
      <c r="E100" s="271"/>
      <c r="F100" s="271"/>
      <c r="G100" s="271"/>
      <c r="H100" s="271"/>
      <c r="I100" s="271"/>
      <c r="J100" s="30"/>
      <c r="K100" s="30"/>
      <c r="L100" s="30"/>
      <c r="M100" s="357">
        <v>1013</v>
      </c>
      <c r="N100" s="369">
        <f t="shared" si="5"/>
        <v>7.8326403638840123</v>
      </c>
      <c r="O100" s="369">
        <f t="shared" si="6"/>
        <v>7.8326403638840123</v>
      </c>
      <c r="P100" s="369">
        <f t="shared" si="7"/>
        <v>4.8519150017328014</v>
      </c>
      <c r="Q100" s="369">
        <f t="shared" si="8"/>
        <v>3.1710546333452525</v>
      </c>
    </row>
    <row r="101" spans="2:17" ht="12.75" customHeight="1">
      <c r="B101" s="241" t="s">
        <v>175</v>
      </c>
      <c r="C101" s="271" t="s">
        <v>167</v>
      </c>
      <c r="D101" s="271" t="s">
        <v>176</v>
      </c>
      <c r="E101" s="271"/>
      <c r="F101" s="271"/>
      <c r="G101" s="271"/>
      <c r="H101" s="271"/>
      <c r="I101" s="271"/>
      <c r="J101" s="30"/>
      <c r="K101" s="30"/>
      <c r="L101" s="30"/>
      <c r="M101" s="357">
        <v>1088</v>
      </c>
      <c r="N101" s="369">
        <f t="shared" si="5"/>
        <v>11.215918421406069</v>
      </c>
      <c r="O101" s="369">
        <f t="shared" si="6"/>
        <v>11.215918421406069</v>
      </c>
      <c r="P101" s="369">
        <f t="shared" si="7"/>
        <v>6.9470230953232441</v>
      </c>
      <c r="Q101" s="369">
        <f t="shared" si="8"/>
        <v>4.6106250752872517</v>
      </c>
    </row>
    <row r="102" spans="2:17">
      <c r="B102" s="241"/>
      <c r="C102" s="271"/>
      <c r="D102" s="241"/>
      <c r="E102" s="30"/>
      <c r="F102" s="30"/>
      <c r="G102" s="30"/>
      <c r="H102" s="30"/>
      <c r="I102" s="30"/>
      <c r="J102" s="30"/>
      <c r="K102" s="30"/>
      <c r="L102" s="30"/>
      <c r="M102" s="357">
        <v>1163</v>
      </c>
      <c r="N102" s="369">
        <f t="shared" si="5"/>
        <v>15.681160738035276</v>
      </c>
      <c r="O102" s="369">
        <f t="shared" si="6"/>
        <v>15.681160738035276</v>
      </c>
      <c r="P102" s="369">
        <f t="shared" si="7"/>
        <v>9.7120982728614962</v>
      </c>
      <c r="Q102" s="369">
        <f t="shared" si="8"/>
        <v>6.5390752528200888</v>
      </c>
    </row>
    <row r="103" spans="2:17">
      <c r="B103" s="241"/>
      <c r="C103" s="271"/>
      <c r="D103" s="241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</row>
    <row r="104" spans="2:17">
      <c r="B104" s="203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</row>
    <row r="106" spans="2:17" s="247" customFormat="1" ht="15">
      <c r="B106" s="245" t="s">
        <v>177</v>
      </c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</row>
    <row r="107" spans="2:17" ht="22.5">
      <c r="B107" s="243" t="s">
        <v>178</v>
      </c>
      <c r="C107" s="243" t="s">
        <v>179</v>
      </c>
      <c r="D107" s="243" t="s">
        <v>180</v>
      </c>
      <c r="E107" s="243" t="s">
        <v>181</v>
      </c>
      <c r="F107" s="243" t="s">
        <v>182</v>
      </c>
      <c r="G107" s="243" t="s">
        <v>183</v>
      </c>
      <c r="H107" s="243" t="s">
        <v>184</v>
      </c>
      <c r="I107" s="243" t="s">
        <v>185</v>
      </c>
      <c r="J107" s="243" t="s">
        <v>186</v>
      </c>
      <c r="K107" s="30"/>
      <c r="L107" s="30"/>
      <c r="M107" s="30"/>
      <c r="N107" s="30"/>
      <c r="O107" s="30"/>
      <c r="P107" s="30"/>
      <c r="Q107" s="30"/>
    </row>
    <row r="108" spans="2:17" s="247" customFormat="1">
      <c r="B108" s="244">
        <v>32</v>
      </c>
      <c r="C108" s="244">
        <v>14</v>
      </c>
      <c r="D108" s="244">
        <v>16</v>
      </c>
      <c r="E108" s="244">
        <v>17</v>
      </c>
      <c r="F108" s="244">
        <v>18</v>
      </c>
      <c r="G108" s="244">
        <v>19</v>
      </c>
      <c r="H108" s="244">
        <v>20</v>
      </c>
      <c r="I108" s="244">
        <v>21</v>
      </c>
      <c r="J108" s="244">
        <v>22</v>
      </c>
      <c r="K108" s="30"/>
      <c r="L108" s="30"/>
      <c r="M108" s="30"/>
      <c r="N108" s="30"/>
      <c r="O108" s="30"/>
      <c r="P108" s="30"/>
      <c r="Q108" s="30"/>
    </row>
    <row r="109" spans="2:17" s="247" customFormat="1">
      <c r="B109" s="244">
        <v>36</v>
      </c>
      <c r="C109" s="244">
        <v>13</v>
      </c>
      <c r="D109" s="244">
        <v>15</v>
      </c>
      <c r="E109" s="244">
        <v>16</v>
      </c>
      <c r="F109" s="244">
        <v>17</v>
      </c>
      <c r="G109" s="244">
        <v>18</v>
      </c>
      <c r="H109" s="244">
        <v>19</v>
      </c>
      <c r="I109" s="244">
        <v>20</v>
      </c>
      <c r="J109" s="244">
        <v>21</v>
      </c>
      <c r="K109" s="30"/>
      <c r="L109" s="30"/>
      <c r="M109" s="30"/>
      <c r="N109" s="30"/>
      <c r="O109" s="30"/>
      <c r="P109" s="30"/>
      <c r="Q109" s="30"/>
    </row>
    <row r="110" spans="2:17" s="247" customFormat="1">
      <c r="B110" s="244">
        <v>40</v>
      </c>
      <c r="C110" s="244">
        <v>12</v>
      </c>
      <c r="D110" s="244">
        <v>14</v>
      </c>
      <c r="E110" s="244">
        <v>15</v>
      </c>
      <c r="F110" s="244">
        <v>16</v>
      </c>
      <c r="G110" s="244">
        <v>17</v>
      </c>
      <c r="H110" s="244">
        <v>18</v>
      </c>
      <c r="I110" s="244">
        <v>19</v>
      </c>
      <c r="J110" s="244">
        <v>20</v>
      </c>
      <c r="K110" s="30"/>
      <c r="L110" s="30"/>
      <c r="M110" s="30"/>
      <c r="N110" s="30"/>
      <c r="O110" s="30"/>
      <c r="P110" s="30"/>
      <c r="Q110" s="30"/>
    </row>
    <row r="111" spans="2:17" s="247" customFormat="1"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</row>
    <row r="112" spans="2:17" s="247" customFormat="1"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</row>
    <row r="113" spans="2:18" s="247" customFormat="1">
      <c r="B113" s="30" t="s">
        <v>160</v>
      </c>
      <c r="C113" s="248">
        <v>488</v>
      </c>
      <c r="D113" s="30"/>
      <c r="E113" s="30"/>
      <c r="F113" s="30"/>
      <c r="G113" s="30"/>
      <c r="H113" s="30"/>
      <c r="I113" s="30"/>
      <c r="J113" s="30"/>
      <c r="K113" s="30"/>
      <c r="L113" s="30"/>
      <c r="M113" s="30" t="s">
        <v>154</v>
      </c>
      <c r="N113" s="30"/>
      <c r="O113" s="30"/>
      <c r="P113" s="30"/>
      <c r="Q113" s="30"/>
      <c r="R113" s="30"/>
    </row>
    <row r="114" spans="2:18">
      <c r="B114" s="45" t="s">
        <v>187</v>
      </c>
      <c r="C114" s="30" t="s">
        <v>188</v>
      </c>
      <c r="D114" s="30">
        <f>1.5*C113</f>
        <v>732</v>
      </c>
      <c r="E114" s="30">
        <f>C113+342</f>
        <v>830</v>
      </c>
      <c r="F114" s="30">
        <f>C113/3.42</f>
        <v>142.69005847953215</v>
      </c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</row>
    <row r="115" spans="2:18">
      <c r="B115" s="203" t="s">
        <v>189</v>
      </c>
      <c r="C115" s="30">
        <v>-8.6999999999999994E-2</v>
      </c>
      <c r="D115" s="30">
        <v>-8.6999999999999994E-2</v>
      </c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</row>
    <row r="116" spans="2:18">
      <c r="B116" s="45" t="s">
        <v>190</v>
      </c>
      <c r="C116" s="30" t="s">
        <v>191</v>
      </c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</row>
    <row r="117" spans="2:18">
      <c r="B117" s="203" t="s">
        <v>192</v>
      </c>
      <c r="C117" s="30">
        <v>-0.57999999999999996</v>
      </c>
      <c r="D117" s="30">
        <v>-0.57999999999999996</v>
      </c>
      <c r="E117" s="30"/>
      <c r="F117" s="30"/>
      <c r="G117" s="203" t="s">
        <v>193</v>
      </c>
      <c r="H117" s="203" t="s">
        <v>189</v>
      </c>
      <c r="I117" s="203" t="s">
        <v>194</v>
      </c>
      <c r="J117" s="30" t="s">
        <v>195</v>
      </c>
      <c r="K117" s="203" t="s">
        <v>196</v>
      </c>
      <c r="L117" s="203" t="s">
        <v>197</v>
      </c>
      <c r="M117" s="203" t="s">
        <v>198</v>
      </c>
      <c r="N117" s="203" t="s">
        <v>199</v>
      </c>
      <c r="O117" s="203" t="s">
        <v>200</v>
      </c>
      <c r="P117" s="203" t="s">
        <v>201</v>
      </c>
      <c r="Q117" s="30"/>
      <c r="R117" s="203" t="s">
        <v>159</v>
      </c>
    </row>
    <row r="118" spans="2:18">
      <c r="B118" s="45" t="s">
        <v>202</v>
      </c>
      <c r="C118" s="30"/>
      <c r="D118" s="30"/>
      <c r="E118" s="30"/>
      <c r="F118" s="30"/>
      <c r="G118" s="203">
        <v>25</v>
      </c>
      <c r="H118" s="203">
        <v>50</v>
      </c>
      <c r="I118" s="203">
        <f>G118*H118</f>
        <v>1250</v>
      </c>
      <c r="J118" s="30">
        <f>5.65*SQRT(I118)</f>
        <v>199.7576656851997</v>
      </c>
      <c r="K118" s="30">
        <f>J118+2*SQRT(I118)</f>
        <v>270.46834380385445</v>
      </c>
      <c r="L118" s="349">
        <v>0.22</v>
      </c>
      <c r="M118" s="372">
        <f>2*L118*(SQRT(I118)/J118)^0.4</f>
        <v>0.22010671762418438</v>
      </c>
      <c r="N118" s="30">
        <f>J118*I118</f>
        <v>249697.08210649961</v>
      </c>
      <c r="O118" s="373">
        <f>(L118+1)*J118</f>
        <v>243.70435213594362</v>
      </c>
      <c r="P118" s="373">
        <f>I118*J118/O118</f>
        <v>1024.5901639344263</v>
      </c>
      <c r="Q118" s="374">
        <f>(I118-P118)/I118</f>
        <v>0.18032786885245897</v>
      </c>
      <c r="R118" s="30">
        <f>LN(I118/P118)</f>
        <v>0.19885085874516517</v>
      </c>
    </row>
    <row r="119" spans="2:18">
      <c r="B119" s="45" t="s">
        <v>203</v>
      </c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</row>
    <row r="120" spans="2:18">
      <c r="B120" s="203" t="s">
        <v>204</v>
      </c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</row>
    <row r="121" spans="2:18">
      <c r="B121" s="203" t="s">
        <v>205</v>
      </c>
      <c r="C121" s="30" t="s">
        <v>206</v>
      </c>
      <c r="D121" s="30">
        <f>1.65*C113</f>
        <v>805.19999999999993</v>
      </c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</row>
    <row r="122" spans="2:18">
      <c r="B122" s="203" t="s">
        <v>207</v>
      </c>
      <c r="C122" s="30">
        <v>0.15</v>
      </c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</row>
  </sheetData>
  <mergeCells count="9">
    <mergeCell ref="D92:J92"/>
    <mergeCell ref="D93:I93"/>
    <mergeCell ref="D94:I94"/>
    <mergeCell ref="D98:I98"/>
    <mergeCell ref="D100:I100"/>
    <mergeCell ref="D101:I101"/>
    <mergeCell ref="B94:B100"/>
    <mergeCell ref="C94:C100"/>
    <mergeCell ref="C101:C103"/>
  </mergeCells>
  <phoneticPr fontId="2" type="noConversion"/>
  <pageMargins left="0.59055118110236227" right="0.38" top="0.98425196850393704" bottom="0.98425196850393704" header="0.51181102362204722" footer="0.51181102362204722"/>
  <pageSetup paperSize="9" orientation="landscape" blackAndWhite="1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9156" r:id="rId4">
          <objectPr defaultSize="0" autoPict="0" r:id="rId5">
            <anchor moveWithCells="1">
              <from>
                <xdr:col>1</xdr:col>
                <xdr:colOff>9525</xdr:colOff>
                <xdr:row>3</xdr:row>
                <xdr:rowOff>123825</xdr:rowOff>
              </from>
              <to>
                <xdr:col>3</xdr:col>
                <xdr:colOff>485775</xdr:colOff>
                <xdr:row>7</xdr:row>
                <xdr:rowOff>47625</xdr:rowOff>
              </to>
            </anchor>
          </objectPr>
        </oleObject>
      </mc:Choice>
      <mc:Fallback>
        <oleObject progId="Equation.3" shapeId="49156" r:id="rId4"/>
      </mc:Fallback>
    </mc:AlternateContent>
    <mc:AlternateContent xmlns:mc="http://schemas.openxmlformats.org/markup-compatibility/2006">
      <mc:Choice Requires="x14">
        <oleObject progId="Equation.3" shapeId="49159" r:id="rId6">
          <objectPr defaultSize="0" autoPict="0" r:id="rId7">
            <anchor moveWithCells="1">
              <from>
                <xdr:col>4</xdr:col>
                <xdr:colOff>466725</xdr:colOff>
                <xdr:row>3</xdr:row>
                <xdr:rowOff>133350</xdr:rowOff>
              </from>
              <to>
                <xdr:col>8</xdr:col>
                <xdr:colOff>142875</xdr:colOff>
                <xdr:row>7</xdr:row>
                <xdr:rowOff>95250</xdr:rowOff>
              </to>
            </anchor>
          </objectPr>
        </oleObject>
      </mc:Choice>
      <mc:Fallback>
        <oleObject progId="Equation.3" shapeId="49159" r:id="rId6"/>
      </mc:Fallback>
    </mc:AlternateContent>
    <mc:AlternateContent xmlns:mc="http://schemas.openxmlformats.org/markup-compatibility/2006">
      <mc:Choice Requires="x14">
        <oleObject progId="Equation.3" shapeId="49166" r:id="rId8">
          <objectPr defaultSize="0" autoPict="0" r:id="rId5">
            <anchor moveWithCells="1">
              <from>
                <xdr:col>9</xdr:col>
                <xdr:colOff>28575</xdr:colOff>
                <xdr:row>65</xdr:row>
                <xdr:rowOff>95250</xdr:rowOff>
              </from>
              <to>
                <xdr:col>12</xdr:col>
                <xdr:colOff>114300</xdr:colOff>
                <xdr:row>69</xdr:row>
                <xdr:rowOff>19050</xdr:rowOff>
              </to>
            </anchor>
          </objectPr>
        </oleObject>
      </mc:Choice>
      <mc:Fallback>
        <oleObject progId="Equation.3" shapeId="49166" r:id="rId8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73D6-AB2C-465B-A74F-CBFAA10117D7}">
  <sheetPr codeName="Sheet7111"/>
  <dimension ref="A3:AJ164"/>
  <sheetViews>
    <sheetView showGridLines="0" topLeftCell="A37" workbookViewId="0">
      <selection activeCell="D120" sqref="D120"/>
    </sheetView>
  </sheetViews>
  <sheetFormatPr defaultRowHeight="12.75"/>
  <cols>
    <col min="1" max="1" width="4.83203125" style="206" customWidth="1"/>
    <col min="2" max="14" width="9.5" style="206" customWidth="1"/>
    <col min="15" max="15" width="9.83203125" style="206" customWidth="1"/>
    <col min="16" max="16" width="12.1640625" style="206" customWidth="1"/>
    <col min="17" max="17" width="11.83203125" style="206" customWidth="1"/>
    <col min="18" max="18" width="11.6640625" style="206" customWidth="1"/>
    <col min="19" max="19" width="12.83203125" style="206" customWidth="1"/>
    <col min="20" max="20" width="13.1640625" style="206" customWidth="1"/>
    <col min="21" max="21" width="9.6640625" style="206" customWidth="1"/>
    <col min="22" max="22" width="9.83203125" style="206" bestFit="1" customWidth="1"/>
    <col min="23" max="23" width="10" style="206" customWidth="1"/>
    <col min="24" max="24" width="12.5" style="206" customWidth="1"/>
    <col min="25" max="25" width="10" style="206" customWidth="1"/>
    <col min="26" max="16384" width="9.33203125" style="206"/>
  </cols>
  <sheetData>
    <row r="3" spans="1:36" ht="15" customHeight="1">
      <c r="A3" s="30"/>
      <c r="B3" s="30">
        <v>4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</row>
    <row r="5" spans="1:36">
      <c r="A5" s="30"/>
      <c r="B5" s="375" t="s">
        <v>208</v>
      </c>
      <c r="C5" s="376"/>
      <c r="D5" s="376"/>
      <c r="E5" s="376"/>
      <c r="F5" s="228" t="s">
        <v>209</v>
      </c>
      <c r="G5" s="229">
        <f>VLOOKUP(B3,$U$7:$AF$99,2,FALSE)</f>
        <v>206000</v>
      </c>
      <c r="H5" s="30"/>
      <c r="I5" s="232" t="s">
        <v>210</v>
      </c>
      <c r="J5" s="376"/>
      <c r="K5" s="376"/>
      <c r="L5" s="376"/>
      <c r="M5" s="228" t="s">
        <v>211</v>
      </c>
      <c r="N5" s="377">
        <f>VLOOKUP(B3,$U$7:$AF$99,7,FALSE)</f>
        <v>1103</v>
      </c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>
        <f>X7+50*6.895</f>
        <v>834.75</v>
      </c>
      <c r="AB5" s="30"/>
      <c r="AC5" s="30"/>
      <c r="AD5" s="30"/>
      <c r="AE5" s="30"/>
      <c r="AF5" s="30"/>
      <c r="AG5" s="30"/>
      <c r="AH5" s="30"/>
      <c r="AI5" s="30"/>
      <c r="AJ5" s="30"/>
    </row>
    <row r="6" spans="1:36">
      <c r="A6" s="30"/>
      <c r="B6" s="375" t="s">
        <v>212</v>
      </c>
      <c r="C6" s="376"/>
      <c r="D6" s="376"/>
      <c r="E6" s="376"/>
      <c r="F6" s="230" t="s">
        <v>213</v>
      </c>
      <c r="G6" s="231">
        <f>VLOOKUP(B3,$U$7:$AF$99,3,FALSE)</f>
        <v>355</v>
      </c>
      <c r="H6" s="30"/>
      <c r="I6" s="232" t="s">
        <v>214</v>
      </c>
      <c r="J6" s="376"/>
      <c r="K6" s="376"/>
      <c r="L6" s="376"/>
      <c r="M6" s="228" t="s">
        <v>215</v>
      </c>
      <c r="N6" s="377">
        <f>VLOOKUP(B3,$U$7:$AF$99,8,FALSE)</f>
        <v>0.16039999999999999</v>
      </c>
      <c r="O6" s="30"/>
      <c r="P6" s="30"/>
      <c r="Q6" s="30"/>
      <c r="R6" s="30"/>
      <c r="S6" s="30"/>
      <c r="T6" s="30"/>
      <c r="U6" s="30"/>
      <c r="V6" s="203" t="s">
        <v>150</v>
      </c>
      <c r="W6" s="203" t="s">
        <v>156</v>
      </c>
      <c r="X6" s="203" t="s">
        <v>216</v>
      </c>
      <c r="Y6" s="203" t="s">
        <v>142</v>
      </c>
      <c r="Z6" s="203" t="s">
        <v>144</v>
      </c>
      <c r="AA6" s="203" t="s">
        <v>211</v>
      </c>
      <c r="AB6" s="203" t="s">
        <v>215</v>
      </c>
      <c r="AC6" s="45" t="s">
        <v>217</v>
      </c>
      <c r="AD6" s="203" t="s">
        <v>218</v>
      </c>
      <c r="AE6" s="45" t="s">
        <v>219</v>
      </c>
      <c r="AF6" s="203" t="s">
        <v>220</v>
      </c>
      <c r="AG6" s="203" t="s">
        <v>221</v>
      </c>
      <c r="AH6" s="203" t="s">
        <v>222</v>
      </c>
      <c r="AI6" s="30"/>
      <c r="AJ6" s="30"/>
    </row>
    <row r="7" spans="1:36">
      <c r="A7" s="30"/>
      <c r="B7" s="375" t="s">
        <v>223</v>
      </c>
      <c r="C7" s="376"/>
      <c r="D7" s="376"/>
      <c r="E7" s="376"/>
      <c r="F7" s="230" t="s">
        <v>224</v>
      </c>
      <c r="G7" s="377">
        <f>VLOOKUP(B3,$U$7:$AF$99,4,FALSE)</f>
        <v>490</v>
      </c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203">
        <v>1</v>
      </c>
      <c r="V7" s="378">
        <v>206000</v>
      </c>
      <c r="W7" s="203"/>
      <c r="X7" s="203">
        <v>490</v>
      </c>
      <c r="Y7" s="203">
        <v>1255</v>
      </c>
      <c r="Z7" s="203">
        <v>0.21</v>
      </c>
      <c r="AA7" s="203">
        <v>1255</v>
      </c>
      <c r="AB7" s="369">
        <v>0.21</v>
      </c>
      <c r="AC7" s="203">
        <v>1127</v>
      </c>
      <c r="AD7" s="203">
        <v>-0.1197</v>
      </c>
      <c r="AE7" s="203">
        <v>0.6</v>
      </c>
      <c r="AF7" s="203">
        <v>-0.56999999999999995</v>
      </c>
      <c r="AG7" s="203"/>
      <c r="AH7" s="203"/>
      <c r="AI7" s="30" t="s">
        <v>225</v>
      </c>
      <c r="AJ7" s="30"/>
    </row>
    <row r="8" spans="1:36">
      <c r="A8" s="30"/>
      <c r="B8" s="30"/>
      <c r="C8" s="30"/>
      <c r="D8" s="30"/>
      <c r="E8" s="30"/>
      <c r="F8" s="30"/>
      <c r="G8" s="30"/>
      <c r="H8" s="30"/>
      <c r="I8" s="375" t="s">
        <v>226</v>
      </c>
      <c r="J8" s="376"/>
      <c r="K8" s="376"/>
      <c r="L8" s="376"/>
      <c r="M8" s="230" t="s">
        <v>217</v>
      </c>
      <c r="N8" s="377">
        <f>VLOOKUP(B3,$U$7:$AF$99,9,FALSE)</f>
        <v>986.93897770790977</v>
      </c>
      <c r="O8" s="30"/>
      <c r="P8" s="30"/>
      <c r="Q8" s="30"/>
      <c r="R8" s="30"/>
      <c r="S8" s="30"/>
      <c r="T8" s="30"/>
      <c r="U8" s="203">
        <v>2</v>
      </c>
      <c r="V8" s="378">
        <v>206000</v>
      </c>
      <c r="W8" s="203"/>
      <c r="X8" s="203"/>
      <c r="Y8" s="203"/>
      <c r="Z8" s="203"/>
      <c r="AA8" s="203"/>
      <c r="AB8" s="369">
        <f>AD8/AF8</f>
        <v>0.22514071294559099</v>
      </c>
      <c r="AC8" s="379">
        <v>1112.4000000000001</v>
      </c>
      <c r="AD8" s="203">
        <v>-0.12</v>
      </c>
      <c r="AE8" s="203">
        <v>0.439</v>
      </c>
      <c r="AF8" s="203">
        <v>-0.53300000000000003</v>
      </c>
      <c r="AG8" s="203"/>
      <c r="AH8" s="203"/>
      <c r="AI8" s="30" t="s">
        <v>227</v>
      </c>
      <c r="AJ8" s="30"/>
    </row>
    <row r="9" spans="1:36">
      <c r="A9" s="30"/>
      <c r="B9" s="30"/>
      <c r="C9" s="30"/>
      <c r="D9" s="30"/>
      <c r="E9" s="30"/>
      <c r="F9" s="30"/>
      <c r="G9" s="30"/>
      <c r="H9" s="30"/>
      <c r="I9" s="375" t="s">
        <v>228</v>
      </c>
      <c r="J9" s="376"/>
      <c r="K9" s="376"/>
      <c r="L9" s="376"/>
      <c r="M9" s="228" t="s">
        <v>218</v>
      </c>
      <c r="N9" s="377">
        <f>VLOOKUP(B3,$U$7:$AF$99,10,FALSE)</f>
        <v>-8.9012208657047717E-2</v>
      </c>
      <c r="O9" s="30"/>
      <c r="P9" s="30"/>
      <c r="Q9" s="30"/>
      <c r="R9" s="30"/>
      <c r="S9" s="30"/>
      <c r="T9" s="30"/>
      <c r="U9" s="203">
        <v>3</v>
      </c>
      <c r="V9" s="378">
        <v>206000</v>
      </c>
      <c r="W9" s="203">
        <v>235</v>
      </c>
      <c r="X9" s="203">
        <v>400</v>
      </c>
      <c r="Y9" s="203"/>
      <c r="Z9" s="203"/>
      <c r="AA9" s="203">
        <v>991.4</v>
      </c>
      <c r="AB9" s="203">
        <v>0.1613</v>
      </c>
      <c r="AC9" s="203">
        <v>571.70000000000005</v>
      </c>
      <c r="AD9" s="203">
        <f>-0.0682</f>
        <v>-6.8199999999999997E-2</v>
      </c>
      <c r="AE9" s="203">
        <v>5.4100000000000002E-2</v>
      </c>
      <c r="AF9" s="203">
        <v>-0.44769999999999999</v>
      </c>
      <c r="AG9" s="203">
        <v>1748</v>
      </c>
      <c r="AH9" s="203">
        <v>-5.6786000000000003</v>
      </c>
      <c r="AI9" s="30" t="s">
        <v>229</v>
      </c>
      <c r="AJ9" s="30"/>
    </row>
    <row r="10" spans="1:36">
      <c r="A10" s="30"/>
      <c r="B10" s="375" t="s">
        <v>230</v>
      </c>
      <c r="C10" s="376"/>
      <c r="D10" s="376"/>
      <c r="E10" s="376"/>
      <c r="F10" s="228" t="s">
        <v>142</v>
      </c>
      <c r="G10" s="377">
        <f>VLOOKUP(B3,$U$7:$AF$99,5,FALSE)</f>
        <v>0</v>
      </c>
      <c r="H10" s="30"/>
      <c r="I10" s="375" t="s">
        <v>231</v>
      </c>
      <c r="J10" s="376"/>
      <c r="K10" s="376"/>
      <c r="L10" s="376"/>
      <c r="M10" s="230" t="s">
        <v>219</v>
      </c>
      <c r="N10" s="377">
        <f>VLOOKUP(B3,$U$7:$AF$99,11,FALSE)</f>
        <v>0.5</v>
      </c>
      <c r="O10" s="30"/>
      <c r="P10" s="30"/>
      <c r="Q10" s="30"/>
      <c r="R10" s="30"/>
      <c r="S10" s="30"/>
      <c r="T10" s="30"/>
      <c r="U10" s="203">
        <v>4</v>
      </c>
      <c r="V10" s="378">
        <v>206000</v>
      </c>
      <c r="W10" s="203">
        <v>355</v>
      </c>
      <c r="X10" s="203">
        <v>490</v>
      </c>
      <c r="Y10" s="203"/>
      <c r="Z10" s="203"/>
      <c r="AA10" s="203">
        <v>1103</v>
      </c>
      <c r="AB10" s="203">
        <v>0.16039999999999999</v>
      </c>
      <c r="AC10" s="380">
        <f>AA10*AE10^AB10</f>
        <v>986.93897770790977</v>
      </c>
      <c r="AD10" s="381">
        <f>-AB10/(1+5*AB10)</f>
        <v>-8.9012208657047717E-2</v>
      </c>
      <c r="AE10" s="382">
        <v>0.5</v>
      </c>
      <c r="AF10" s="381">
        <f>-1/(1+5*AB10)</f>
        <v>-0.55493895671476134</v>
      </c>
      <c r="AG10" s="203">
        <v>2436</v>
      </c>
      <c r="AH10" s="203">
        <v>-5.5460000000000003</v>
      </c>
      <c r="AI10" s="30" t="s">
        <v>232</v>
      </c>
      <c r="AJ10" s="30"/>
    </row>
    <row r="11" spans="1:36">
      <c r="A11" s="30"/>
      <c r="B11" s="375" t="s">
        <v>233</v>
      </c>
      <c r="C11" s="376"/>
      <c r="D11" s="376"/>
      <c r="E11" s="376"/>
      <c r="F11" s="228" t="s">
        <v>144</v>
      </c>
      <c r="G11" s="377">
        <f>VLOOKUP(B3,$U$7:$AF$99,6,FALSE)</f>
        <v>0</v>
      </c>
      <c r="H11" s="30"/>
      <c r="I11" s="375" t="s">
        <v>234</v>
      </c>
      <c r="J11" s="376"/>
      <c r="K11" s="376"/>
      <c r="L11" s="376"/>
      <c r="M11" s="228" t="s">
        <v>220</v>
      </c>
      <c r="N11" s="377">
        <f>VLOOKUP(B3,$U$7:$AF$99,12,FALSE)</f>
        <v>-0.55493895671476134</v>
      </c>
      <c r="O11" s="30"/>
      <c r="P11" s="30"/>
      <c r="Q11" s="30"/>
      <c r="R11" s="30"/>
      <c r="S11" s="30"/>
      <c r="T11" s="30"/>
      <c r="U11" s="203">
        <v>5</v>
      </c>
      <c r="V11" s="378">
        <v>30000</v>
      </c>
      <c r="W11" s="182"/>
      <c r="X11" s="30"/>
      <c r="Y11" s="30"/>
      <c r="Z11" s="30"/>
      <c r="AA11" s="203">
        <v>154</v>
      </c>
      <c r="AB11" s="216">
        <v>0.123</v>
      </c>
      <c r="AC11" s="217">
        <v>169</v>
      </c>
      <c r="AD11" s="216">
        <v>-8.1000000000000003E-2</v>
      </c>
      <c r="AE11" s="216">
        <v>1.1419999999999999</v>
      </c>
      <c r="AF11" s="216">
        <v>-0.67</v>
      </c>
      <c r="AG11" s="216"/>
      <c r="AH11" s="216"/>
      <c r="AI11" s="216" t="s">
        <v>235</v>
      </c>
      <c r="AJ11" s="30"/>
    </row>
    <row r="12" spans="1:36" s="30" customFormat="1">
      <c r="M12" s="203"/>
      <c r="N12" s="203"/>
      <c r="W12" s="182"/>
      <c r="AB12" s="216"/>
      <c r="AC12" s="216"/>
      <c r="AD12" s="216"/>
      <c r="AE12" s="216"/>
      <c r="AF12" s="216"/>
      <c r="AG12" s="216"/>
      <c r="AH12" s="216"/>
      <c r="AI12" s="216"/>
    </row>
    <row r="13" spans="1:36" s="204" customFormat="1" ht="20.25">
      <c r="A13" s="30"/>
      <c r="B13" s="222" t="s">
        <v>236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222" t="s">
        <v>237</v>
      </c>
      <c r="N13" s="30"/>
      <c r="O13" s="30"/>
      <c r="P13" s="30"/>
      <c r="Q13" s="30"/>
      <c r="R13" s="30"/>
      <c r="S13" s="30"/>
      <c r="T13" s="30"/>
      <c r="U13" s="30"/>
      <c r="V13" s="30"/>
      <c r="W13" s="182"/>
      <c r="X13" s="30"/>
      <c r="Y13" s="30"/>
      <c r="Z13" s="30"/>
      <c r="AA13" s="30"/>
      <c r="AB13" s="216"/>
      <c r="AC13" s="216"/>
      <c r="AD13" s="216"/>
      <c r="AE13" s="216"/>
      <c r="AF13" s="216"/>
      <c r="AG13" s="216"/>
      <c r="AH13" s="216"/>
      <c r="AI13" s="216"/>
      <c r="AJ13" s="30"/>
    </row>
    <row r="14" spans="1:36" s="204" customFormat="1">
      <c r="A14" s="30"/>
      <c r="B14" s="30"/>
      <c r="C14" s="30"/>
      <c r="D14" s="203"/>
      <c r="E14" s="203"/>
      <c r="F14" s="203"/>
      <c r="G14" s="203"/>
      <c r="H14" s="30"/>
      <c r="I14" s="30"/>
      <c r="J14" s="30"/>
      <c r="K14" s="30"/>
      <c r="L14" s="30"/>
      <c r="M14" s="30"/>
      <c r="N14" s="216"/>
      <c r="O14" s="30"/>
      <c r="P14" s="30"/>
      <c r="Q14" s="30"/>
      <c r="R14" s="30"/>
      <c r="S14" s="30"/>
      <c r="T14" s="30"/>
      <c r="U14" s="30"/>
      <c r="V14" s="30"/>
      <c r="W14" s="182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30"/>
    </row>
    <row r="15" spans="1:36" s="204" customFormat="1" ht="14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80" t="s">
        <v>238</v>
      </c>
      <c r="N15" s="216"/>
      <c r="O15" s="30" t="s">
        <v>239</v>
      </c>
      <c r="P15" s="30"/>
      <c r="Q15" s="30"/>
      <c r="R15" s="383">
        <v>982.8</v>
      </c>
      <c r="S15" s="30"/>
      <c r="T15" s="345"/>
      <c r="U15" s="30"/>
      <c r="V15" s="30"/>
      <c r="W15" s="182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30"/>
    </row>
    <row r="16" spans="1:36" s="204" customFormat="1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216"/>
      <c r="O16" s="30" t="s">
        <v>240</v>
      </c>
      <c r="P16" s="30"/>
      <c r="Q16" s="30"/>
      <c r="R16" s="384" t="e">
        <f ca="1">neuberR(R15/2,G5,N5,N6)</f>
        <v>#NAME?</v>
      </c>
      <c r="S16" s="30"/>
      <c r="T16" s="345"/>
      <c r="U16" s="30"/>
      <c r="V16" s="30"/>
      <c r="W16" s="182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30"/>
    </row>
    <row r="17" spans="2:35" s="204" customFormat="1">
      <c r="B17" s="203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216"/>
      <c r="O17" s="30"/>
      <c r="P17" s="30"/>
      <c r="Q17" s="30"/>
      <c r="R17" s="30"/>
      <c r="S17" s="30"/>
      <c r="T17" s="30"/>
      <c r="U17" s="30"/>
      <c r="V17" s="30"/>
      <c r="W17" s="182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</row>
    <row r="18" spans="2:35" s="204" customFormat="1" ht="12.75" customHeight="1">
      <c r="B18" s="385" t="s">
        <v>25</v>
      </c>
      <c r="C18" s="233" t="s">
        <v>241</v>
      </c>
      <c r="D18" s="233" t="s">
        <v>242</v>
      </c>
      <c r="E18" s="233" t="s">
        <v>243</v>
      </c>
      <c r="F18" s="30"/>
      <c r="G18" s="30"/>
      <c r="H18" s="30"/>
      <c r="I18" s="30"/>
      <c r="J18" s="30"/>
      <c r="K18" s="30"/>
      <c r="L18" s="30"/>
      <c r="M18" t="s">
        <v>244</v>
      </c>
      <c r="N18" s="30"/>
      <c r="O18" s="30"/>
      <c r="P18" s="223">
        <v>465.6</v>
      </c>
      <c r="Q18" s="386">
        <f>ROUND(P18/$G$5+(P18/$N$5)^(1/$N$6),6)</f>
        <v>6.8820000000000001E-3</v>
      </c>
      <c r="R18" s="387">
        <v>171.1</v>
      </c>
      <c r="S18" s="388">
        <v>1.2837E-3</v>
      </c>
      <c r="T18" s="345"/>
      <c r="U18" s="30"/>
      <c r="V18" s="30"/>
      <c r="W18" s="182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</row>
    <row r="19" spans="2:35" s="204" customFormat="1">
      <c r="B19" s="389">
        <v>1</v>
      </c>
      <c r="C19" s="390">
        <f>$N$8/$G$5*(2*B19)^$N$9</f>
        <v>4.5043044374440218E-3</v>
      </c>
      <c r="D19" s="390">
        <f>$N$10*(2*B19)^$N$11</f>
        <v>0.34034292940379524</v>
      </c>
      <c r="E19" s="390">
        <f>($N$8/$G$5)*(2*B19)^$N$9+$N$10*(2*B19)^$N$11</f>
        <v>0.34484723384123928</v>
      </c>
      <c r="F19" s="30"/>
      <c r="G19" s="375" t="s">
        <v>245</v>
      </c>
      <c r="H19" s="376"/>
      <c r="I19" s="376"/>
      <c r="J19" s="391">
        <f>(N10*G5/N8)^(1/(N9-N11))/2</f>
        <v>10747.235723781439</v>
      </c>
      <c r="K19" s="392"/>
      <c r="L19" s="30"/>
      <c r="M19" s="30" t="s">
        <v>246</v>
      </c>
      <c r="N19" s="30"/>
      <c r="O19" s="30"/>
      <c r="P19" s="223">
        <v>66.599999999999994</v>
      </c>
      <c r="Q19" s="386">
        <f>ROUNDUP(Q18-((P18-P19)/$G$5+2*((P18-P19)/(2*$N$5))^(1/$N$6)),6)</f>
        <v>4.8989999999999997E-3</v>
      </c>
      <c r="R19" s="387">
        <v>-315.8</v>
      </c>
      <c r="S19" s="393">
        <f>ROUNDUP(S18-((R18-R19)/$G$5+2*((R18-R19)/(2*$N$5))^(1/$N$6)),6)</f>
        <v>-1.243E-3</v>
      </c>
      <c r="T19" s="30"/>
      <c r="U19" s="216"/>
      <c r="V19" s="216"/>
      <c r="W19" s="215"/>
      <c r="X19" s="220"/>
      <c r="Y19" s="221"/>
      <c r="Z19" s="220"/>
      <c r="AA19" s="220"/>
      <c r="AB19" s="220"/>
      <c r="AC19" s="220"/>
      <c r="AD19" s="220"/>
      <c r="AE19" s="216"/>
      <c r="AF19" s="216"/>
      <c r="AG19" s="216"/>
      <c r="AH19" s="216"/>
      <c r="AI19" s="216"/>
    </row>
    <row r="20" spans="2:35" s="204" customFormat="1">
      <c r="B20" s="389">
        <v>10</v>
      </c>
      <c r="C20" s="390">
        <f>$N$8/$G$5*(2*B20)^$N$9</f>
        <v>3.6695729631731678E-3</v>
      </c>
      <c r="D20" s="390">
        <f t="shared" ref="D20:D29" si="0">$N$10*(2*B20)^$N$11</f>
        <v>9.4836993121016996E-2</v>
      </c>
      <c r="E20" s="390">
        <f t="shared" ref="E20:E29" si="1">($N$8/$G$5)*(2*B20)^$N$9+$N$10*(2*B20)^$N$11</f>
        <v>9.8506566084190159E-2</v>
      </c>
      <c r="F20" s="350"/>
      <c r="G20" s="375" t="s">
        <v>247</v>
      </c>
      <c r="H20" s="376"/>
      <c r="I20" s="376"/>
      <c r="J20" s="394">
        <f>N8/G5*(J19)^N9</f>
        <v>2.0969518150358015E-3</v>
      </c>
      <c r="K20" s="30"/>
      <c r="L20" s="30"/>
      <c r="M20" s="30" t="s">
        <v>248</v>
      </c>
      <c r="N20" s="30"/>
      <c r="O20" s="30"/>
      <c r="P20" s="385">
        <f>P18-P19</f>
        <v>399</v>
      </c>
      <c r="Q20" s="386">
        <f>Q18-Q19</f>
        <v>1.9830000000000004E-3</v>
      </c>
      <c r="R20" s="387">
        <f>R18-R19</f>
        <v>486.9</v>
      </c>
      <c r="S20" s="393">
        <f>S18-S19</f>
        <v>2.5266999999999998E-3</v>
      </c>
      <c r="T20" s="227"/>
      <c r="U20" s="216"/>
      <c r="V20" s="216"/>
      <c r="W20" s="215"/>
      <c r="X20" s="220"/>
      <c r="Y20" s="221"/>
      <c r="Z20" s="220"/>
      <c r="AA20" s="220"/>
      <c r="AB20" s="220"/>
      <c r="AC20" s="220"/>
      <c r="AD20" s="220"/>
      <c r="AE20" s="216"/>
      <c r="AF20" s="216"/>
      <c r="AG20" s="216"/>
      <c r="AH20" s="216"/>
      <c r="AI20" s="216"/>
    </row>
    <row r="21" spans="2:35" s="204" customFormat="1">
      <c r="B21" s="389">
        <v>100</v>
      </c>
      <c r="C21" s="390">
        <f t="shared" ref="C21:C29" si="2">$N$8/$G$5*(2*B21)^$N$9</f>
        <v>2.9895327722769742E-3</v>
      </c>
      <c r="D21" s="390">
        <f t="shared" si="0"/>
        <v>2.6426449581283797E-2</v>
      </c>
      <c r="E21" s="390">
        <f t="shared" si="1"/>
        <v>2.9415982353560771E-2</v>
      </c>
      <c r="F21" s="350"/>
      <c r="G21" s="375" t="s">
        <v>249</v>
      </c>
      <c r="H21" s="376"/>
      <c r="I21" s="376"/>
      <c r="J21" s="394">
        <f>N10*J19^N11</f>
        <v>2.896318898575923E-3</v>
      </c>
      <c r="K21" s="30"/>
      <c r="L21" s="30"/>
      <c r="M21" t="s">
        <v>250</v>
      </c>
      <c r="N21" s="30"/>
      <c r="O21" s="30"/>
      <c r="P21" s="384">
        <f>P18-P20/2</f>
        <v>266.10000000000002</v>
      </c>
      <c r="Q21" s="395">
        <f>Q18-Q20/2</f>
        <v>5.8904999999999999E-3</v>
      </c>
      <c r="R21" s="396">
        <f>R18-R20/2</f>
        <v>-72.349999999999994</v>
      </c>
      <c r="S21" s="395">
        <f>S18-S20/2</f>
        <v>2.0350000000000142E-5</v>
      </c>
      <c r="T21" s="219"/>
      <c r="U21" s="216"/>
      <c r="V21" s="216"/>
      <c r="W21" s="215"/>
      <c r="X21" s="234"/>
      <c r="Y21" s="235"/>
      <c r="Z21" s="220"/>
      <c r="AA21" s="220"/>
      <c r="AB21" s="220"/>
      <c r="AC21" s="220"/>
      <c r="AD21" s="220"/>
      <c r="AE21" s="216"/>
      <c r="AF21" s="216"/>
      <c r="AG21" s="216"/>
      <c r="AH21" s="216"/>
      <c r="AI21" s="216"/>
    </row>
    <row r="22" spans="2:35" s="204" customFormat="1">
      <c r="B22" s="389">
        <v>1000</v>
      </c>
      <c r="C22" s="390">
        <f>$N$8/$G$5*(2*B22)^$N$9</f>
        <v>2.4355166898738395E-3</v>
      </c>
      <c r="D22" s="390">
        <f t="shared" si="0"/>
        <v>7.3637640174967775E-3</v>
      </c>
      <c r="E22" s="390">
        <f t="shared" si="1"/>
        <v>9.7992807073706174E-3</v>
      </c>
      <c r="F22" s="350"/>
      <c r="G22" s="375" t="s">
        <v>251</v>
      </c>
      <c r="H22" s="376"/>
      <c r="I22" s="376"/>
      <c r="J22" s="394">
        <f>J20+J21</f>
        <v>4.9932707136117246E-3</v>
      </c>
      <c r="K22" s="30"/>
      <c r="L22" s="30"/>
      <c r="M22" t="s">
        <v>252</v>
      </c>
      <c r="N22" s="30"/>
      <c r="O22" s="30"/>
      <c r="P22" s="397">
        <f>P20/2+P21</f>
        <v>465.6</v>
      </c>
      <c r="Q22" s="395">
        <f>Q20/2+Q21</f>
        <v>6.8820000000000001E-3</v>
      </c>
      <c r="R22" s="398">
        <f>IF(R20/2+R21&lt;R20/2,R20/2,R20/2+R21)</f>
        <v>243.45</v>
      </c>
      <c r="S22" s="395">
        <f>S20/2+S21</f>
        <v>1.2837E-3</v>
      </c>
      <c r="T22" s="216"/>
      <c r="U22" s="216"/>
      <c r="V22" s="203"/>
      <c r="W22" s="19"/>
      <c r="X22" s="203"/>
      <c r="Y22" s="19"/>
      <c r="Z22" s="221"/>
      <c r="AA22" s="220"/>
      <c r="AB22" s="220"/>
      <c r="AC22" s="220"/>
      <c r="AD22" s="220"/>
      <c r="AE22" s="216"/>
      <c r="AF22" s="216"/>
      <c r="AG22" s="216"/>
      <c r="AH22" s="216"/>
      <c r="AI22" s="216"/>
    </row>
    <row r="23" spans="2:35" s="204" customFormat="1">
      <c r="B23" s="389">
        <f>10000</f>
        <v>10000</v>
      </c>
      <c r="C23" s="390">
        <f t="shared" si="2"/>
        <v>1.9841701023187389E-3</v>
      </c>
      <c r="D23" s="390">
        <f t="shared" si="0"/>
        <v>2.0519222735007306E-3</v>
      </c>
      <c r="E23" s="390">
        <f t="shared" si="1"/>
        <v>4.0360923758194691E-3</v>
      </c>
      <c r="F23" s="30"/>
      <c r="G23" s="30"/>
      <c r="H23" s="30"/>
      <c r="I23" s="30"/>
      <c r="J23" s="30"/>
      <c r="K23" s="30"/>
      <c r="L23" s="30"/>
      <c r="M23"/>
      <c r="N23" s="30"/>
      <c r="O23" s="30"/>
      <c r="P23" s="30"/>
      <c r="Q23" s="399"/>
      <c r="R23" s="400"/>
      <c r="S23" s="400"/>
      <c r="T23" s="216"/>
      <c r="U23" s="216"/>
      <c r="V23" s="345"/>
      <c r="W23" s="401"/>
      <c r="X23" s="402"/>
      <c r="Y23" s="401"/>
      <c r="Z23" s="221"/>
      <c r="AA23" s="220"/>
      <c r="AB23" s="220"/>
      <c r="AC23" s="220"/>
      <c r="AD23" s="220"/>
      <c r="AE23" s="216"/>
      <c r="AF23" s="216"/>
      <c r="AG23" s="216"/>
      <c r="AH23" s="216"/>
      <c r="AI23" s="216"/>
    </row>
    <row r="24" spans="2:35" s="204" customFormat="1">
      <c r="B24" s="389">
        <v>100000</v>
      </c>
      <c r="C24" s="390">
        <f t="shared" si="2"/>
        <v>1.6164664406957876E-3</v>
      </c>
      <c r="D24" s="390">
        <f t="shared" si="0"/>
        <v>5.7177076919959116E-4</v>
      </c>
      <c r="E24" s="390">
        <f t="shared" si="1"/>
        <v>2.1882372098953789E-3</v>
      </c>
      <c r="F24" s="30"/>
      <c r="G24" s="403" t="s">
        <v>253</v>
      </c>
      <c r="H24" s="404"/>
      <c r="I24" s="404"/>
      <c r="J24" s="405">
        <v>1000</v>
      </c>
      <c r="K24" s="30"/>
      <c r="L24" s="30"/>
      <c r="M24"/>
      <c r="N24" s="30"/>
      <c r="O24" s="30"/>
      <c r="P24" s="30"/>
      <c r="Q24" s="30"/>
      <c r="R24" s="380"/>
      <c r="S24" s="400"/>
      <c r="T24" s="30"/>
      <c r="U24" s="216"/>
      <c r="V24" s="345"/>
      <c r="W24" s="401"/>
      <c r="X24" s="402"/>
      <c r="Y24" s="401"/>
      <c r="Z24" s="217"/>
      <c r="AA24" s="217"/>
      <c r="AB24" s="217"/>
      <c r="AC24" s="216"/>
      <c r="AD24" s="216"/>
      <c r="AE24" s="216"/>
      <c r="AF24" s="216"/>
      <c r="AG24" s="216"/>
      <c r="AH24" s="216"/>
      <c r="AI24" s="216"/>
    </row>
    <row r="25" spans="2:35" s="204" customFormat="1">
      <c r="B25" s="389">
        <v>1000000</v>
      </c>
      <c r="C25" s="390">
        <f t="shared" si="2"/>
        <v>1.3169051135495647E-3</v>
      </c>
      <c r="D25" s="390">
        <f t="shared" si="0"/>
        <v>1.5932465704626309E-4</v>
      </c>
      <c r="E25" s="390">
        <f t="shared" si="1"/>
        <v>1.4762297705958277E-3</v>
      </c>
      <c r="F25" s="30"/>
      <c r="G25" s="375" t="s">
        <v>247</v>
      </c>
      <c r="H25" s="376"/>
      <c r="I25" s="376"/>
      <c r="J25" s="406">
        <f>N8/G5*(2*J24)^N9</f>
        <v>2.4355166898738395E-3</v>
      </c>
      <c r="K25" s="30"/>
      <c r="L25" s="30"/>
      <c r="M25" s="30" t="s">
        <v>254</v>
      </c>
      <c r="N25" s="30"/>
      <c r="O25" s="30"/>
      <c r="P25" s="385" t="s">
        <v>27</v>
      </c>
      <c r="Q25" s="385" t="s">
        <v>255</v>
      </c>
      <c r="R25" s="387" t="s">
        <v>27</v>
      </c>
      <c r="S25" s="387" t="s">
        <v>255</v>
      </c>
      <c r="T25" s="30"/>
      <c r="U25" s="216"/>
      <c r="V25" s="345"/>
      <c r="W25" s="401"/>
      <c r="X25" s="402"/>
      <c r="Y25" s="401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</row>
    <row r="26" spans="2:35" s="204" customFormat="1">
      <c r="B26" s="389">
        <v>10000000</v>
      </c>
      <c r="C26" s="390">
        <f t="shared" si="2"/>
        <v>1.0728580776143484E-3</v>
      </c>
      <c r="D26" s="390">
        <f t="shared" si="0"/>
        <v>4.4396019716860245E-5</v>
      </c>
      <c r="E26" s="390">
        <f t="shared" si="1"/>
        <v>1.1172540973312087E-3</v>
      </c>
      <c r="F26" s="30"/>
      <c r="G26" s="375" t="s">
        <v>249</v>
      </c>
      <c r="H26" s="376"/>
      <c r="I26" s="376"/>
      <c r="J26" s="406">
        <f>N10*(2*J24)^N11</f>
        <v>7.3637640174967775E-3</v>
      </c>
      <c r="K26" s="30"/>
      <c r="L26" s="30"/>
      <c r="M26" s="30"/>
      <c r="N26" s="30"/>
      <c r="O26" s="30"/>
      <c r="P26" s="397" t="e">
        <f ca="1">EN_Life(Q20/2,$G$5,$N$8,$N$9,$N$10,$N$11)/2</f>
        <v>#NAME?</v>
      </c>
      <c r="Q26" s="407" t="e">
        <f ca="1">1/P26</f>
        <v>#NAME?</v>
      </c>
      <c r="R26" s="408" t="e">
        <f ca="1">EN_Life(S20/2,$G$5,$N$8,$N$9,$N$10,$N$11)/2</f>
        <v>#NAME?</v>
      </c>
      <c r="S26" s="393" t="e">
        <f ca="1">1/R26</f>
        <v>#NAME?</v>
      </c>
      <c r="T26" s="30"/>
      <c r="U26" s="216"/>
      <c r="V26" s="345"/>
      <c r="W26" s="401"/>
      <c r="X26" s="402"/>
      <c r="Y26" s="401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</row>
    <row r="27" spans="2:35" s="204" customFormat="1">
      <c r="B27" s="389">
        <v>100000000</v>
      </c>
      <c r="C27" s="390">
        <f t="shared" si="2"/>
        <v>8.7403750115291358E-4</v>
      </c>
      <c r="D27" s="390">
        <f t="shared" si="0"/>
        <v>1.2371007747579934E-5</v>
      </c>
      <c r="E27" s="390">
        <f t="shared" si="1"/>
        <v>8.8640850890049356E-4</v>
      </c>
      <c r="F27" s="30"/>
      <c r="G27" s="375" t="s">
        <v>251</v>
      </c>
      <c r="H27" s="376"/>
      <c r="I27" s="376"/>
      <c r="J27" s="406">
        <f>J25+J26</f>
        <v>9.7992807073706174E-3</v>
      </c>
      <c r="K27" s="30"/>
      <c r="L27" s="30"/>
      <c r="M27" s="30" t="s">
        <v>256</v>
      </c>
      <c r="N27" s="30"/>
      <c r="O27" s="30"/>
      <c r="P27" s="385" t="s">
        <v>27</v>
      </c>
      <c r="Q27" s="385" t="s">
        <v>255</v>
      </c>
      <c r="R27" s="387" t="s">
        <v>27</v>
      </c>
      <c r="S27" s="387" t="s">
        <v>255</v>
      </c>
      <c r="T27" s="30"/>
      <c r="U27" s="216"/>
      <c r="V27" s="345"/>
      <c r="W27" s="401"/>
      <c r="X27" s="402"/>
      <c r="Y27" s="401"/>
      <c r="Z27" s="30"/>
      <c r="AA27" s="30"/>
      <c r="AB27" s="30"/>
      <c r="AC27" s="30"/>
      <c r="AD27" s="30"/>
      <c r="AE27" s="30"/>
      <c r="AF27" s="30"/>
      <c r="AG27" s="30"/>
      <c r="AH27" s="30"/>
      <c r="AI27" s="30"/>
    </row>
    <row r="28" spans="2:35" s="204" customFormat="1">
      <c r="B28" s="389">
        <v>1000000000</v>
      </c>
      <c r="C28" s="390">
        <f t="shared" si="2"/>
        <v>7.1206207918978576E-4</v>
      </c>
      <c r="D28" s="390">
        <f t="shared" si="0"/>
        <v>3.4471971511572798E-6</v>
      </c>
      <c r="E28" s="390">
        <f t="shared" si="1"/>
        <v>7.1550927634094299E-4</v>
      </c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97" t="e">
        <f ca="1">EN_Life(Q20/2,$G$5,$N$8-P21,$N$9,$N$10,$N$11)/2</f>
        <v>#NAME?</v>
      </c>
      <c r="Q28" s="407" t="e">
        <f ca="1">1/P28</f>
        <v>#NAME?</v>
      </c>
      <c r="R28" s="408" t="e">
        <f ca="1">EN_Life(S20/2,$G$5,$N$8-R21,$N$9,$N$10,$N$11)/2</f>
        <v>#NAME?</v>
      </c>
      <c r="S28" s="393" t="e">
        <f ca="1">1/R28</f>
        <v>#NAME?</v>
      </c>
      <c r="T28" s="30"/>
      <c r="U28" s="216"/>
      <c r="V28" s="345"/>
      <c r="W28" s="401"/>
      <c r="X28" s="402"/>
      <c r="Y28" s="401"/>
      <c r="Z28" s="30"/>
      <c r="AA28" s="30"/>
      <c r="AB28" s="30"/>
      <c r="AC28" s="30"/>
      <c r="AD28" s="30"/>
      <c r="AE28" s="30"/>
      <c r="AF28" s="30"/>
      <c r="AG28" s="30"/>
      <c r="AH28" s="30"/>
      <c r="AI28" s="30"/>
    </row>
    <row r="29" spans="2:35" s="204" customFormat="1">
      <c r="B29" s="389">
        <v>10000000000</v>
      </c>
      <c r="C29" s="390">
        <f t="shared" si="2"/>
        <v>5.8010371860620546E-4</v>
      </c>
      <c r="D29" s="390">
        <f t="shared" si="0"/>
        <v>9.6056590064552458E-7</v>
      </c>
      <c r="E29" s="390">
        <f t="shared" si="1"/>
        <v>5.8106428450685097E-4</v>
      </c>
      <c r="F29" s="30"/>
      <c r="G29" s="403" t="s">
        <v>257</v>
      </c>
      <c r="H29" s="404"/>
      <c r="I29" s="409">
        <v>6.3E-3</v>
      </c>
      <c r="J29" s="410" t="e">
        <f ca="1">EN_Life(I29,G5,N8,N9,N10,N11)/2</f>
        <v>#NAME?</v>
      </c>
      <c r="K29" s="30"/>
      <c r="L29" s="30"/>
      <c r="M29" s="30" t="s">
        <v>258</v>
      </c>
      <c r="N29" s="30"/>
      <c r="O29" s="30"/>
      <c r="P29" s="385" t="s">
        <v>27</v>
      </c>
      <c r="Q29" s="385" t="s">
        <v>255</v>
      </c>
      <c r="R29" s="387" t="s">
        <v>27</v>
      </c>
      <c r="S29" s="387" t="s">
        <v>255</v>
      </c>
      <c r="T29" s="30"/>
      <c r="U29" s="30"/>
      <c r="V29" s="345"/>
      <c r="W29" s="401"/>
      <c r="X29" s="402"/>
      <c r="Y29" s="401"/>
      <c r="Z29" s="30"/>
      <c r="AA29" s="30"/>
      <c r="AB29" s="30"/>
      <c r="AC29" s="30"/>
      <c r="AD29" s="30"/>
      <c r="AE29" s="30"/>
      <c r="AF29" s="30"/>
      <c r="AG29" s="30"/>
      <c r="AH29" s="30"/>
      <c r="AI29" s="30"/>
    </row>
    <row r="30" spans="2:35" s="204" customFormat="1">
      <c r="B30" s="345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97" t="e">
        <f ca="1">swt_life(O33,$G$5,$N$8,$N$9,$N$10,$N$11)/2</f>
        <v>#NAME?</v>
      </c>
      <c r="Q30" s="407" t="e">
        <f ca="1">1/P30</f>
        <v>#NAME?</v>
      </c>
      <c r="R30" s="408" t="e">
        <f ca="1">swt_life(S20/2,R20/2,$G$5,$N$8,$N$9,$N$10,$N$11)/2</f>
        <v>#NAME?</v>
      </c>
      <c r="S30" s="393" t="e">
        <f ca="1">1/R30</f>
        <v>#NAME?</v>
      </c>
      <c r="T30" s="411" t="e">
        <f ca="1">20*Q30</f>
        <v>#NAME?</v>
      </c>
      <c r="U30" s="30"/>
      <c r="V30" s="345"/>
      <c r="W30" s="401"/>
      <c r="X30" s="402"/>
      <c r="Y30" s="401"/>
      <c r="Z30" s="30"/>
      <c r="AA30" s="30"/>
      <c r="AB30" s="30"/>
      <c r="AC30" s="30"/>
      <c r="AD30" s="30"/>
      <c r="AE30" s="30"/>
      <c r="AF30" s="30"/>
      <c r="AG30" s="30"/>
      <c r="AH30" s="30"/>
      <c r="AI30" s="30"/>
    </row>
    <row r="31" spans="2:35" s="204" customFormat="1"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79"/>
      <c r="U31" s="30"/>
      <c r="V31" s="345"/>
      <c r="W31" s="401"/>
      <c r="X31" s="402"/>
      <c r="Y31" s="401"/>
      <c r="Z31" s="30"/>
      <c r="AA31" s="30"/>
      <c r="AB31" s="30"/>
      <c r="AC31" s="30"/>
      <c r="AD31" s="30"/>
      <c r="AE31" s="30"/>
      <c r="AF31" s="30"/>
      <c r="AG31" s="30"/>
      <c r="AH31" s="30"/>
      <c r="AI31" s="30"/>
    </row>
    <row r="32" spans="2:35" s="204" customFormat="1"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t="s">
        <v>259</v>
      </c>
      <c r="N32" s="412"/>
      <c r="O32" s="223" t="s">
        <v>260</v>
      </c>
      <c r="P32" s="223" t="s">
        <v>261</v>
      </c>
      <c r="Q32" s="223" t="s">
        <v>262</v>
      </c>
      <c r="R32" s="223" t="s">
        <v>27</v>
      </c>
      <c r="S32" s="223" t="s">
        <v>255</v>
      </c>
      <c r="T32" s="30"/>
      <c r="U32" s="30"/>
      <c r="V32" s="345"/>
      <c r="W32" s="401"/>
      <c r="X32" s="402"/>
      <c r="Y32" s="401"/>
      <c r="Z32" s="30"/>
      <c r="AA32" s="30"/>
      <c r="AB32" s="30"/>
      <c r="AC32" s="30"/>
      <c r="AD32" s="30"/>
      <c r="AE32" s="30"/>
      <c r="AF32" s="30"/>
      <c r="AG32" s="30"/>
      <c r="AH32" s="30"/>
      <c r="AI32" s="30"/>
    </row>
    <row r="33" spans="1:36" s="204" customFormat="1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412"/>
      <c r="O33" s="383">
        <f>SQRT(P22*(Q20/2)*G5)</f>
        <v>308.38017835133314</v>
      </c>
      <c r="P33" s="223">
        <v>1748</v>
      </c>
      <c r="Q33" s="223">
        <v>-5.6786000000000003</v>
      </c>
      <c r="R33" s="226">
        <f>(O33/P33)^Q33</f>
        <v>18991.943508487577</v>
      </c>
      <c r="S33" s="413">
        <f>1/R33</f>
        <v>5.2653905565435991E-5</v>
      </c>
      <c r="T33" s="30"/>
      <c r="U33" s="30"/>
      <c r="V33" s="345"/>
      <c r="W33" s="401"/>
      <c r="X33" s="402"/>
      <c r="Y33" s="401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</row>
    <row r="34" spans="1:36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</row>
    <row r="35" spans="1:36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203" t="s">
        <v>263</v>
      </c>
      <c r="O35" s="203" t="s">
        <v>264</v>
      </c>
      <c r="P35" s="203" t="s">
        <v>263</v>
      </c>
      <c r="Q35" s="203" t="s">
        <v>264</v>
      </c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</row>
    <row r="36" spans="1:36">
      <c r="A36" s="30"/>
      <c r="B36" s="205"/>
      <c r="C36" s="30"/>
      <c r="D36" s="203"/>
      <c r="E36" s="30"/>
      <c r="F36" s="30"/>
      <c r="G36" s="203"/>
      <c r="H36" s="203"/>
      <c r="I36" s="203"/>
      <c r="J36" s="361"/>
      <c r="K36" s="30"/>
      <c r="L36" s="30"/>
      <c r="M36" s="203">
        <v>1</v>
      </c>
      <c r="N36" s="203">
        <v>1748</v>
      </c>
      <c r="O36" s="203">
        <v>-5.6786000000000003</v>
      </c>
      <c r="P36" s="30">
        <v>619</v>
      </c>
      <c r="Q36" s="30">
        <v>-12.987</v>
      </c>
      <c r="R36" s="30"/>
      <c r="S36" s="30"/>
      <c r="T36" s="30"/>
      <c r="U36" s="203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</row>
    <row r="37" spans="1:36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203">
        <v>2</v>
      </c>
      <c r="N37" s="203">
        <v>2436</v>
      </c>
      <c r="O37" s="203">
        <v>-5.5460000000000003</v>
      </c>
      <c r="P37" s="30">
        <v>696</v>
      </c>
      <c r="Q37" s="30">
        <v>-10.09</v>
      </c>
      <c r="R37" s="345">
        <v>5000000</v>
      </c>
      <c r="S37" s="30"/>
      <c r="T37" s="30"/>
      <c r="U37" s="414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</row>
    <row r="38" spans="1:36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</row>
    <row r="39" spans="1:36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</row>
    <row r="40" spans="1:36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t="s">
        <v>265</v>
      </c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</row>
    <row r="41" spans="1:36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t="s">
        <v>266</v>
      </c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</row>
    <row r="45" spans="1:36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223" t="s">
        <v>150</v>
      </c>
      <c r="N45" s="223" t="s">
        <v>267</v>
      </c>
      <c r="O45" s="223" t="s">
        <v>268</v>
      </c>
      <c r="P45" s="223" t="s">
        <v>211</v>
      </c>
      <c r="Q45" s="223" t="s">
        <v>215</v>
      </c>
      <c r="R45" s="415" t="s">
        <v>269</v>
      </c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</row>
    <row r="46" spans="1:36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223">
        <v>210000</v>
      </c>
      <c r="N46" s="226">
        <v>397.05</v>
      </c>
      <c r="O46" s="223">
        <v>1</v>
      </c>
      <c r="P46" s="223">
        <v>991.4</v>
      </c>
      <c r="Q46" s="223">
        <v>0.1613</v>
      </c>
      <c r="R46" s="383" t="e">
        <f ca="1">neuberA(N46,M46,P46,Q46)</f>
        <v>#NAME?</v>
      </c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</row>
    <row r="47" spans="1:36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46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</row>
    <row r="48" spans="1:36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46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</row>
    <row r="49" spans="2:20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46"/>
      <c r="S49" s="30"/>
      <c r="T49" s="30"/>
    </row>
    <row r="50" spans="2:20" ht="20.25"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222" t="s">
        <v>270</v>
      </c>
      <c r="N50" s="30"/>
      <c r="O50" s="30"/>
      <c r="P50" s="30"/>
      <c r="Q50" s="30"/>
      <c r="R50" s="346"/>
      <c r="S50" s="30"/>
      <c r="T50" s="30"/>
    </row>
    <row r="51" spans="2:20"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227"/>
      <c r="P51" s="30"/>
      <c r="Q51" s="30"/>
      <c r="R51" s="345"/>
      <c r="S51" s="345"/>
      <c r="T51" s="30"/>
    </row>
    <row r="52" spans="2:20"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 t="s">
        <v>271</v>
      </c>
      <c r="N52" s="30">
        <v>315</v>
      </c>
      <c r="O52" s="30"/>
      <c r="P52" s="30"/>
      <c r="Q52" s="30"/>
      <c r="R52" s="345"/>
      <c r="S52" s="345"/>
      <c r="T52" s="30"/>
    </row>
    <row r="53" spans="2:20"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 t="s">
        <v>272</v>
      </c>
      <c r="N53" s="30">
        <f>1.5*N52</f>
        <v>472.5</v>
      </c>
      <c r="O53" s="30"/>
      <c r="P53" s="30"/>
      <c r="Q53" s="30"/>
      <c r="R53" s="345"/>
      <c r="S53" s="345"/>
      <c r="T53" s="30"/>
    </row>
    <row r="54" spans="2:20"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 t="s">
        <v>189</v>
      </c>
      <c r="N54" s="30">
        <v>-8.6999999999999994E-2</v>
      </c>
      <c r="O54" s="30"/>
      <c r="P54" s="30"/>
      <c r="Q54" s="30"/>
      <c r="R54" s="345"/>
      <c r="S54" s="345"/>
      <c r="T54" s="30"/>
    </row>
    <row r="55" spans="2:20"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 t="s">
        <v>159</v>
      </c>
      <c r="N55" s="30">
        <v>0.59</v>
      </c>
      <c r="O55" s="30"/>
      <c r="P55" s="30"/>
      <c r="Q55" s="30"/>
      <c r="R55" s="345"/>
      <c r="S55" s="345"/>
      <c r="T55" s="30"/>
    </row>
    <row r="56" spans="2:20"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 t="s">
        <v>192</v>
      </c>
      <c r="N56" s="30">
        <v>-0.57999999999999996</v>
      </c>
      <c r="O56" s="30"/>
      <c r="P56" s="30"/>
      <c r="Q56" s="30"/>
      <c r="R56" s="345"/>
      <c r="S56" s="345"/>
      <c r="T56" s="30"/>
    </row>
    <row r="57" spans="2:20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 t="s">
        <v>211</v>
      </c>
      <c r="N57" s="30">
        <f>1.65*N52</f>
        <v>519.75</v>
      </c>
      <c r="O57" s="30"/>
      <c r="P57" s="30"/>
      <c r="Q57" s="30"/>
      <c r="R57" s="345"/>
      <c r="S57" s="345"/>
      <c r="T57" s="30"/>
    </row>
    <row r="58" spans="2:20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 t="s">
        <v>215</v>
      </c>
      <c r="N58" s="30">
        <v>0.15</v>
      </c>
      <c r="O58" s="30"/>
      <c r="P58" s="30"/>
      <c r="Q58" s="30"/>
      <c r="R58" s="345"/>
      <c r="S58" s="345"/>
      <c r="T58" s="30"/>
    </row>
    <row r="59" spans="2:20"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 t="s">
        <v>273</v>
      </c>
      <c r="N59" s="399">
        <f>N52/210000</f>
        <v>1.5E-3</v>
      </c>
      <c r="O59" s="30"/>
      <c r="P59" s="30"/>
      <c r="Q59" s="30"/>
      <c r="R59" s="345"/>
      <c r="S59" s="345"/>
      <c r="T59" s="30"/>
    </row>
    <row r="60" spans="2:20"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>
        <f>1.375-(125*N52/210000)</f>
        <v>1.1875</v>
      </c>
      <c r="O60" s="30"/>
      <c r="P60" s="30"/>
      <c r="Q60" s="30"/>
      <c r="R60" s="345"/>
      <c r="S60" s="345"/>
      <c r="T60" s="30"/>
    </row>
    <row r="61" spans="2:20" ht="20.25">
      <c r="B61" s="222" t="s">
        <v>133</v>
      </c>
      <c r="C61" s="217"/>
      <c r="D61" s="217"/>
      <c r="E61" s="216"/>
      <c r="F61" s="216"/>
      <c r="G61" s="216"/>
      <c r="H61" s="216"/>
      <c r="I61" s="216"/>
      <c r="J61" s="30"/>
      <c r="K61" s="30"/>
      <c r="L61" s="30"/>
      <c r="M61" s="30"/>
      <c r="N61" s="30"/>
      <c r="O61" s="30"/>
      <c r="P61" s="30"/>
      <c r="Q61" s="30"/>
      <c r="R61" s="345"/>
      <c r="S61" s="345"/>
      <c r="T61" s="30"/>
    </row>
    <row r="62" spans="2:20">
      <c r="B62" s="216"/>
      <c r="C62" s="216"/>
      <c r="D62" s="216"/>
      <c r="E62" s="216"/>
      <c r="F62" s="216"/>
      <c r="G62" s="216"/>
      <c r="H62" s="216"/>
      <c r="I62" s="216"/>
      <c r="J62" s="30"/>
      <c r="K62" s="30"/>
      <c r="L62" s="30"/>
      <c r="M62" s="30"/>
      <c r="N62" s="30"/>
      <c r="O62" s="30"/>
      <c r="P62" s="30"/>
      <c r="Q62" s="30"/>
      <c r="R62" s="346"/>
      <c r="S62" s="30"/>
      <c r="T62" s="30"/>
    </row>
    <row r="63" spans="2:20" ht="15.75">
      <c r="B63" s="224" t="s">
        <v>274</v>
      </c>
      <c r="C63" s="216"/>
      <c r="D63" s="216"/>
      <c r="E63" s="30"/>
      <c r="F63" s="224" t="s">
        <v>275</v>
      </c>
      <c r="G63" s="216"/>
      <c r="H63" s="216"/>
      <c r="I63" s="216"/>
      <c r="J63" s="30"/>
      <c r="K63" s="30"/>
      <c r="L63" s="30"/>
      <c r="M63" s="30"/>
      <c r="N63" s="30"/>
      <c r="O63" s="30"/>
      <c r="P63" s="30"/>
      <c r="Q63" s="30"/>
      <c r="R63" s="346"/>
      <c r="S63" s="30"/>
      <c r="T63" s="347"/>
    </row>
    <row r="64" spans="2:20">
      <c r="B64" s="216"/>
      <c r="C64" s="216"/>
      <c r="D64" s="216"/>
      <c r="E64" s="216"/>
      <c r="F64" s="216"/>
      <c r="G64" s="216"/>
      <c r="H64" s="216"/>
      <c r="I64" s="216"/>
      <c r="J64" s="30"/>
      <c r="K64" s="30"/>
      <c r="L64" s="30"/>
      <c r="M64" s="30"/>
      <c r="N64" s="30"/>
      <c r="O64" s="30"/>
      <c r="P64" s="30"/>
      <c r="Q64" s="30"/>
      <c r="R64" s="346"/>
      <c r="S64" s="30"/>
      <c r="T64" s="30"/>
    </row>
    <row r="65" spans="1:25">
      <c r="A65" s="30"/>
      <c r="B65" s="216"/>
      <c r="C65" s="216"/>
      <c r="D65" s="216"/>
      <c r="E65" s="216"/>
      <c r="F65" s="216"/>
      <c r="G65" s="216"/>
      <c r="H65" s="216"/>
      <c r="I65" s="216"/>
      <c r="J65" s="30"/>
      <c r="K65" s="30"/>
      <c r="L65" s="30"/>
      <c r="M65" s="30"/>
      <c r="N65" s="30"/>
      <c r="O65" s="30"/>
      <c r="P65" s="30"/>
      <c r="Q65" s="30"/>
      <c r="R65" s="346"/>
      <c r="S65" s="30"/>
      <c r="T65" s="30"/>
      <c r="U65" s="30"/>
      <c r="V65" s="30"/>
      <c r="W65" s="30"/>
      <c r="X65" s="30"/>
      <c r="Y65" s="30"/>
    </row>
    <row r="66" spans="1:25">
      <c r="A66" s="30"/>
      <c r="B66" s="216"/>
      <c r="C66" s="216"/>
      <c r="D66" s="216"/>
      <c r="E66" s="216"/>
      <c r="F66" s="216"/>
      <c r="G66" s="216"/>
      <c r="H66" s="216"/>
      <c r="I66" s="216"/>
      <c r="J66" s="30"/>
      <c r="K66" s="30"/>
      <c r="L66" s="30"/>
      <c r="M66" s="30"/>
      <c r="N66" s="30"/>
      <c r="O66" s="30"/>
      <c r="P66" s="30"/>
      <c r="Q66" s="30"/>
      <c r="R66" s="346"/>
      <c r="S66" s="30"/>
      <c r="T66" s="30"/>
      <c r="U66" s="30"/>
      <c r="V66" s="30"/>
      <c r="W66" s="30"/>
      <c r="X66" s="30"/>
      <c r="Y66" s="30"/>
    </row>
    <row r="67" spans="1:25">
      <c r="A67" s="30"/>
      <c r="B67" s="218"/>
      <c r="C67" s="218"/>
      <c r="D67" s="218"/>
      <c r="E67" s="216"/>
      <c r="F67" s="216"/>
      <c r="G67" s="216"/>
      <c r="H67" s="216"/>
      <c r="I67" s="216"/>
      <c r="J67" s="30"/>
      <c r="K67" s="30"/>
      <c r="L67" s="30"/>
      <c r="M67" s="30"/>
      <c r="N67" s="348"/>
      <c r="O67" s="30"/>
      <c r="P67" s="30"/>
      <c r="Q67" s="345"/>
      <c r="R67" s="346"/>
      <c r="S67" s="30"/>
      <c r="T67" s="30"/>
      <c r="U67" s="30"/>
      <c r="V67" s="30"/>
      <c r="W67" s="30"/>
      <c r="X67" s="30"/>
      <c r="Y67" s="30"/>
    </row>
    <row r="68" spans="1:25">
      <c r="A68" s="30"/>
      <c r="B68" s="30"/>
      <c r="C68" s="30"/>
      <c r="D68" s="30"/>
      <c r="E68" s="30"/>
      <c r="F68" s="30"/>
      <c r="G68" s="216"/>
      <c r="H68" s="216"/>
      <c r="I68" s="216"/>
      <c r="J68" s="30"/>
      <c r="K68" s="30"/>
      <c r="L68" s="30"/>
      <c r="M68" s="30"/>
      <c r="N68" s="349"/>
      <c r="O68" s="30"/>
      <c r="P68" s="30"/>
      <c r="Q68" s="350"/>
      <c r="R68" s="346"/>
      <c r="S68" s="30"/>
      <c r="T68" s="30"/>
      <c r="U68" s="30"/>
      <c r="V68" s="30"/>
      <c r="W68" s="30"/>
      <c r="X68" s="30"/>
      <c r="Y68" s="30"/>
    </row>
    <row r="69" spans="1:25">
      <c r="A69" s="30"/>
      <c r="B69" s="30"/>
      <c r="C69" s="30"/>
      <c r="D69" s="203" t="s">
        <v>276</v>
      </c>
      <c r="E69" s="20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50"/>
      <c r="R69" s="346"/>
      <c r="S69" s="30"/>
      <c r="T69" s="30"/>
      <c r="U69" s="346"/>
      <c r="V69" s="416"/>
      <c r="W69" s="30"/>
      <c r="X69" s="392"/>
      <c r="Y69" s="392"/>
    </row>
    <row r="70" spans="1:25" ht="18">
      <c r="A70" s="30"/>
      <c r="B70" s="213" t="s">
        <v>135</v>
      </c>
      <c r="C70" s="22" t="s">
        <v>136</v>
      </c>
      <c r="D70" s="22" t="s">
        <v>277</v>
      </c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50"/>
      <c r="R70" s="346"/>
      <c r="S70" s="30"/>
      <c r="T70" s="30"/>
      <c r="U70" s="346"/>
      <c r="V70" s="30"/>
      <c r="W70" s="30"/>
      <c r="X70" s="30"/>
      <c r="Y70" s="30"/>
    </row>
    <row r="71" spans="1: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50"/>
      <c r="R71" s="346"/>
      <c r="S71" s="30"/>
      <c r="T71" s="30"/>
      <c r="U71" s="346"/>
      <c r="V71" s="30"/>
      <c r="W71" s="30"/>
      <c r="X71" s="30"/>
      <c r="Y71" s="30"/>
    </row>
    <row r="72" spans="1:25">
      <c r="A72" s="30">
        <v>1</v>
      </c>
      <c r="B72" s="223">
        <v>1.12E-2</v>
      </c>
      <c r="C72" s="226" t="e">
        <f ca="1">stress($G$5,B72,$G$10,$G$11)</f>
        <v>#NAME?</v>
      </c>
      <c r="D72" s="226" t="e">
        <f ca="1">stress($G$5,B72,$N$5,$N$6)</f>
        <v>#NAME?</v>
      </c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50"/>
      <c r="R72" s="346"/>
      <c r="S72" s="30"/>
      <c r="T72" s="30"/>
      <c r="U72" s="346"/>
      <c r="V72" s="30"/>
      <c r="W72" s="30"/>
      <c r="X72" s="30"/>
      <c r="Y72" s="30"/>
    </row>
    <row r="73" spans="1:25">
      <c r="A73" s="30">
        <v>2</v>
      </c>
      <c r="B73" s="225">
        <v>-7.1999999999999998E-3</v>
      </c>
      <c r="C73" s="226" t="e">
        <f ca="1">stress($G$5,B73,$G$10,$G$11)</f>
        <v>#NAME?</v>
      </c>
      <c r="D73" s="226" t="e">
        <f ca="1">stress($G$5,B73,$N$5,$N$6)</f>
        <v>#NAME?</v>
      </c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50"/>
      <c r="R73" s="346"/>
      <c r="S73" s="30"/>
      <c r="T73" s="30"/>
      <c r="U73" s="346"/>
      <c r="V73" s="30"/>
      <c r="W73" s="30"/>
      <c r="X73" s="30"/>
      <c r="Y73" s="30"/>
    </row>
    <row r="74" spans="1:25">
      <c r="A74" s="30">
        <v>3</v>
      </c>
      <c r="B74" s="225">
        <v>3.2000000000000002E-3</v>
      </c>
      <c r="C74" s="226" t="e">
        <f t="shared" ref="C74:C91" ca="1" si="3">stress($G$5,B74,$G$10,$G$11)</f>
        <v>#NAME?</v>
      </c>
      <c r="D74" s="226" t="e">
        <f t="shared" ref="D74:D91" ca="1" si="4">stress($G$5,B74,$N$5,$N$6)</f>
        <v>#NAME?</v>
      </c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50"/>
      <c r="R74" s="346"/>
      <c r="S74" s="30"/>
      <c r="T74" s="30"/>
      <c r="U74" s="346"/>
      <c r="V74" s="30"/>
      <c r="W74" s="30"/>
      <c r="X74" s="30"/>
      <c r="Y74" s="30"/>
    </row>
    <row r="75" spans="1:25">
      <c r="A75" s="30">
        <v>4</v>
      </c>
      <c r="B75" s="225">
        <v>8.0000000000000004E-4</v>
      </c>
      <c r="C75" s="226" t="e">
        <f t="shared" ca="1" si="3"/>
        <v>#NAME?</v>
      </c>
      <c r="D75" s="226" t="e">
        <f t="shared" ca="1" si="4"/>
        <v>#NAME?</v>
      </c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50"/>
      <c r="R75" s="346"/>
      <c r="S75" s="30"/>
      <c r="T75" s="30"/>
      <c r="U75" s="346"/>
      <c r="V75" s="30"/>
      <c r="W75" s="30"/>
      <c r="X75" s="30"/>
      <c r="Y75" s="30"/>
    </row>
    <row r="76" spans="1:25">
      <c r="A76" s="30">
        <v>5</v>
      </c>
      <c r="B76" s="225">
        <v>8.8000000000000005E-3</v>
      </c>
      <c r="C76" s="226" t="e">
        <f t="shared" ca="1" si="3"/>
        <v>#NAME?</v>
      </c>
      <c r="D76" s="226" t="e">
        <f t="shared" ca="1" si="4"/>
        <v>#NAME?</v>
      </c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52"/>
      <c r="R76" s="30"/>
      <c r="S76" s="30"/>
      <c r="T76" s="30"/>
      <c r="U76" s="346"/>
      <c r="V76" s="30"/>
      <c r="W76" s="30"/>
      <c r="X76" s="30"/>
      <c r="Y76" s="30"/>
    </row>
    <row r="77" spans="1:25">
      <c r="A77" s="30">
        <v>6</v>
      </c>
      <c r="B77" s="225">
        <v>-2.3999999999999998E-3</v>
      </c>
      <c r="C77" s="226" t="e">
        <f t="shared" ca="1" si="3"/>
        <v>#NAME?</v>
      </c>
      <c r="D77" s="226" t="e">
        <f ca="1">stress($G$5,B77,$N$5,$N$6)</f>
        <v>#NAME?</v>
      </c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1:25">
      <c r="A78" s="30">
        <v>7</v>
      </c>
      <c r="B78" s="225">
        <v>2E-3</v>
      </c>
      <c r="C78" s="226" t="e">
        <f t="shared" ca="1" si="3"/>
        <v>#NAME?</v>
      </c>
      <c r="D78" s="226" t="e">
        <f ca="1">stress($G$5,B78,$N$5,$N$6)</f>
        <v>#NAME?</v>
      </c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1:25">
      <c r="A79" s="30">
        <v>8</v>
      </c>
      <c r="B79" s="225">
        <v>-2.3999999999999998E-3</v>
      </c>
      <c r="C79" s="226" t="e">
        <f t="shared" ca="1" si="3"/>
        <v>#NAME?</v>
      </c>
      <c r="D79" s="226" t="e">
        <f t="shared" ca="1" si="4"/>
        <v>#NAME?</v>
      </c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1:25">
      <c r="A80" s="30">
        <v>9</v>
      </c>
      <c r="B80" s="225">
        <v>7.1999999999999998E-3</v>
      </c>
      <c r="C80" s="226" t="e">
        <f t="shared" ca="1" si="3"/>
        <v>#NAME?</v>
      </c>
      <c r="D80" s="226" t="e">
        <f t="shared" ca="1" si="4"/>
        <v>#NAME?</v>
      </c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1:4">
      <c r="A81" s="30">
        <v>10</v>
      </c>
      <c r="B81" s="225">
        <v>0</v>
      </c>
      <c r="C81" s="226" t="e">
        <f t="shared" ca="1" si="3"/>
        <v>#NAME?</v>
      </c>
      <c r="D81" s="226" t="e">
        <f t="shared" ca="1" si="4"/>
        <v>#NAME?</v>
      </c>
    </row>
    <row r="82" spans="1:4">
      <c r="A82" s="30">
        <v>11</v>
      </c>
      <c r="B82" s="225">
        <v>1.04E-2</v>
      </c>
      <c r="C82" s="226" t="e">
        <f t="shared" ca="1" si="3"/>
        <v>#NAME?</v>
      </c>
      <c r="D82" s="226" t="e">
        <f t="shared" ca="1" si="4"/>
        <v>#NAME?</v>
      </c>
    </row>
    <row r="83" spans="1:4">
      <c r="A83" s="30">
        <v>12</v>
      </c>
      <c r="B83" s="225">
        <v>5.5999999999999999E-3</v>
      </c>
      <c r="C83" s="226" t="e">
        <f t="shared" ca="1" si="3"/>
        <v>#NAME?</v>
      </c>
      <c r="D83" s="226" t="e">
        <f t="shared" ca="1" si="4"/>
        <v>#NAME?</v>
      </c>
    </row>
    <row r="84" spans="1:4">
      <c r="A84" s="30">
        <v>13</v>
      </c>
      <c r="B84" s="225">
        <v>1.12E-2</v>
      </c>
      <c r="C84" s="226" t="e">
        <f t="shared" ca="1" si="3"/>
        <v>#NAME?</v>
      </c>
      <c r="D84" s="226" t="e">
        <f t="shared" ca="1" si="4"/>
        <v>#NAME?</v>
      </c>
    </row>
    <row r="85" spans="1:4">
      <c r="A85" s="30"/>
      <c r="B85" s="225"/>
      <c r="C85" s="226" t="e">
        <f t="shared" ca="1" si="3"/>
        <v>#NAME?</v>
      </c>
      <c r="D85" s="226" t="e">
        <f t="shared" ca="1" si="4"/>
        <v>#NAME?</v>
      </c>
    </row>
    <row r="86" spans="1:4">
      <c r="A86" s="30"/>
      <c r="B86" s="225"/>
      <c r="C86" s="226" t="e">
        <f t="shared" ca="1" si="3"/>
        <v>#NAME?</v>
      </c>
      <c r="D86" s="226" t="e">
        <f t="shared" ca="1" si="4"/>
        <v>#NAME?</v>
      </c>
    </row>
    <row r="87" spans="1:4">
      <c r="A87" s="30"/>
      <c r="B87" s="225"/>
      <c r="C87" s="226" t="e">
        <f t="shared" ca="1" si="3"/>
        <v>#NAME?</v>
      </c>
      <c r="D87" s="226" t="e">
        <f t="shared" ca="1" si="4"/>
        <v>#NAME?</v>
      </c>
    </row>
    <row r="88" spans="1:4">
      <c r="A88" s="30"/>
      <c r="B88" s="225"/>
      <c r="C88" s="226" t="e">
        <f t="shared" ca="1" si="3"/>
        <v>#NAME?</v>
      </c>
      <c r="D88" s="226" t="e">
        <f t="shared" ca="1" si="4"/>
        <v>#NAME?</v>
      </c>
    </row>
    <row r="89" spans="1:4">
      <c r="A89" s="30"/>
      <c r="B89" s="225"/>
      <c r="C89" s="226" t="e">
        <f t="shared" ca="1" si="3"/>
        <v>#NAME?</v>
      </c>
      <c r="D89" s="226" t="e">
        <f t="shared" ca="1" si="4"/>
        <v>#NAME?</v>
      </c>
    </row>
    <row r="90" spans="1:4">
      <c r="A90" s="30"/>
      <c r="B90" s="225"/>
      <c r="C90" s="226" t="e">
        <f t="shared" ca="1" si="3"/>
        <v>#NAME?</v>
      </c>
      <c r="D90" s="226" t="e">
        <f t="shared" ca="1" si="4"/>
        <v>#NAME?</v>
      </c>
    </row>
    <row r="91" spans="1:4">
      <c r="A91" s="30"/>
      <c r="B91" s="225"/>
      <c r="C91" s="226" t="e">
        <f t="shared" ca="1" si="3"/>
        <v>#NAME?</v>
      </c>
      <c r="D91" s="226" t="e">
        <f t="shared" ca="1" si="4"/>
        <v>#NAME?</v>
      </c>
    </row>
    <row r="100" spans="2:15" ht="25.5">
      <c r="B100" s="30"/>
      <c r="C100" s="42" t="s">
        <v>134</v>
      </c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236"/>
      <c r="O100" s="236"/>
    </row>
    <row r="101" spans="2:15"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182"/>
      <c r="O101" s="182"/>
    </row>
    <row r="102" spans="2:15"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182"/>
      <c r="O102" s="182"/>
    </row>
    <row r="103" spans="2:15"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182"/>
      <c r="O103" s="182"/>
    </row>
    <row r="104" spans="2:15"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182"/>
      <c r="O104" s="182"/>
    </row>
    <row r="105" spans="2:15"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182"/>
      <c r="O105" s="182"/>
    </row>
    <row r="106" spans="2:15"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182"/>
      <c r="O106" s="182"/>
    </row>
    <row r="107" spans="2:15"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182"/>
      <c r="O107" s="182"/>
    </row>
    <row r="108" spans="2:15">
      <c r="B108" s="30"/>
      <c r="C108" s="223" t="s">
        <v>32</v>
      </c>
      <c r="D108" s="223" t="s">
        <v>137</v>
      </c>
      <c r="E108" s="223" t="s">
        <v>139</v>
      </c>
      <c r="F108" s="223" t="s">
        <v>140</v>
      </c>
      <c r="G108" s="223" t="s">
        <v>141</v>
      </c>
      <c r="H108" s="223" t="s">
        <v>143</v>
      </c>
      <c r="I108" s="223" t="s">
        <v>144</v>
      </c>
      <c r="J108" s="30"/>
      <c r="K108" s="30"/>
      <c r="L108" s="30"/>
      <c r="M108" s="30"/>
      <c r="N108" s="182"/>
      <c r="O108" s="182"/>
    </row>
    <row r="109" spans="2:15">
      <c r="B109" s="30"/>
      <c r="C109" s="223">
        <v>1</v>
      </c>
      <c r="D109" s="223" t="s">
        <v>151</v>
      </c>
      <c r="E109" s="223">
        <v>210000</v>
      </c>
      <c r="F109" s="223">
        <v>235</v>
      </c>
      <c r="G109" s="223">
        <v>400</v>
      </c>
      <c r="H109" s="223">
        <v>1.7529999999999999</v>
      </c>
      <c r="I109" s="223">
        <v>7.319</v>
      </c>
      <c r="J109" s="30"/>
      <c r="K109" s="30"/>
      <c r="L109" s="30"/>
      <c r="M109" s="30"/>
      <c r="N109" s="182"/>
      <c r="O109" s="182"/>
    </row>
    <row r="110" spans="2:15">
      <c r="B110" s="30"/>
      <c r="C110" s="223">
        <v>2</v>
      </c>
      <c r="D110" s="223" t="s">
        <v>152</v>
      </c>
      <c r="E110" s="223">
        <v>210000</v>
      </c>
      <c r="F110" s="223">
        <v>265</v>
      </c>
      <c r="G110" s="223">
        <v>400</v>
      </c>
      <c r="H110" s="223">
        <v>1.8939999999999999</v>
      </c>
      <c r="I110" s="223">
        <v>8.9740000000000002</v>
      </c>
      <c r="J110" s="30"/>
      <c r="K110" s="30"/>
      <c r="L110" s="30"/>
      <c r="M110" s="30"/>
      <c r="N110" s="182"/>
      <c r="O110" s="182"/>
    </row>
    <row r="111" spans="2:15">
      <c r="B111" s="30"/>
      <c r="C111" s="223">
        <v>3</v>
      </c>
      <c r="D111" s="223" t="s">
        <v>138</v>
      </c>
      <c r="E111" s="223">
        <v>210000</v>
      </c>
      <c r="F111" s="223">
        <v>315</v>
      </c>
      <c r="G111" s="223">
        <v>440</v>
      </c>
      <c r="H111" s="223">
        <v>1.4350000000000001</v>
      </c>
      <c r="I111" s="223">
        <v>11.364000000000001</v>
      </c>
      <c r="J111" s="30"/>
      <c r="K111" s="30"/>
      <c r="L111" s="30"/>
      <c r="M111" s="30"/>
      <c r="N111" s="182"/>
      <c r="O111" s="182"/>
    </row>
    <row r="112" spans="2:15">
      <c r="B112" s="30"/>
      <c r="C112" s="223">
        <v>4</v>
      </c>
      <c r="D112" s="223" t="s">
        <v>153</v>
      </c>
      <c r="E112" s="223">
        <v>210000</v>
      </c>
      <c r="F112" s="223">
        <v>355</v>
      </c>
      <c r="G112" s="223">
        <v>490</v>
      </c>
      <c r="H112" s="223">
        <v>1.161</v>
      </c>
      <c r="I112" s="223">
        <v>12.064</v>
      </c>
      <c r="J112" s="30"/>
      <c r="K112" s="30"/>
      <c r="L112" s="30"/>
      <c r="M112" s="30"/>
      <c r="N112" s="182"/>
      <c r="O112" s="182"/>
    </row>
    <row r="113" spans="2:15">
      <c r="B113" s="30"/>
      <c r="C113" s="203"/>
      <c r="D113" s="203"/>
      <c r="E113" s="203"/>
      <c r="F113" s="203"/>
      <c r="G113" s="203"/>
      <c r="H113" s="30"/>
      <c r="I113" s="30"/>
      <c r="J113" s="30"/>
      <c r="K113" s="30"/>
      <c r="L113" s="30"/>
      <c r="M113" s="30"/>
      <c r="N113" s="182"/>
      <c r="O113" s="182"/>
    </row>
    <row r="114" spans="2:15"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182"/>
      <c r="O114" s="238"/>
    </row>
    <row r="115" spans="2:15">
      <c r="B115" s="30"/>
      <c r="C115" s="358"/>
      <c r="D115" s="345"/>
      <c r="E115" s="345"/>
      <c r="F115" s="345"/>
      <c r="G115" s="30"/>
      <c r="H115" s="30"/>
      <c r="I115" s="30"/>
      <c r="J115" s="30"/>
      <c r="K115" s="359"/>
      <c r="L115" s="30"/>
      <c r="M115" s="30"/>
      <c r="N115" s="182"/>
      <c r="O115" s="215"/>
    </row>
    <row r="116" spans="2:15"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182"/>
      <c r="O116" s="215"/>
    </row>
    <row r="117" spans="2:15"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182"/>
      <c r="O117" s="215"/>
    </row>
    <row r="118" spans="2:15">
      <c r="B118" s="30"/>
      <c r="C118" s="355" t="s">
        <v>137</v>
      </c>
      <c r="D118" s="355" t="s">
        <v>138</v>
      </c>
      <c r="E118" s="30"/>
      <c r="F118" s="30"/>
      <c r="G118" s="30"/>
      <c r="H118" s="30"/>
      <c r="I118" s="30"/>
      <c r="J118" s="30"/>
      <c r="K118" s="30"/>
      <c r="L118" s="30"/>
      <c r="M118" s="360"/>
      <c r="N118" s="30"/>
      <c r="O118" s="30"/>
    </row>
    <row r="119" spans="2:15">
      <c r="B119" s="30"/>
      <c r="C119" s="355" t="s">
        <v>139</v>
      </c>
      <c r="D119" s="355">
        <v>210000</v>
      </c>
      <c r="E119" s="30"/>
      <c r="F119" s="30"/>
      <c r="G119" s="30"/>
      <c r="H119" s="30"/>
      <c r="I119" s="30"/>
      <c r="J119" s="30"/>
      <c r="K119" s="30"/>
      <c r="L119" s="30"/>
      <c r="M119" s="360"/>
      <c r="N119" s="30"/>
      <c r="O119" s="30"/>
    </row>
    <row r="120" spans="2:15">
      <c r="B120" s="30"/>
      <c r="C120" s="355" t="s">
        <v>140</v>
      </c>
      <c r="D120" s="355">
        <v>235</v>
      </c>
      <c r="E120" s="30"/>
      <c r="F120" s="30"/>
      <c r="G120" s="30"/>
      <c r="H120" s="30"/>
      <c r="I120" s="30"/>
      <c r="J120" s="30"/>
      <c r="K120" s="30"/>
      <c r="L120" s="30"/>
      <c r="M120" s="360"/>
      <c r="N120" s="30"/>
      <c r="O120" s="30"/>
    </row>
    <row r="121" spans="2:15">
      <c r="B121" s="30"/>
      <c r="C121" s="355" t="s">
        <v>141</v>
      </c>
      <c r="D121" s="355">
        <v>400</v>
      </c>
      <c r="E121" s="30">
        <f>D121*(1+0.22)</f>
        <v>488</v>
      </c>
      <c r="F121" s="203"/>
      <c r="G121" s="203"/>
      <c r="H121" s="203"/>
      <c r="I121" s="361"/>
      <c r="J121" s="30"/>
      <c r="K121" s="30"/>
      <c r="L121" s="30"/>
      <c r="M121" s="360"/>
      <c r="N121" s="30"/>
      <c r="O121" s="30"/>
    </row>
    <row r="122" spans="2:15">
      <c r="B122" s="30"/>
      <c r="C122" s="355" t="s">
        <v>143</v>
      </c>
      <c r="D122" s="355">
        <v>1.7529999999999999</v>
      </c>
      <c r="E122" s="30"/>
      <c r="F122" s="30"/>
      <c r="G122" s="30"/>
      <c r="H122" s="30"/>
      <c r="I122" s="30"/>
      <c r="J122" s="30"/>
      <c r="K122" s="30"/>
      <c r="L122" s="30"/>
      <c r="M122" s="360"/>
      <c r="N122" s="30"/>
      <c r="O122" s="30"/>
    </row>
    <row r="123" spans="2:15">
      <c r="B123" s="30"/>
      <c r="C123" s="355" t="s">
        <v>144</v>
      </c>
      <c r="D123" s="355">
        <v>7.319</v>
      </c>
      <c r="E123" s="30"/>
      <c r="F123" s="30"/>
      <c r="G123" s="30"/>
      <c r="H123" s="30"/>
      <c r="I123" s="30"/>
      <c r="J123" s="30"/>
      <c r="K123" s="30"/>
      <c r="L123" s="30"/>
      <c r="M123" s="360"/>
      <c r="N123" s="30"/>
      <c r="O123" s="30"/>
    </row>
    <row r="124" spans="2:15">
      <c r="B124" s="30"/>
      <c r="C124" s="355" t="s">
        <v>145</v>
      </c>
      <c r="D124" s="417" t="s">
        <v>278</v>
      </c>
      <c r="E124" s="30"/>
      <c r="F124" s="30"/>
      <c r="G124" s="30"/>
      <c r="H124" s="30"/>
      <c r="I124" s="30"/>
      <c r="J124" s="30"/>
      <c r="K124" s="30"/>
      <c r="L124" s="30"/>
      <c r="M124" s="360"/>
      <c r="N124" s="30"/>
      <c r="O124" s="30"/>
    </row>
    <row r="125" spans="2:15">
      <c r="B125" s="30"/>
      <c r="C125" s="355">
        <v>0</v>
      </c>
      <c r="D125" s="356">
        <f t="shared" ref="D125:D135" si="5">($D$120/$D$119)*(1+$D$122*(C125/$D$120)^($D$123-1))</f>
        <v>1.1190476190476191E-3</v>
      </c>
      <c r="E125" s="356">
        <f>(C125/$D$119)*(1+$D$122*(C125/$D$120)^($D$123-1))</f>
        <v>0</v>
      </c>
      <c r="F125" s="30"/>
      <c r="G125" s="30"/>
      <c r="H125" s="30"/>
      <c r="I125" s="30"/>
      <c r="J125" s="30"/>
      <c r="K125" s="30"/>
      <c r="L125" s="30"/>
      <c r="M125" s="360"/>
      <c r="N125" s="30"/>
      <c r="O125" s="30"/>
    </row>
    <row r="126" spans="2:15">
      <c r="B126" s="30"/>
      <c r="C126" s="355">
        <v>50</v>
      </c>
      <c r="D126" s="356">
        <f t="shared" si="5"/>
        <v>1.1191587011573055E-3</v>
      </c>
      <c r="E126" s="356">
        <f t="shared" ref="E126:E135" si="6">(C126/$D$119)*(1+$D$122*(C126/$D$120)^($D$123-1))</f>
        <v>2.3811887258666072E-4</v>
      </c>
      <c r="F126" s="30"/>
      <c r="G126" s="30"/>
      <c r="H126" s="30"/>
      <c r="I126" s="30"/>
      <c r="J126" s="30"/>
      <c r="K126" s="30"/>
      <c r="L126" s="30"/>
      <c r="M126" s="360"/>
      <c r="N126" s="30"/>
      <c r="O126" s="30"/>
    </row>
    <row r="127" spans="2:15">
      <c r="B127" s="30"/>
      <c r="C127" s="357">
        <v>100</v>
      </c>
      <c r="D127" s="356">
        <f t="shared" si="5"/>
        <v>1.1279161699269367E-3</v>
      </c>
      <c r="E127" s="356">
        <f t="shared" si="6"/>
        <v>4.7996432762848374E-4</v>
      </c>
      <c r="F127" s="30"/>
      <c r="G127" s="30"/>
      <c r="H127" s="30"/>
      <c r="I127" s="30"/>
      <c r="J127" s="30"/>
      <c r="K127" s="30"/>
      <c r="L127" s="30"/>
      <c r="M127" s="360"/>
      <c r="N127" s="30"/>
      <c r="O127" s="30"/>
    </row>
    <row r="128" spans="2:15">
      <c r="B128" s="30"/>
      <c r="C128" s="357">
        <v>235</v>
      </c>
      <c r="D128" s="356">
        <f t="shared" si="5"/>
        <v>3.0807380952380956E-3</v>
      </c>
      <c r="E128" s="356">
        <f t="shared" si="6"/>
        <v>3.0807380952380956E-3</v>
      </c>
      <c r="F128" s="30"/>
      <c r="G128" s="30"/>
      <c r="H128" s="30"/>
      <c r="I128" s="30"/>
      <c r="J128" s="30"/>
      <c r="K128" s="30"/>
      <c r="L128" s="30"/>
      <c r="M128" s="360"/>
      <c r="N128" s="30"/>
      <c r="O128" s="30"/>
    </row>
    <row r="129" spans="2:15">
      <c r="B129" s="30"/>
      <c r="C129" s="357">
        <v>265</v>
      </c>
      <c r="D129" s="356">
        <f t="shared" si="5"/>
        <v>5.3102954274330217E-3</v>
      </c>
      <c r="E129" s="356">
        <f t="shared" si="6"/>
        <v>5.9882054819989389E-3</v>
      </c>
      <c r="F129" s="30"/>
      <c r="G129" s="30"/>
      <c r="H129" s="30"/>
      <c r="I129" s="30"/>
      <c r="J129" s="30"/>
      <c r="K129" s="30"/>
      <c r="L129" s="30"/>
      <c r="M129" s="360"/>
      <c r="N129" s="30"/>
      <c r="O129" s="30"/>
    </row>
    <row r="130" spans="2:15">
      <c r="B130" s="30"/>
      <c r="C130" s="357">
        <v>315</v>
      </c>
      <c r="D130" s="356">
        <f t="shared" si="5"/>
        <v>1.3612344241098607E-2</v>
      </c>
      <c r="E130" s="356">
        <f t="shared" si="6"/>
        <v>1.8246333769983237E-2</v>
      </c>
      <c r="F130" s="30"/>
      <c r="G130" s="30"/>
      <c r="H130" s="30"/>
      <c r="I130" s="30"/>
      <c r="J130" s="30"/>
      <c r="K130" s="30"/>
      <c r="L130" s="30"/>
      <c r="M130" s="360"/>
      <c r="N130" s="30"/>
      <c r="O130" s="30"/>
    </row>
    <row r="131" spans="2:15">
      <c r="B131" s="30"/>
      <c r="C131" s="357">
        <v>355</v>
      </c>
      <c r="D131" s="356">
        <f t="shared" si="5"/>
        <v>2.7710718372529412E-2</v>
      </c>
      <c r="E131" s="356">
        <f t="shared" si="6"/>
        <v>4.1860872435097618E-2</v>
      </c>
      <c r="F131" s="30"/>
      <c r="G131" s="30"/>
      <c r="H131" s="30"/>
      <c r="I131" s="30"/>
      <c r="J131" s="30"/>
      <c r="K131" s="30"/>
      <c r="L131" s="30"/>
      <c r="M131" s="360"/>
      <c r="N131" s="30"/>
      <c r="O131" s="30"/>
    </row>
    <row r="132" spans="2:15">
      <c r="B132" s="30"/>
      <c r="C132" s="357">
        <v>400</v>
      </c>
      <c r="D132" s="356">
        <f t="shared" si="5"/>
        <v>5.7647845124376408E-2</v>
      </c>
      <c r="E132" s="356">
        <f t="shared" si="6"/>
        <v>9.8123991701066227E-2</v>
      </c>
      <c r="F132" s="30"/>
      <c r="G132" s="30"/>
      <c r="H132" s="30"/>
      <c r="I132" s="30"/>
      <c r="J132" s="30"/>
      <c r="K132" s="30"/>
      <c r="L132" s="30"/>
      <c r="M132" s="30"/>
      <c r="N132" s="30"/>
      <c r="O132" s="30"/>
    </row>
    <row r="133" spans="2:15">
      <c r="B133" s="30"/>
      <c r="C133" s="357">
        <v>440</v>
      </c>
      <c r="D133" s="356">
        <f t="shared" si="5"/>
        <v>0.1043547993801771</v>
      </c>
      <c r="E133" s="356">
        <f t="shared" si="6"/>
        <v>0.19538770947777839</v>
      </c>
      <c r="F133" s="30"/>
      <c r="G133" s="30"/>
      <c r="H133" s="30"/>
      <c r="I133" s="30"/>
      <c r="J133" s="30"/>
      <c r="K133" s="30"/>
      <c r="L133" s="30"/>
      <c r="M133" s="30"/>
      <c r="N133" s="30"/>
      <c r="O133" s="30"/>
    </row>
    <row r="134" spans="2:15">
      <c r="B134" s="30"/>
      <c r="C134" s="357">
        <v>488</v>
      </c>
      <c r="D134" s="356">
        <f t="shared" si="5"/>
        <v>0.19971825788053077</v>
      </c>
      <c r="E134" s="356">
        <f t="shared" si="6"/>
        <v>0.4147340844497831</v>
      </c>
      <c r="F134" s="30"/>
      <c r="G134" s="30"/>
      <c r="H134" s="30"/>
      <c r="I134" s="30"/>
      <c r="J134" s="30"/>
      <c r="K134" s="30"/>
      <c r="L134" s="30"/>
      <c r="M134" s="30"/>
      <c r="N134" s="30"/>
      <c r="O134" s="30"/>
    </row>
    <row r="135" spans="2:15">
      <c r="B135" s="30"/>
      <c r="C135" s="357">
        <v>563</v>
      </c>
      <c r="D135" s="356">
        <f t="shared" si="5"/>
        <v>0.49125347530872165</v>
      </c>
      <c r="E135" s="356">
        <f t="shared" si="6"/>
        <v>1.1769179004204693</v>
      </c>
      <c r="F135" s="30"/>
      <c r="G135" s="30"/>
      <c r="H135" s="30"/>
      <c r="I135" s="30"/>
      <c r="J135" s="30"/>
      <c r="K135" s="30"/>
      <c r="L135" s="30"/>
      <c r="M135" s="30"/>
      <c r="N135" s="30"/>
      <c r="O135" s="30"/>
    </row>
    <row r="136" spans="2:15"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182"/>
      <c r="O136" s="182"/>
    </row>
    <row r="137" spans="2:15"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182"/>
      <c r="O137" s="182"/>
    </row>
    <row r="138" spans="2:15"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182"/>
      <c r="O138" s="182"/>
    </row>
    <row r="139" spans="2:15"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182"/>
      <c r="O139" s="182"/>
    </row>
    <row r="140" spans="2:15"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182"/>
      <c r="O140" s="182"/>
    </row>
    <row r="141" spans="2:15"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182"/>
      <c r="O141" s="182"/>
    </row>
    <row r="142" spans="2:15"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182"/>
      <c r="O142" s="182"/>
    </row>
    <row r="143" spans="2:15"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182"/>
      <c r="O143" s="182"/>
    </row>
    <row r="144" spans="2:15"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182"/>
      <c r="O144" s="182"/>
    </row>
    <row r="145" spans="2:15"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182"/>
      <c r="O145" s="182"/>
    </row>
    <row r="146" spans="2:15"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182"/>
      <c r="O146" s="182"/>
    </row>
    <row r="147" spans="2:15"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182"/>
      <c r="O147" s="182"/>
    </row>
    <row r="148" spans="2:15">
      <c r="B148" s="203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182"/>
      <c r="O148" s="182"/>
    </row>
    <row r="149" spans="2:15">
      <c r="B149" s="237"/>
      <c r="C149" s="30"/>
      <c r="D149" s="30"/>
      <c r="E149" s="30"/>
      <c r="F149" s="30"/>
      <c r="G149" s="182"/>
      <c r="H149" s="182"/>
      <c r="I149" s="182"/>
      <c r="J149" s="182"/>
      <c r="K149" s="182"/>
      <c r="L149" s="182"/>
      <c r="M149" s="182"/>
      <c r="N149" s="182"/>
      <c r="O149" s="182"/>
    </row>
    <row r="150" spans="2:15">
      <c r="B150" s="237"/>
      <c r="C150" s="30"/>
      <c r="D150" s="30"/>
      <c r="E150" s="30"/>
      <c r="F150" s="30"/>
      <c r="G150" s="182"/>
      <c r="H150" s="182"/>
      <c r="I150" s="182"/>
      <c r="J150" s="182"/>
      <c r="K150" s="182"/>
      <c r="L150" s="182"/>
      <c r="M150" s="182"/>
      <c r="N150" s="182"/>
      <c r="O150" s="182"/>
    </row>
    <row r="151" spans="2:15">
      <c r="B151" s="182"/>
      <c r="C151" s="30"/>
      <c r="D151" s="30"/>
      <c r="E151" s="30"/>
      <c r="F151" s="30"/>
      <c r="G151" s="182"/>
      <c r="H151" s="182"/>
      <c r="I151" s="182"/>
      <c r="J151" s="182"/>
      <c r="K151" s="182"/>
      <c r="L151" s="182"/>
      <c r="M151" s="182"/>
      <c r="N151" s="182"/>
      <c r="O151" s="182"/>
    </row>
    <row r="152" spans="2:15">
      <c r="B152" s="182"/>
      <c r="C152" s="30"/>
      <c r="D152" s="30"/>
      <c r="E152" s="30"/>
      <c r="F152" s="30"/>
      <c r="G152" s="182"/>
      <c r="H152" s="182"/>
      <c r="I152" s="182"/>
      <c r="J152" s="182"/>
      <c r="K152" s="182"/>
      <c r="L152" s="182"/>
      <c r="M152" s="182"/>
      <c r="N152" s="182"/>
      <c r="O152" s="182"/>
    </row>
    <row r="153" spans="2:15">
      <c r="B153" s="182"/>
      <c r="C153" s="30"/>
      <c r="D153" s="30"/>
      <c r="E153" s="30"/>
      <c r="F153" s="30"/>
      <c r="G153" s="182"/>
      <c r="H153" s="182"/>
      <c r="I153" s="182"/>
      <c r="J153" s="182"/>
      <c r="K153" s="182"/>
      <c r="L153" s="182"/>
      <c r="M153" s="182"/>
      <c r="N153" s="182"/>
      <c r="O153" s="182"/>
    </row>
    <row r="154" spans="2:15">
      <c r="B154" s="182"/>
      <c r="C154" s="30"/>
      <c r="D154" s="30"/>
      <c r="E154" s="30"/>
      <c r="F154" s="30"/>
      <c r="G154" s="182"/>
      <c r="H154" s="182"/>
      <c r="I154" s="182"/>
      <c r="J154" s="182"/>
      <c r="K154" s="182"/>
      <c r="L154" s="182"/>
      <c r="M154" s="182"/>
      <c r="N154" s="182"/>
      <c r="O154" s="182"/>
    </row>
    <row r="155" spans="2:15">
      <c r="B155" s="182"/>
      <c r="C155" s="30"/>
      <c r="D155" s="30"/>
      <c r="E155" s="30"/>
      <c r="F155" s="30"/>
      <c r="G155" s="182"/>
      <c r="H155" s="182"/>
      <c r="I155" s="182"/>
      <c r="J155" s="182"/>
      <c r="K155" s="182"/>
      <c r="L155" s="182"/>
      <c r="M155" s="182"/>
      <c r="N155" s="182"/>
      <c r="O155" s="182"/>
    </row>
    <row r="156" spans="2:15">
      <c r="B156" s="182"/>
      <c r="C156" s="30"/>
      <c r="D156" s="30"/>
      <c r="E156" s="30"/>
      <c r="F156" s="30"/>
      <c r="G156" s="182"/>
      <c r="H156" s="182"/>
      <c r="I156" s="182"/>
      <c r="J156" s="182"/>
      <c r="K156" s="182"/>
      <c r="L156" s="182"/>
      <c r="M156" s="182"/>
      <c r="N156" s="182"/>
      <c r="O156" s="182"/>
    </row>
    <row r="157" spans="2:15">
      <c r="B157" s="182"/>
      <c r="C157" s="30"/>
      <c r="D157" s="30"/>
      <c r="E157" s="30"/>
      <c r="F157" s="30"/>
      <c r="G157" s="182"/>
      <c r="H157" s="182"/>
      <c r="I157" s="182"/>
      <c r="J157" s="182"/>
      <c r="K157" s="182"/>
      <c r="L157" s="182"/>
      <c r="M157" s="182"/>
      <c r="N157" s="182"/>
      <c r="O157" s="182"/>
    </row>
    <row r="158" spans="2:15">
      <c r="B158" s="182"/>
      <c r="C158" s="30"/>
      <c r="D158" s="30"/>
      <c r="E158" s="30"/>
      <c r="F158" s="30"/>
      <c r="G158" s="182"/>
      <c r="H158" s="182"/>
      <c r="I158" s="182"/>
      <c r="J158" s="182"/>
      <c r="K158" s="182"/>
      <c r="L158" s="182"/>
      <c r="M158" s="182"/>
      <c r="N158" s="182"/>
      <c r="O158" s="182"/>
    </row>
    <row r="159" spans="2:15">
      <c r="B159" s="182"/>
      <c r="C159" s="30"/>
      <c r="D159" s="30"/>
      <c r="E159" s="30"/>
      <c r="F159" s="30"/>
      <c r="G159" s="182"/>
      <c r="H159" s="182"/>
      <c r="I159" s="182"/>
      <c r="J159" s="182"/>
      <c r="K159" s="182"/>
      <c r="L159" s="182"/>
      <c r="M159" s="182"/>
      <c r="N159" s="182"/>
      <c r="O159" s="182"/>
    </row>
    <row r="160" spans="2:15">
      <c r="B160" s="182"/>
      <c r="C160" s="30"/>
      <c r="D160" s="30"/>
      <c r="E160" s="30"/>
      <c r="F160" s="30"/>
      <c r="G160" s="182"/>
      <c r="H160" s="182"/>
      <c r="I160" s="182"/>
      <c r="J160" s="182"/>
      <c r="K160" s="182"/>
      <c r="L160" s="182"/>
      <c r="M160" s="182"/>
      <c r="N160" s="182"/>
      <c r="O160" s="182"/>
    </row>
    <row r="161" spans="2:15">
      <c r="B161" s="182"/>
      <c r="C161" s="30"/>
      <c r="D161" s="30"/>
      <c r="E161" s="30"/>
      <c r="F161" s="30"/>
      <c r="G161" s="182"/>
      <c r="H161" s="182"/>
      <c r="I161" s="182"/>
      <c r="J161" s="182"/>
      <c r="K161" s="182"/>
      <c r="L161" s="182"/>
      <c r="M161" s="182"/>
      <c r="N161" s="182"/>
      <c r="O161" s="182"/>
    </row>
    <row r="162" spans="2:15">
      <c r="B162" s="182"/>
      <c r="C162" s="30"/>
      <c r="D162" s="30"/>
      <c r="E162" s="30"/>
      <c r="F162" s="30"/>
      <c r="G162" s="182"/>
      <c r="H162" s="182"/>
      <c r="I162" s="182"/>
      <c r="J162" s="182"/>
      <c r="K162" s="182"/>
      <c r="L162" s="182"/>
      <c r="M162" s="182"/>
      <c r="N162" s="182"/>
      <c r="O162" s="182"/>
    </row>
    <row r="163" spans="2:15">
      <c r="B163" s="182"/>
      <c r="C163" s="30"/>
      <c r="D163" s="30"/>
      <c r="E163" s="30"/>
      <c r="F163" s="30"/>
      <c r="G163" s="182"/>
      <c r="H163" s="182"/>
      <c r="I163" s="182"/>
      <c r="J163" s="182"/>
      <c r="K163" s="182"/>
      <c r="L163" s="182"/>
      <c r="M163" s="182"/>
      <c r="N163" s="182"/>
      <c r="O163" s="182"/>
    </row>
    <row r="164" spans="2:15">
      <c r="B164" s="182"/>
      <c r="C164" s="182"/>
      <c r="D164" s="182"/>
      <c r="E164" s="182"/>
      <c r="F164" s="182"/>
      <c r="G164" s="182"/>
      <c r="H164" s="182"/>
      <c r="I164" s="182"/>
      <c r="J164" s="182"/>
      <c r="K164" s="182"/>
      <c r="L164" s="182"/>
      <c r="M164" s="182"/>
      <c r="N164" s="182"/>
      <c r="O164" s="182"/>
    </row>
  </sheetData>
  <phoneticPr fontId="2" type="noConversion"/>
  <pageMargins left="0.59055118110236227" right="0.38" top="0.98425196850393704" bottom="0.98425196850393704" header="0.51181102362204722" footer="0.51181102362204722"/>
  <pageSetup paperSize="9" orientation="landscape" blackAndWhite="1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515" r:id="rId4">
          <objectPr defaultSize="0" autoPict="0" r:id="rId5">
            <anchor moveWithCells="1">
              <from>
                <xdr:col>5</xdr:col>
                <xdr:colOff>28575</xdr:colOff>
                <xdr:row>63</xdr:row>
                <xdr:rowOff>114300</xdr:rowOff>
              </from>
              <to>
                <xdr:col>8</xdr:col>
                <xdr:colOff>114300</xdr:colOff>
                <xdr:row>67</xdr:row>
                <xdr:rowOff>38100</xdr:rowOff>
              </to>
            </anchor>
          </objectPr>
        </oleObject>
      </mc:Choice>
      <mc:Fallback>
        <oleObject progId="Equation.3" shapeId="20515" r:id="rId4"/>
      </mc:Fallback>
    </mc:AlternateContent>
    <mc:AlternateContent xmlns:mc="http://schemas.openxmlformats.org/markup-compatibility/2006">
      <mc:Choice Requires="x14">
        <oleObject progId="Equation.3" shapeId="20519" r:id="rId6">
          <objectPr defaultSize="0" autoPict="0" r:id="rId7">
            <anchor moveWithCells="1">
              <from>
                <xdr:col>1</xdr:col>
                <xdr:colOff>0</xdr:colOff>
                <xdr:row>13</xdr:row>
                <xdr:rowOff>57150</xdr:rowOff>
              </from>
              <to>
                <xdr:col>4</xdr:col>
                <xdr:colOff>438150</xdr:colOff>
                <xdr:row>16</xdr:row>
                <xdr:rowOff>57150</xdr:rowOff>
              </to>
            </anchor>
          </objectPr>
        </oleObject>
      </mc:Choice>
      <mc:Fallback>
        <oleObject progId="Equation.3" shapeId="20519" r:id="rId6"/>
      </mc:Fallback>
    </mc:AlternateContent>
    <mc:AlternateContent xmlns:mc="http://schemas.openxmlformats.org/markup-compatibility/2006">
      <mc:Choice Requires="x14">
        <oleObject progId="Equation.3" shapeId="20520" r:id="rId8">
          <objectPr defaultSize="0" autoPict="0" r:id="rId9">
            <anchor moveWithCells="1">
              <from>
                <xdr:col>1</xdr:col>
                <xdr:colOff>9525</xdr:colOff>
                <xdr:row>63</xdr:row>
                <xdr:rowOff>123825</xdr:rowOff>
              </from>
              <to>
                <xdr:col>4</xdr:col>
                <xdr:colOff>95250</xdr:colOff>
                <xdr:row>67</xdr:row>
                <xdr:rowOff>47625</xdr:rowOff>
              </to>
            </anchor>
          </objectPr>
        </oleObject>
      </mc:Choice>
      <mc:Fallback>
        <oleObject progId="Equation.3" shapeId="20520" r:id="rId8"/>
      </mc:Fallback>
    </mc:AlternateContent>
    <mc:AlternateContent xmlns:mc="http://schemas.openxmlformats.org/markup-compatibility/2006">
      <mc:Choice Requires="x14">
        <oleObject progId="Equation.3" shapeId="20534" r:id="rId10">
          <objectPr defaultSize="0" autoPict="0" r:id="rId11">
            <anchor moveWithCells="1">
              <from>
                <xdr:col>2</xdr:col>
                <xdr:colOff>76200</xdr:colOff>
                <xdr:row>100</xdr:row>
                <xdr:rowOff>133350</xdr:rowOff>
              </from>
              <to>
                <xdr:col>5</xdr:col>
                <xdr:colOff>295275</xdr:colOff>
                <xdr:row>104</xdr:row>
                <xdr:rowOff>95250</xdr:rowOff>
              </to>
            </anchor>
          </objectPr>
        </oleObject>
      </mc:Choice>
      <mc:Fallback>
        <oleObject progId="Equation.3" shapeId="20534" r:id="rId10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2" r:id="rId12" name="Drop Down 52">
              <controlPr defaultSize="0" autoLine="0" autoPict="0">
                <anchor mov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11</xdr:col>
                    <xdr:colOff>152400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56DBF-8C29-4878-9C83-91815F10A93C}">
  <sheetPr codeName="Sheet7113"/>
  <dimension ref="B10:R37"/>
  <sheetViews>
    <sheetView topLeftCell="A22" workbookViewId="0">
      <selection activeCell="G11" sqref="G11"/>
    </sheetView>
  </sheetViews>
  <sheetFormatPr defaultRowHeight="12.75"/>
  <cols>
    <col min="1" max="1" width="4.83203125" style="206" customWidth="1"/>
    <col min="2" max="2" width="9" style="206" customWidth="1"/>
    <col min="3" max="3" width="9.5" style="206" customWidth="1"/>
    <col min="4" max="4" width="10.5" style="206" customWidth="1"/>
    <col min="5" max="6" width="10.83203125" style="206" customWidth="1"/>
    <col min="7" max="7" width="9.5" style="206" customWidth="1"/>
    <col min="8" max="8" width="12.6640625" style="206" customWidth="1"/>
    <col min="9" max="11" width="9.5" style="206" customWidth="1"/>
    <col min="12" max="12" width="12.6640625" style="206" customWidth="1"/>
    <col min="13" max="13" width="11.6640625" style="206" customWidth="1"/>
    <col min="14" max="14" width="10.33203125" style="206" customWidth="1"/>
    <col min="15" max="15" width="11.1640625" style="206" customWidth="1"/>
    <col min="16" max="16" width="9.6640625" style="206" customWidth="1"/>
    <col min="17" max="17" width="10.5" style="206" customWidth="1"/>
    <col min="18" max="18" width="9.33203125" style="206"/>
    <col min="19" max="19" width="11.1640625" style="206" customWidth="1"/>
    <col min="20" max="16384" width="9.33203125" style="206"/>
  </cols>
  <sheetData>
    <row r="10" spans="2:8">
      <c r="B10" s="30"/>
      <c r="C10" s="30"/>
      <c r="D10" s="203"/>
      <c r="E10" s="30"/>
      <c r="F10" s="30"/>
      <c r="G10" s="30"/>
      <c r="H10" s="30"/>
    </row>
    <row r="12" spans="2:8">
      <c r="B12" s="223" t="s">
        <v>150</v>
      </c>
      <c r="C12" s="223" t="s">
        <v>279</v>
      </c>
      <c r="D12" s="223" t="s">
        <v>160</v>
      </c>
      <c r="E12" s="30"/>
      <c r="F12"/>
      <c r="G12" s="30"/>
      <c r="H12" s="30"/>
    </row>
    <row r="13" spans="2:8">
      <c r="B13" s="418">
        <v>205000</v>
      </c>
      <c r="C13" s="223"/>
      <c r="D13" s="223"/>
      <c r="E13" s="30"/>
      <c r="F13" s="30"/>
      <c r="G13" s="30"/>
      <c r="H13" s="30"/>
    </row>
    <row r="15" spans="2:8">
      <c r="B15" s="223" t="s">
        <v>211</v>
      </c>
      <c r="C15" s="223" t="s">
        <v>215</v>
      </c>
      <c r="D15" s="223" t="s">
        <v>272</v>
      </c>
      <c r="E15" s="223" t="s">
        <v>189</v>
      </c>
      <c r="F15" s="223" t="s">
        <v>159</v>
      </c>
      <c r="G15" s="223" t="s">
        <v>192</v>
      </c>
      <c r="H15" s="223" t="s">
        <v>280</v>
      </c>
    </row>
    <row r="16" spans="2:8">
      <c r="B16" s="223"/>
      <c r="C16" s="223"/>
      <c r="D16" s="223">
        <v>571.70000000000005</v>
      </c>
      <c r="E16" s="223">
        <v>-6.8199999999999997E-2</v>
      </c>
      <c r="F16" s="419">
        <v>5.4100000000000002E-2</v>
      </c>
      <c r="G16" s="223">
        <v>-0.44769999999999999</v>
      </c>
      <c r="H16" s="226">
        <f>(F16*B13/D16)^(1/(E16-G16))</f>
        <v>2473.816118393614</v>
      </c>
    </row>
    <row r="18" spans="2:18">
      <c r="B18" s="30" t="s">
        <v>281</v>
      </c>
      <c r="C18" s="30"/>
      <c r="D18" s="30"/>
      <c r="E18" s="30"/>
      <c r="F18" s="30"/>
      <c r="G18" s="30"/>
      <c r="H18" s="30"/>
      <c r="I18" s="30"/>
      <c r="J18" s="30"/>
      <c r="K18" s="203"/>
      <c r="L18" s="203"/>
      <c r="M18" s="203"/>
      <c r="N18" s="203" t="s">
        <v>272</v>
      </c>
      <c r="O18" s="203" t="s">
        <v>189</v>
      </c>
      <c r="P18" s="203" t="s">
        <v>159</v>
      </c>
      <c r="Q18" s="203" t="s">
        <v>192</v>
      </c>
      <c r="R18" s="203" t="s">
        <v>144</v>
      </c>
    </row>
    <row r="19" spans="2:18">
      <c r="B19" s="30" t="s">
        <v>282</v>
      </c>
      <c r="C19" s="30">
        <v>362</v>
      </c>
      <c r="D19" s="399">
        <v>3.6960000000000001E-3</v>
      </c>
      <c r="E19" s="30"/>
      <c r="F19" s="30"/>
      <c r="G19" s="30"/>
      <c r="H19" s="30"/>
      <c r="I19" s="30"/>
      <c r="J19" s="30"/>
      <c r="K19" s="203">
        <v>235</v>
      </c>
      <c r="L19" s="203">
        <v>400</v>
      </c>
      <c r="M19" s="361">
        <f>L19/K19</f>
        <v>1.7021276595744681</v>
      </c>
      <c r="N19" s="203">
        <f>L19+345</f>
        <v>745</v>
      </c>
      <c r="O19" s="361">
        <f>-(1/6)*LOG(2*N19/L19)</f>
        <v>-9.5187712847385267E-2</v>
      </c>
      <c r="P19" s="203"/>
      <c r="Q19" s="203">
        <v>-0.6</v>
      </c>
      <c r="R19" s="361">
        <f>O19/Q19</f>
        <v>0.15864618807897546</v>
      </c>
    </row>
    <row r="20" spans="2:18">
      <c r="B20" s="30" t="s">
        <v>283</v>
      </c>
      <c r="C20" s="30">
        <v>-231.3</v>
      </c>
      <c r="D20" s="345">
        <v>-3.1300000000000002E-4</v>
      </c>
      <c r="E20" s="30"/>
      <c r="F20" s="30"/>
      <c r="G20" s="30"/>
      <c r="H20" s="30"/>
      <c r="I20" s="30"/>
      <c r="J20" s="30"/>
      <c r="K20" s="203">
        <v>265</v>
      </c>
      <c r="L20" s="203">
        <v>400</v>
      </c>
      <c r="M20" s="361">
        <f>L20/K20</f>
        <v>1.5094339622641511</v>
      </c>
      <c r="N20" s="203">
        <f>L20+345</f>
        <v>745</v>
      </c>
      <c r="O20" s="361">
        <f>-(1/6)*LOG(2*N20/L20)</f>
        <v>-9.5187712847385267E-2</v>
      </c>
      <c r="P20" s="203"/>
      <c r="Q20" s="203">
        <v>-0.6</v>
      </c>
      <c r="R20" s="361">
        <f>O20/Q20</f>
        <v>0.15864618807897546</v>
      </c>
    </row>
    <row r="21" spans="2:18">
      <c r="B21" s="30"/>
      <c r="C21" s="30"/>
      <c r="D21" s="30"/>
      <c r="E21" s="30"/>
      <c r="F21" s="30"/>
      <c r="G21" s="30"/>
      <c r="H21" s="30"/>
      <c r="I21" s="30"/>
      <c r="J21" s="30"/>
      <c r="K21" s="203">
        <v>315</v>
      </c>
      <c r="L21" s="203">
        <v>440</v>
      </c>
      <c r="M21" s="361">
        <f>L21/K21</f>
        <v>1.3968253968253967</v>
      </c>
      <c r="N21" s="203">
        <f>L21+345</f>
        <v>785</v>
      </c>
      <c r="O21" s="361">
        <f>-(1/6)*LOG(2*N21/L21)</f>
        <v>-9.207449598717439E-2</v>
      </c>
      <c r="P21" s="203"/>
      <c r="Q21" s="203">
        <v>-0.6</v>
      </c>
      <c r="R21" s="361">
        <f>O21/Q21</f>
        <v>0.15345749331195732</v>
      </c>
    </row>
    <row r="22" spans="2:18">
      <c r="B22" s="30"/>
      <c r="C22" s="30"/>
      <c r="D22" s="30"/>
      <c r="E22" s="30"/>
      <c r="F22" s="30"/>
      <c r="G22" s="30"/>
      <c r="H22" s="30"/>
      <c r="I22" s="30"/>
      <c r="J22" s="30"/>
      <c r="K22" s="203">
        <v>355</v>
      </c>
      <c r="L22" s="203">
        <v>490</v>
      </c>
      <c r="M22" s="361">
        <f>L22/K22</f>
        <v>1.380281690140845</v>
      </c>
      <c r="N22" s="203">
        <f>L22+345</f>
        <v>835</v>
      </c>
      <c r="O22" s="361">
        <f>-(1/6)*LOG(2*N22/L22)</f>
        <v>-8.8753398519844928E-2</v>
      </c>
      <c r="P22" s="203"/>
      <c r="Q22" s="203">
        <v>-0.6</v>
      </c>
      <c r="R22" s="361">
        <f>O22/Q22</f>
        <v>0.14792233086640821</v>
      </c>
    </row>
    <row r="23" spans="2:18">
      <c r="B23" s="223" t="s">
        <v>284</v>
      </c>
      <c r="C23" s="223" t="s">
        <v>285</v>
      </c>
      <c r="D23" s="223" t="s">
        <v>286</v>
      </c>
      <c r="E23" s="223" t="s">
        <v>287</v>
      </c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203"/>
      <c r="R23" s="30"/>
    </row>
    <row r="24" spans="2:18">
      <c r="B24" s="223">
        <v>593.29999999999995</v>
      </c>
      <c r="C24" s="420">
        <v>65.400000000000006</v>
      </c>
      <c r="D24" s="383">
        <v>362</v>
      </c>
      <c r="E24" s="421">
        <f>(D19-D20)/2</f>
        <v>2.0045000000000002E-3</v>
      </c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</row>
    <row r="26" spans="2:18">
      <c r="B26" s="30" t="s">
        <v>254</v>
      </c>
      <c r="C26" s="30"/>
      <c r="D26" s="223" t="s">
        <v>27</v>
      </c>
      <c r="E26" s="223" t="s">
        <v>255</v>
      </c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</row>
    <row r="27" spans="2:18">
      <c r="B27" s="30"/>
      <c r="C27" s="30"/>
      <c r="D27" s="226" t="e">
        <f ca="1">EN_Life(E24,B13,D16,E16,F16,G16)</f>
        <v>#NAME?</v>
      </c>
      <c r="E27" s="413" t="e">
        <f ca="1">1/D27</f>
        <v>#NAME?</v>
      </c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</row>
    <row r="29" spans="2:18">
      <c r="B29" s="203" t="s">
        <v>288</v>
      </c>
      <c r="C29" s="30"/>
      <c r="D29" s="223" t="s">
        <v>27</v>
      </c>
      <c r="E29" s="223" t="s">
        <v>255</v>
      </c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</row>
    <row r="30" spans="2:18">
      <c r="B30" s="30"/>
      <c r="C30" s="30"/>
      <c r="D30" s="226" t="e">
        <f ca="1">EN_Life(E24,B13,D16-C24,E16,F16,G16)</f>
        <v>#NAME?</v>
      </c>
      <c r="E30" s="413" t="e">
        <f ca="1">1/D30</f>
        <v>#NAME?</v>
      </c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</row>
    <row r="32" spans="2:18">
      <c r="B32" s="30" t="s">
        <v>289</v>
      </c>
      <c r="C32" s="30"/>
      <c r="D32" s="223" t="s">
        <v>27</v>
      </c>
      <c r="E32" s="223" t="s">
        <v>255</v>
      </c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</row>
    <row r="33" spans="2:8">
      <c r="B33" s="30"/>
      <c r="C33" s="30"/>
      <c r="D33" s="226" t="e">
        <f ca="1">swt_life(E24,D24,B13,D16,E16,F16,G16)/2</f>
        <v>#NAME?</v>
      </c>
      <c r="E33" s="413" t="e">
        <f ca="1">1/D33</f>
        <v>#NAME?</v>
      </c>
      <c r="F33" s="30"/>
      <c r="G33" s="30"/>
      <c r="H33" s="30"/>
    </row>
    <row r="35" spans="2:8">
      <c r="B35" s="30" t="s">
        <v>289</v>
      </c>
      <c r="C35" s="30"/>
      <c r="D35" s="223" t="s">
        <v>260</v>
      </c>
      <c r="E35" s="223" t="s">
        <v>261</v>
      </c>
      <c r="F35" s="223" t="s">
        <v>262</v>
      </c>
      <c r="G35" s="223" t="s">
        <v>27</v>
      </c>
      <c r="H35" s="223" t="s">
        <v>255</v>
      </c>
    </row>
    <row r="36" spans="2:8">
      <c r="B36" s="30"/>
      <c r="C36" s="30"/>
      <c r="D36" s="383">
        <f>SQRT(D24*E24*B13)</f>
        <v>385.68632980700784</v>
      </c>
      <c r="E36" s="223">
        <v>1748</v>
      </c>
      <c r="F36" s="223">
        <v>-5.6786000000000003</v>
      </c>
      <c r="G36" s="226">
        <f>(D36/E36)^F36</f>
        <v>5332.1942828188294</v>
      </c>
      <c r="H36" s="413">
        <f>1/G36</f>
        <v>1.8754005329891255E-4</v>
      </c>
    </row>
    <row r="37" spans="2:8">
      <c r="B37" s="30"/>
      <c r="C37" s="30"/>
      <c r="D37" s="30"/>
      <c r="E37" s="379" t="e">
        <f ca="1">PSWT_Life(D36,B13,D16,E16,F16,G16)/2</f>
        <v>#NAME?</v>
      </c>
      <c r="F37" s="30"/>
      <c r="G37" s="30"/>
      <c r="H37" s="30"/>
    </row>
  </sheetData>
  <phoneticPr fontId="2" type="noConversion"/>
  <pageMargins left="0.59055118110236227" right="0.38" top="0.98425196850393704" bottom="0.98425196850393704" header="0.51181102362204722" footer="0.51181102362204722"/>
  <pageSetup paperSize="9" orientation="portrait" blackAndWhite="1" horizontalDpi="2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D389-D0CF-4DFE-BE89-B726F0DFB14C}">
  <sheetPr codeName="Sheet3"/>
  <dimension ref="A1:L138"/>
  <sheetViews>
    <sheetView showGridLines="0" topLeftCell="B1" workbookViewId="0">
      <selection activeCell="C136" sqref="C136"/>
    </sheetView>
  </sheetViews>
  <sheetFormatPr defaultColWidth="13.1640625" defaultRowHeight="13.5"/>
  <cols>
    <col min="1" max="15" width="13.1640625" style="13" customWidth="1"/>
    <col min="16" max="16" width="5.5" style="13" customWidth="1"/>
    <col min="17" max="16384" width="13.1640625" style="13"/>
  </cols>
  <sheetData>
    <row r="1" spans="1:12">
      <c r="A1" s="17" t="s">
        <v>290</v>
      </c>
    </row>
    <row r="4" spans="1:12">
      <c r="J4" s="14" t="s">
        <v>291</v>
      </c>
      <c r="K4" s="13" t="s">
        <v>292</v>
      </c>
      <c r="L4" s="14" t="s">
        <v>293</v>
      </c>
    </row>
    <row r="5" spans="1:12">
      <c r="J5" s="14">
        <f>$D$22*0</f>
        <v>0</v>
      </c>
      <c r="K5" s="13">
        <f>C22</f>
        <v>-1</v>
      </c>
      <c r="L5" s="14">
        <f t="shared" ref="L5:L15" si="0">$C$22*($D$22-$E$22)*($D$22+$E$22-2*J5^2)/2</f>
        <v>-18624.5</v>
      </c>
    </row>
    <row r="6" spans="1:12">
      <c r="J6" s="14">
        <f>$D$22*0.1</f>
        <v>19.3</v>
      </c>
      <c r="L6" s="14">
        <f t="shared" si="0"/>
        <v>53266.07</v>
      </c>
    </row>
    <row r="7" spans="1:12">
      <c r="J7" s="14">
        <f>$D$22*0.2</f>
        <v>38.6</v>
      </c>
      <c r="L7" s="14">
        <f t="shared" si="0"/>
        <v>268937.78000000003</v>
      </c>
    </row>
    <row r="8" spans="1:12">
      <c r="H8" s="14">
        <f>D25</f>
        <v>150</v>
      </c>
      <c r="J8" s="14">
        <f>$D$22*0.3</f>
        <v>57.9</v>
      </c>
      <c r="L8" s="14">
        <f t="shared" si="0"/>
        <v>628390.63</v>
      </c>
    </row>
    <row r="9" spans="1:12">
      <c r="J9" s="14">
        <f>$D$22*0.4</f>
        <v>77.2</v>
      </c>
      <c r="L9" s="14">
        <f t="shared" si="0"/>
        <v>1131624.6200000001</v>
      </c>
    </row>
    <row r="10" spans="1:12">
      <c r="J10" s="14">
        <f>$D$22*0.5</f>
        <v>96.5</v>
      </c>
      <c r="L10" s="14">
        <f t="shared" si="0"/>
        <v>1778639.75</v>
      </c>
    </row>
    <row r="11" spans="1:12">
      <c r="J11" s="14">
        <f>$D$22*0.6</f>
        <v>115.8</v>
      </c>
      <c r="L11" s="14">
        <f t="shared" si="0"/>
        <v>2569436.02</v>
      </c>
    </row>
    <row r="12" spans="1:12">
      <c r="J12" s="14">
        <f>$D$22*0.7</f>
        <v>135.1</v>
      </c>
      <c r="L12" s="14">
        <f t="shared" si="0"/>
        <v>3504013.4299999997</v>
      </c>
    </row>
    <row r="13" spans="1:12">
      <c r="H13" s="18">
        <f>C25</f>
        <v>193</v>
      </c>
      <c r="J13" s="14">
        <f>$D$22*0.8</f>
        <v>154.4</v>
      </c>
      <c r="L13" s="14">
        <f t="shared" si="0"/>
        <v>4582371.9800000004</v>
      </c>
    </row>
    <row r="14" spans="1:12">
      <c r="J14" s="14">
        <f>$D$22*0.9</f>
        <v>173.70000000000002</v>
      </c>
      <c r="L14" s="14">
        <f t="shared" si="0"/>
        <v>5804511.6700000009</v>
      </c>
    </row>
    <row r="15" spans="1:12">
      <c r="J15" s="14">
        <f>$D$22*1</f>
        <v>193</v>
      </c>
      <c r="L15" s="14">
        <f t="shared" si="0"/>
        <v>7170432.5</v>
      </c>
    </row>
    <row r="21" spans="2:6">
      <c r="B21" s="15" t="s">
        <v>294</v>
      </c>
      <c r="C21" s="15" t="s">
        <v>295</v>
      </c>
      <c r="D21" s="15" t="s">
        <v>296</v>
      </c>
      <c r="E21" s="15" t="s">
        <v>297</v>
      </c>
      <c r="F21" s="15" t="s">
        <v>291</v>
      </c>
    </row>
    <row r="22" spans="2:6">
      <c r="B22" s="15">
        <f>C22*(D22-E22)*(D22+E22-2*F22)/2</f>
        <v>-18624.5</v>
      </c>
      <c r="C22" s="15">
        <v>-1</v>
      </c>
      <c r="D22" s="15">
        <v>193</v>
      </c>
      <c r="E22" s="15">
        <v>0</v>
      </c>
      <c r="F22" s="15">
        <v>0</v>
      </c>
    </row>
    <row r="24" spans="2:6">
      <c r="B24" s="15" t="s">
        <v>298</v>
      </c>
      <c r="C24" s="15" t="s">
        <v>218</v>
      </c>
      <c r="D24" s="15" t="s">
        <v>299</v>
      </c>
      <c r="E24" s="15" t="s">
        <v>300</v>
      </c>
    </row>
    <row r="25" spans="2:6">
      <c r="B25" s="15">
        <f>C25*D25^3/12</f>
        <v>54281250</v>
      </c>
      <c r="C25" s="15">
        <v>193</v>
      </c>
      <c r="D25" s="15">
        <v>150</v>
      </c>
      <c r="E25" s="15">
        <v>75</v>
      </c>
    </row>
    <row r="27" spans="2:6">
      <c r="B27" s="15" t="s">
        <v>301</v>
      </c>
    </row>
    <row r="28" spans="2:6">
      <c r="B28" s="16">
        <f>B22*E25/B25</f>
        <v>-2.5733333333333334E-2</v>
      </c>
    </row>
    <row r="38" spans="3:8">
      <c r="D38" s="13" t="s">
        <v>302</v>
      </c>
    </row>
    <row r="44" spans="3:8">
      <c r="H44" s="13">
        <v>15</v>
      </c>
    </row>
    <row r="45" spans="3:8">
      <c r="C45" s="13" t="s">
        <v>303</v>
      </c>
      <c r="E45" s="13" t="s">
        <v>304</v>
      </c>
    </row>
    <row r="47" spans="3:8">
      <c r="D47" s="13" t="s">
        <v>305</v>
      </c>
    </row>
    <row r="49" spans="1:8">
      <c r="C49" s="13" t="s">
        <v>291</v>
      </c>
    </row>
    <row r="50" spans="1:8">
      <c r="G50" s="272">
        <v>50</v>
      </c>
      <c r="H50" s="272"/>
    </row>
    <row r="56" spans="1:8">
      <c r="B56" s="15" t="s">
        <v>296</v>
      </c>
      <c r="C56" s="15" t="s">
        <v>297</v>
      </c>
      <c r="D56" s="15" t="s">
        <v>218</v>
      </c>
      <c r="E56" s="15" t="s">
        <v>306</v>
      </c>
      <c r="F56" s="15"/>
    </row>
    <row r="57" spans="1:8">
      <c r="B57" s="15">
        <v>415</v>
      </c>
      <c r="C57" s="15">
        <v>207.5</v>
      </c>
      <c r="D57" s="15">
        <v>207.5</v>
      </c>
      <c r="E57" s="15">
        <v>750</v>
      </c>
      <c r="F57" s="15"/>
    </row>
    <row r="58" spans="1:8">
      <c r="B58" s="15" t="s">
        <v>307</v>
      </c>
      <c r="C58" s="15" t="s">
        <v>293</v>
      </c>
      <c r="D58" s="15" t="s">
        <v>298</v>
      </c>
      <c r="E58" s="15" t="s">
        <v>218</v>
      </c>
      <c r="F58" s="15" t="s">
        <v>299</v>
      </c>
      <c r="G58" s="15" t="s">
        <v>300</v>
      </c>
    </row>
    <row r="59" spans="1:8">
      <c r="B59" s="169">
        <f>207.5-15</f>
        <v>192.5</v>
      </c>
      <c r="C59" s="169">
        <f>IF(B59&lt;$C$57,$E$57*$D$57*B59/$B$57,$E$57*$C$57*(1-B59/$B$57))</f>
        <v>72187.5</v>
      </c>
      <c r="D59" s="15">
        <f>E59*F59^3/12</f>
        <v>14062.5</v>
      </c>
      <c r="E59" s="15">
        <v>50</v>
      </c>
      <c r="F59" s="15">
        <v>15</v>
      </c>
      <c r="G59" s="15">
        <v>7.5</v>
      </c>
    </row>
    <row r="61" spans="1:8">
      <c r="A61" s="13">
        <v>0</v>
      </c>
      <c r="B61" s="13">
        <f>$B$57*A61/10</f>
        <v>0</v>
      </c>
      <c r="C61" s="13">
        <f>IF(B61&lt;$C$57,$E$57*$D$57*B61/$B$57,$E$57*$C$57*(1-B61/$B$57))</f>
        <v>0</v>
      </c>
    </row>
    <row r="62" spans="1:8">
      <c r="A62" s="13">
        <v>1</v>
      </c>
      <c r="B62" s="13">
        <f>$B$57*A62/10</f>
        <v>41.5</v>
      </c>
      <c r="C62" s="13">
        <f t="shared" ref="C62:C71" si="1">IF(B62&lt;$C$57,$E$57*$D$57*B62/$B$57,$E$57*$C$57*(1-B62/$B$57))</f>
        <v>15562.5</v>
      </c>
      <c r="E62" s="15" t="s">
        <v>301</v>
      </c>
    </row>
    <row r="63" spans="1:8">
      <c r="A63" s="13">
        <v>2</v>
      </c>
      <c r="B63" s="13">
        <f t="shared" ref="B63:B71" si="2">$B$57*A63/10</f>
        <v>83</v>
      </c>
      <c r="C63" s="13">
        <f t="shared" si="1"/>
        <v>31125</v>
      </c>
      <c r="E63" s="16">
        <f>C59*G59/D59</f>
        <v>38.5</v>
      </c>
    </row>
    <row r="64" spans="1:8">
      <c r="A64" s="13">
        <v>3</v>
      </c>
      <c r="B64" s="13">
        <f t="shared" si="2"/>
        <v>124.5</v>
      </c>
      <c r="C64" s="13">
        <f t="shared" si="1"/>
        <v>46687.5</v>
      </c>
    </row>
    <row r="65" spans="1:3">
      <c r="A65" s="13">
        <v>4</v>
      </c>
      <c r="B65" s="13">
        <f t="shared" si="2"/>
        <v>166</v>
      </c>
      <c r="C65" s="13">
        <f t="shared" si="1"/>
        <v>62250</v>
      </c>
    </row>
    <row r="66" spans="1:3">
      <c r="A66" s="13">
        <v>5</v>
      </c>
      <c r="B66" s="13">
        <f t="shared" si="2"/>
        <v>207.5</v>
      </c>
      <c r="C66" s="13">
        <f t="shared" si="1"/>
        <v>77812.5</v>
      </c>
    </row>
    <row r="67" spans="1:3">
      <c r="A67" s="13">
        <v>6</v>
      </c>
      <c r="B67" s="13">
        <f t="shared" si="2"/>
        <v>249</v>
      </c>
      <c r="C67" s="13">
        <f t="shared" si="1"/>
        <v>62250</v>
      </c>
    </row>
    <row r="68" spans="1:3">
      <c r="A68" s="13">
        <v>7</v>
      </c>
      <c r="B68" s="13">
        <f t="shared" si="2"/>
        <v>290.5</v>
      </c>
      <c r="C68" s="13">
        <f t="shared" si="1"/>
        <v>46687.500000000007</v>
      </c>
    </row>
    <row r="69" spans="1:3">
      <c r="A69" s="13">
        <v>8</v>
      </c>
      <c r="B69" s="13">
        <f t="shared" si="2"/>
        <v>332</v>
      </c>
      <c r="C69" s="13">
        <f t="shared" si="1"/>
        <v>31124.999999999993</v>
      </c>
    </row>
    <row r="70" spans="1:3">
      <c r="A70" s="13">
        <v>9</v>
      </c>
      <c r="B70" s="13">
        <f t="shared" si="2"/>
        <v>373.5</v>
      </c>
      <c r="C70" s="13">
        <f t="shared" si="1"/>
        <v>15562.499999999996</v>
      </c>
    </row>
    <row r="71" spans="1:3">
      <c r="A71" s="13">
        <v>10</v>
      </c>
      <c r="B71" s="13">
        <f t="shared" si="2"/>
        <v>415</v>
      </c>
      <c r="C71" s="13">
        <f t="shared" si="1"/>
        <v>0</v>
      </c>
    </row>
    <row r="114" spans="3:7">
      <c r="C114" s="14" t="s">
        <v>295</v>
      </c>
      <c r="D114" s="15" t="s">
        <v>298</v>
      </c>
      <c r="E114" s="15" t="s">
        <v>218</v>
      </c>
      <c r="F114" s="15" t="s">
        <v>299</v>
      </c>
      <c r="G114" s="15" t="s">
        <v>300</v>
      </c>
    </row>
    <row r="115" spans="3:7">
      <c r="C115" s="14">
        <v>1</v>
      </c>
      <c r="D115" s="15">
        <f>E115*F115^3/12</f>
        <v>183.08333333333334</v>
      </c>
      <c r="E115" s="15">
        <v>1</v>
      </c>
      <c r="F115" s="15">
        <v>13</v>
      </c>
      <c r="G115" s="15">
        <v>75</v>
      </c>
    </row>
    <row r="116" spans="3:7">
      <c r="C116" s="14" t="s">
        <v>291</v>
      </c>
    </row>
    <row r="117" spans="3:7">
      <c r="C117" s="14">
        <v>0</v>
      </c>
      <c r="D117" s="13">
        <f t="shared" ref="D117:D133" si="3">$C$115*C117</f>
        <v>0</v>
      </c>
      <c r="E117" s="13">
        <f t="shared" ref="E117:E133" si="4">1/2*$C$115*C117^2</f>
        <v>0</v>
      </c>
      <c r="F117" s="16">
        <f t="shared" ref="F117:F133" si="5">E117*$G$115/$D$115</f>
        <v>0</v>
      </c>
    </row>
    <row r="118" spans="3:7">
      <c r="C118" s="14">
        <v>10</v>
      </c>
      <c r="D118" s="13">
        <f t="shared" si="3"/>
        <v>10</v>
      </c>
      <c r="E118" s="13">
        <f>1/2*$C$115*C118^2</f>
        <v>50</v>
      </c>
      <c r="F118" s="16">
        <f>E118*$G$115/$D$115</f>
        <v>20.482476103777877</v>
      </c>
    </row>
    <row r="119" spans="3:7">
      <c r="C119" s="14">
        <v>20</v>
      </c>
      <c r="D119" s="13">
        <f t="shared" si="3"/>
        <v>20</v>
      </c>
      <c r="E119" s="13">
        <f>1/2*$C$115*C119^2</f>
        <v>200</v>
      </c>
      <c r="F119" s="16">
        <f>E119*$G$115/$D$115</f>
        <v>81.929904415111508</v>
      </c>
    </row>
    <row r="120" spans="3:7">
      <c r="C120" s="14">
        <v>30</v>
      </c>
      <c r="D120" s="13">
        <f t="shared" si="3"/>
        <v>30</v>
      </c>
      <c r="E120" s="13">
        <f>1/2*$C$115*C120^2</f>
        <v>450</v>
      </c>
      <c r="F120" s="16">
        <f>E120*$G$115/$D$115</f>
        <v>184.3422849340009</v>
      </c>
    </row>
    <row r="121" spans="3:7">
      <c r="C121" s="14">
        <v>40</v>
      </c>
      <c r="D121" s="13">
        <f t="shared" si="3"/>
        <v>40</v>
      </c>
      <c r="E121" s="13">
        <f>1/2*$C$115*C121^2</f>
        <v>800</v>
      </c>
      <c r="F121" s="16">
        <f>E121*$G$115/$D$115</f>
        <v>327.71961766044603</v>
      </c>
    </row>
    <row r="122" spans="3:7">
      <c r="C122" s="14">
        <v>50</v>
      </c>
      <c r="D122" s="13">
        <f t="shared" si="3"/>
        <v>50</v>
      </c>
      <c r="E122" s="13">
        <f>1/2*$C$115*C122^2</f>
        <v>1250</v>
      </c>
      <c r="F122" s="16">
        <f>E122*$G$115/$D$115</f>
        <v>512.06190259444691</v>
      </c>
    </row>
    <row r="123" spans="3:7">
      <c r="C123" s="14">
        <v>80</v>
      </c>
      <c r="D123" s="13">
        <f t="shared" si="3"/>
        <v>80</v>
      </c>
      <c r="E123" s="13">
        <f t="shared" si="4"/>
        <v>3200</v>
      </c>
      <c r="F123" s="16">
        <f t="shared" si="5"/>
        <v>1310.8784706417841</v>
      </c>
    </row>
    <row r="124" spans="3:7">
      <c r="C124" s="14">
        <v>90</v>
      </c>
      <c r="D124" s="13">
        <f t="shared" si="3"/>
        <v>90</v>
      </c>
      <c r="E124" s="13">
        <f t="shared" si="4"/>
        <v>4050</v>
      </c>
      <c r="F124" s="16">
        <f t="shared" si="5"/>
        <v>1659.0805644060081</v>
      </c>
    </row>
    <row r="125" spans="3:7">
      <c r="C125" s="14">
        <v>100</v>
      </c>
      <c r="D125" s="13">
        <f t="shared" si="3"/>
        <v>100</v>
      </c>
      <c r="E125" s="13">
        <f t="shared" si="4"/>
        <v>5000</v>
      </c>
      <c r="F125" s="16">
        <f t="shared" si="5"/>
        <v>2048.2476103777876</v>
      </c>
    </row>
    <row r="126" spans="3:7">
      <c r="C126" s="14">
        <v>110</v>
      </c>
      <c r="D126" s="13">
        <f t="shared" si="3"/>
        <v>110</v>
      </c>
      <c r="E126" s="13">
        <f t="shared" si="4"/>
        <v>6050</v>
      </c>
      <c r="F126" s="16">
        <f t="shared" si="5"/>
        <v>2478.3796085571234</v>
      </c>
    </row>
    <row r="127" spans="3:7">
      <c r="C127" s="14">
        <v>120</v>
      </c>
      <c r="D127" s="13">
        <f t="shared" si="3"/>
        <v>120</v>
      </c>
      <c r="E127" s="13">
        <f t="shared" si="4"/>
        <v>7200</v>
      </c>
      <c r="F127" s="16">
        <f t="shared" si="5"/>
        <v>2949.4765589440144</v>
      </c>
    </row>
    <row r="128" spans="3:7">
      <c r="C128" s="14">
        <v>130</v>
      </c>
      <c r="D128" s="13">
        <f t="shared" si="3"/>
        <v>130</v>
      </c>
      <c r="E128" s="13">
        <f t="shared" si="4"/>
        <v>8450</v>
      </c>
      <c r="F128" s="16">
        <f t="shared" si="5"/>
        <v>3461.5384615384614</v>
      </c>
    </row>
    <row r="129" spans="2:6">
      <c r="C129" s="14">
        <v>140</v>
      </c>
      <c r="D129" s="13">
        <f t="shared" si="3"/>
        <v>140</v>
      </c>
      <c r="E129" s="13">
        <f t="shared" si="4"/>
        <v>9800</v>
      </c>
      <c r="F129" s="16">
        <f t="shared" si="5"/>
        <v>4014.5653163404641</v>
      </c>
    </row>
    <row r="130" spans="2:6">
      <c r="C130" s="14">
        <v>150</v>
      </c>
      <c r="D130" s="13">
        <f t="shared" si="3"/>
        <v>150</v>
      </c>
      <c r="E130" s="13">
        <f t="shared" si="4"/>
        <v>11250</v>
      </c>
      <c r="F130" s="16">
        <f t="shared" si="5"/>
        <v>4608.5571233500223</v>
      </c>
    </row>
    <row r="131" spans="2:6">
      <c r="C131" s="14">
        <f>C133-13*3/2</f>
        <v>167</v>
      </c>
      <c r="D131" s="13">
        <f t="shared" si="3"/>
        <v>167</v>
      </c>
      <c r="E131" s="13">
        <f t="shared" si="4"/>
        <v>13944.5</v>
      </c>
      <c r="F131" s="16">
        <f t="shared" si="5"/>
        <v>5712.3577605826122</v>
      </c>
    </row>
    <row r="132" spans="2:6">
      <c r="C132" s="14">
        <f>C133-13/2</f>
        <v>180</v>
      </c>
      <c r="D132" s="13">
        <f t="shared" si="3"/>
        <v>180</v>
      </c>
      <c r="E132" s="13">
        <f t="shared" si="4"/>
        <v>16200</v>
      </c>
      <c r="F132" s="16">
        <f t="shared" si="5"/>
        <v>6636.3222576240323</v>
      </c>
    </row>
    <row r="133" spans="2:6">
      <c r="C133" s="14">
        <f>193-6.5</f>
        <v>186.5</v>
      </c>
      <c r="D133" s="13">
        <f t="shared" si="3"/>
        <v>186.5</v>
      </c>
      <c r="E133" s="13">
        <f t="shared" si="4"/>
        <v>17391.125</v>
      </c>
      <c r="F133" s="16">
        <f t="shared" si="5"/>
        <v>7124.266044606281</v>
      </c>
    </row>
    <row r="134" spans="2:6">
      <c r="C134" s="14"/>
    </row>
    <row r="138" spans="2:6">
      <c r="B138" s="15" t="s">
        <v>301</v>
      </c>
    </row>
  </sheetData>
  <mergeCells count="1">
    <mergeCell ref="G50:H50"/>
  </mergeCells>
  <phoneticPr fontId="3" type="noConversion"/>
  <pageMargins left="0.74803149606299213" right="0.44" top="0.79" bottom="0.5" header="0.51181102362204722" footer="0.28000000000000003"/>
  <pageSetup paperSize="9" orientation="portrait" blackAndWhite="1" horizontalDpi="4294967293" verticalDpi="4294967293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616" r:id="rId4">
          <objectPr defaultSize="0" r:id="rId5">
            <anchor moveWithCells="1" sizeWithCells="1">
              <from>
                <xdr:col>0</xdr:col>
                <xdr:colOff>714375</xdr:colOff>
                <xdr:row>49</xdr:row>
                <xdr:rowOff>152400</xdr:rowOff>
              </from>
              <to>
                <xdr:col>4</xdr:col>
                <xdr:colOff>352425</xdr:colOff>
                <xdr:row>52</xdr:row>
                <xdr:rowOff>38100</xdr:rowOff>
              </to>
            </anchor>
          </objectPr>
        </oleObject>
      </mc:Choice>
      <mc:Fallback>
        <oleObject progId="Equation.3" shapeId="22616" r:id="rId4"/>
      </mc:Fallback>
    </mc:AlternateContent>
    <mc:AlternateContent xmlns:mc="http://schemas.openxmlformats.org/markup-compatibility/2006">
      <mc:Choice Requires="x14">
        <oleObject progId="Equation.3" shapeId="22630" r:id="rId6">
          <objectPr defaultSize="0" autoPict="0" r:id="rId7">
            <anchor moveWithCells="1" sizeWithCells="1">
              <from>
                <xdr:col>2</xdr:col>
                <xdr:colOff>209550</xdr:colOff>
                <xdr:row>107</xdr:row>
                <xdr:rowOff>0</xdr:rowOff>
              </from>
              <to>
                <xdr:col>3</xdr:col>
                <xdr:colOff>638175</xdr:colOff>
                <xdr:row>109</xdr:row>
                <xdr:rowOff>161925</xdr:rowOff>
              </to>
            </anchor>
          </objectPr>
        </oleObject>
      </mc:Choice>
      <mc:Fallback>
        <oleObject progId="Equation.3" shapeId="22630" r:id="rId6"/>
      </mc:Fallback>
    </mc:AlternateContent>
    <mc:AlternateContent xmlns:mc="http://schemas.openxmlformats.org/markup-compatibility/2006">
      <mc:Choice Requires="x14">
        <oleObject progId="Equation.3" shapeId="22571" r:id="rId8">
          <objectPr defaultSize="0" r:id="rId9">
            <anchor moveWithCells="1" sizeWithCells="1">
              <from>
                <xdr:col>0</xdr:col>
                <xdr:colOff>685800</xdr:colOff>
                <xdr:row>15</xdr:row>
                <xdr:rowOff>19050</xdr:rowOff>
              </from>
              <to>
                <xdr:col>3</xdr:col>
                <xdr:colOff>85725</xdr:colOff>
                <xdr:row>17</xdr:row>
                <xdr:rowOff>133350</xdr:rowOff>
              </to>
            </anchor>
          </objectPr>
        </oleObject>
      </mc:Choice>
      <mc:Fallback>
        <oleObject progId="Equation.3" shapeId="22571" r:id="rId8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20F83-35AD-47A8-8A87-2A95E253C86B}">
  <sheetPr codeName="Sheet4"/>
  <dimension ref="A1:M50"/>
  <sheetViews>
    <sheetView showGridLines="0" workbookViewId="0">
      <selection activeCell="H24" sqref="H24"/>
    </sheetView>
  </sheetViews>
  <sheetFormatPr defaultColWidth="13.1640625" defaultRowHeight="13.5"/>
  <cols>
    <col min="1" max="10" width="9.1640625" style="38" customWidth="1"/>
    <col min="11" max="11" width="13.1640625" style="38"/>
    <col min="12" max="12" width="4.83203125" style="38" customWidth="1"/>
    <col min="13" max="16384" width="13.1640625" style="38"/>
  </cols>
  <sheetData>
    <row r="1" spans="1:10" s="41" customFormat="1" ht="26.25" thickBot="1">
      <c r="A1" s="39" t="s">
        <v>308</v>
      </c>
      <c r="B1" s="119"/>
      <c r="C1" s="119"/>
      <c r="D1" s="119"/>
      <c r="E1" s="119"/>
      <c r="F1" s="119"/>
      <c r="G1" s="119"/>
      <c r="H1" s="119"/>
      <c r="I1" s="119"/>
      <c r="J1" s="119"/>
    </row>
    <row r="2" spans="1:10" s="41" customFormat="1" ht="12.75">
      <c r="A2" s="120"/>
      <c r="B2" s="121"/>
      <c r="C2" s="121"/>
      <c r="D2" s="121"/>
      <c r="E2" s="121"/>
      <c r="F2" s="121"/>
      <c r="G2" s="121"/>
      <c r="H2" s="121"/>
      <c r="I2" s="121"/>
      <c r="J2" s="122"/>
    </row>
    <row r="3" spans="1:10" s="41" customFormat="1" ht="12.75">
      <c r="A3" s="123"/>
      <c r="B3" s="124"/>
      <c r="C3" s="124"/>
      <c r="D3" s="124"/>
      <c r="E3" s="124"/>
      <c r="F3" s="124"/>
      <c r="G3" s="124"/>
      <c r="H3" s="124"/>
      <c r="I3" s="124"/>
      <c r="J3" s="125"/>
    </row>
    <row r="4" spans="1:10" s="41" customFormat="1" ht="12.75">
      <c r="A4" s="123"/>
      <c r="B4" s="124"/>
      <c r="C4" s="124"/>
      <c r="D4" s="124"/>
      <c r="E4" s="124"/>
      <c r="F4" s="124"/>
      <c r="G4" s="124"/>
      <c r="H4" s="124"/>
      <c r="I4" s="124"/>
      <c r="J4" s="125"/>
    </row>
    <row r="5" spans="1:10" s="41" customFormat="1" ht="12.75">
      <c r="A5" s="123"/>
      <c r="B5" s="124"/>
      <c r="C5" s="124"/>
      <c r="D5" s="124"/>
      <c r="E5" s="124"/>
      <c r="F5" s="124"/>
      <c r="G5" s="124"/>
      <c r="H5" s="124"/>
      <c r="I5" s="124"/>
      <c r="J5" s="125"/>
    </row>
    <row r="6" spans="1:10" s="41" customFormat="1" ht="12.75">
      <c r="A6" s="123"/>
      <c r="B6" s="124"/>
      <c r="C6" s="124"/>
      <c r="D6" s="124"/>
      <c r="E6" s="124"/>
      <c r="F6" s="124"/>
      <c r="G6" s="124"/>
      <c r="H6" s="124"/>
      <c r="I6" s="124"/>
      <c r="J6" s="125"/>
    </row>
    <row r="7" spans="1:10" s="41" customFormat="1" ht="12.75">
      <c r="A7" s="123"/>
      <c r="B7" s="124"/>
      <c r="C7" s="124"/>
      <c r="D7" s="124"/>
      <c r="E7" s="124"/>
      <c r="F7" s="124"/>
      <c r="G7" s="124"/>
      <c r="H7" s="124"/>
      <c r="I7" s="124"/>
      <c r="J7" s="125"/>
    </row>
    <row r="8" spans="1:10" s="41" customFormat="1" ht="12.75">
      <c r="A8" s="123"/>
      <c r="B8" s="124"/>
      <c r="C8" s="124"/>
      <c r="D8" s="124"/>
      <c r="E8" s="124"/>
      <c r="F8" s="124"/>
      <c r="G8" s="124"/>
      <c r="H8" s="124"/>
      <c r="I8" s="124"/>
      <c r="J8" s="125"/>
    </row>
    <row r="9" spans="1:10" s="41" customFormat="1" ht="12.75">
      <c r="A9" s="123"/>
      <c r="B9" s="124"/>
      <c r="C9" s="124"/>
      <c r="D9" s="124"/>
      <c r="E9" s="124"/>
      <c r="F9" s="124"/>
      <c r="G9" s="124"/>
      <c r="H9" s="124"/>
      <c r="I9" s="124"/>
      <c r="J9" s="125"/>
    </row>
    <row r="10" spans="1:10" s="41" customFormat="1" ht="12.75">
      <c r="A10" s="123"/>
      <c r="B10" s="124"/>
      <c r="C10" s="124"/>
      <c r="D10" s="124"/>
      <c r="E10" s="124"/>
      <c r="F10" s="124"/>
      <c r="G10" s="124"/>
      <c r="H10" s="124"/>
      <c r="I10" s="124"/>
      <c r="J10" s="125"/>
    </row>
    <row r="11" spans="1:10" s="41" customFormat="1" ht="12.75">
      <c r="A11" s="123"/>
      <c r="B11" s="124"/>
      <c r="C11" s="124"/>
      <c r="D11" s="124"/>
      <c r="E11" s="124"/>
      <c r="F11" s="124"/>
      <c r="G11" s="124"/>
      <c r="H11" s="124"/>
      <c r="I11" s="124"/>
      <c r="J11" s="125"/>
    </row>
    <row r="12" spans="1:10" s="41" customFormat="1" ht="12.75">
      <c r="A12" s="123"/>
      <c r="B12" s="124"/>
      <c r="C12" s="124"/>
      <c r="D12" s="124"/>
      <c r="E12" s="124"/>
      <c r="F12" s="124"/>
      <c r="G12" s="124"/>
      <c r="H12" s="124"/>
      <c r="I12" s="124"/>
      <c r="J12" s="125"/>
    </row>
    <row r="13" spans="1:10" s="41" customFormat="1" ht="12.75">
      <c r="A13" s="123"/>
      <c r="B13" s="124"/>
      <c r="C13" s="124"/>
      <c r="D13" s="124"/>
      <c r="E13" s="124"/>
      <c r="F13" s="124"/>
      <c r="G13" s="124"/>
      <c r="H13" s="124"/>
      <c r="I13" s="124"/>
      <c r="J13" s="125"/>
    </row>
    <row r="14" spans="1:10" s="41" customFormat="1" ht="12.75">
      <c r="A14" s="123"/>
      <c r="B14" s="124"/>
      <c r="C14" s="124"/>
      <c r="D14" s="124"/>
      <c r="E14" s="124"/>
      <c r="F14" s="124"/>
      <c r="G14" s="124"/>
      <c r="H14" s="124"/>
      <c r="I14" s="124"/>
      <c r="J14" s="125"/>
    </row>
    <row r="15" spans="1:10" s="41" customFormat="1" ht="12.75">
      <c r="A15" s="123"/>
      <c r="B15" s="124"/>
      <c r="C15" s="124"/>
      <c r="D15" s="124"/>
      <c r="E15" s="124"/>
      <c r="F15" s="124"/>
      <c r="G15" s="124"/>
      <c r="H15" s="124"/>
      <c r="I15" s="124"/>
      <c r="J15" s="125"/>
    </row>
    <row r="16" spans="1:10" s="41" customFormat="1" ht="12.75">
      <c r="A16" s="123"/>
      <c r="B16" s="124"/>
      <c r="C16" s="124"/>
      <c r="D16" s="124"/>
      <c r="E16" s="124"/>
      <c r="F16" s="124"/>
      <c r="G16" s="124"/>
      <c r="H16" s="124"/>
      <c r="I16" s="124"/>
      <c r="J16" s="125"/>
    </row>
    <row r="17" spans="1:12" s="41" customFormat="1" ht="12.75">
      <c r="A17" s="123"/>
      <c r="B17" s="124"/>
      <c r="C17" s="124"/>
      <c r="D17" s="124"/>
      <c r="E17" s="124"/>
      <c r="F17" s="124"/>
      <c r="G17" s="124"/>
      <c r="H17" s="124"/>
      <c r="I17" s="124"/>
      <c r="J17" s="125"/>
      <c r="K17" s="119"/>
      <c r="L17" s="119"/>
    </row>
    <row r="18" spans="1:12" s="41" customFormat="1" ht="12.75">
      <c r="A18" s="123"/>
      <c r="B18" s="124"/>
      <c r="C18" s="124"/>
      <c r="D18" s="124"/>
      <c r="E18" s="124"/>
      <c r="F18" s="124"/>
      <c r="G18" s="124"/>
      <c r="H18" s="124"/>
      <c r="I18" s="124"/>
      <c r="J18" s="125"/>
      <c r="K18" s="119"/>
      <c r="L18" s="119"/>
    </row>
    <row r="19" spans="1:12" s="41" customFormat="1" ht="12.75">
      <c r="A19" s="123"/>
      <c r="B19" s="124"/>
      <c r="C19" s="124"/>
      <c r="D19" s="124"/>
      <c r="E19" s="124"/>
      <c r="F19" s="124"/>
      <c r="G19" s="124"/>
      <c r="H19" s="124"/>
      <c r="I19" s="124"/>
      <c r="J19" s="125"/>
      <c r="K19" s="119"/>
      <c r="L19" s="119"/>
    </row>
    <row r="20" spans="1:12" s="41" customFormat="1" thickBot="1">
      <c r="A20" s="126"/>
      <c r="B20" s="127"/>
      <c r="C20" s="127"/>
      <c r="D20" s="127"/>
      <c r="E20" s="127"/>
      <c r="F20" s="127"/>
      <c r="G20" s="127"/>
      <c r="H20" s="127"/>
      <c r="I20" s="127"/>
      <c r="J20" s="128"/>
      <c r="K20" s="119"/>
      <c r="L20" s="119"/>
    </row>
    <row r="21" spans="1:12" s="41" customFormat="1" ht="12.75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</row>
    <row r="22" spans="1:12" s="40" customFormat="1" ht="12.75">
      <c r="A22" s="119" t="s">
        <v>309</v>
      </c>
      <c r="B22" s="119"/>
      <c r="C22" s="119"/>
      <c r="E22" s="129">
        <v>35</v>
      </c>
      <c r="F22" s="130" t="s">
        <v>310</v>
      </c>
    </row>
    <row r="23" spans="1:12" s="40" customFormat="1" ht="12.75">
      <c r="A23" s="119" t="s">
        <v>311</v>
      </c>
      <c r="B23" s="119"/>
      <c r="C23" s="119"/>
      <c r="E23" s="129">
        <v>8</v>
      </c>
      <c r="F23" s="130" t="s">
        <v>310</v>
      </c>
      <c r="H23" s="40">
        <f>423*0.25</f>
        <v>105.75</v>
      </c>
    </row>
    <row r="24" spans="1:12" s="40" customFormat="1" ht="12.75">
      <c r="A24" s="119" t="s">
        <v>312</v>
      </c>
      <c r="B24" s="119"/>
      <c r="C24" s="119"/>
      <c r="E24" s="129">
        <v>50</v>
      </c>
      <c r="F24" s="130" t="s">
        <v>310</v>
      </c>
    </row>
    <row r="25" spans="1:12">
      <c r="E25" s="70"/>
    </row>
    <row r="26" spans="1:12" ht="14.25" thickBot="1">
      <c r="E26" s="70"/>
    </row>
    <row r="27" spans="1:12" ht="14.25">
      <c r="A27" s="422" t="s">
        <v>313</v>
      </c>
      <c r="B27" s="423"/>
      <c r="C27" s="424"/>
      <c r="D27" s="131" t="s">
        <v>314</v>
      </c>
      <c r="E27" s="132" t="s">
        <v>315</v>
      </c>
      <c r="F27" s="132" t="s">
        <v>316</v>
      </c>
      <c r="G27" s="133" t="s">
        <v>317</v>
      </c>
      <c r="H27" s="134" t="s">
        <v>318</v>
      </c>
      <c r="I27" s="132" t="s">
        <v>319</v>
      </c>
      <c r="J27" s="135" t="s">
        <v>320</v>
      </c>
      <c r="K27" s="119"/>
    </row>
    <row r="28" spans="1:12" ht="15" thickBot="1">
      <c r="A28" s="425"/>
      <c r="B28" s="426"/>
      <c r="C28" s="427"/>
      <c r="D28" s="136">
        <f>E24/2</f>
        <v>25</v>
      </c>
      <c r="E28" s="137">
        <f>D28+E24</f>
        <v>75</v>
      </c>
      <c r="F28" s="137">
        <f>E28+E24</f>
        <v>125</v>
      </c>
      <c r="G28" s="138">
        <f>F28+E24</f>
        <v>175</v>
      </c>
      <c r="H28" s="139">
        <f>E23</f>
        <v>8</v>
      </c>
      <c r="I28" s="140">
        <f>H28+0.5*E22</f>
        <v>25.5</v>
      </c>
      <c r="J28" s="141">
        <f>H28+1.5*E22</f>
        <v>60.5</v>
      </c>
      <c r="K28" s="119"/>
    </row>
    <row r="29" spans="1:12" ht="14.25">
      <c r="A29" s="428" t="s">
        <v>321</v>
      </c>
      <c r="B29" s="429"/>
      <c r="C29" s="430"/>
      <c r="D29" s="142">
        <v>213</v>
      </c>
      <c r="E29" s="143">
        <v>199</v>
      </c>
      <c r="F29" s="143">
        <v>186</v>
      </c>
      <c r="G29" s="144">
        <v>175</v>
      </c>
      <c r="H29" s="145" t="e">
        <f ca="1">(1.5*I29-0.5*J29)</f>
        <v>#NAME?</v>
      </c>
      <c r="I29" s="146" t="e">
        <f ca="1">lagrange($I$28,$D$28,$E$28,$F$28,$G$28,D29,E29,F29,G29)</f>
        <v>#NAME?</v>
      </c>
      <c r="J29" s="147" t="e">
        <f t="shared" ref="J29:J38" ca="1" si="0">lagrange($J$28,$D$28,$E$28,$F$28,$G$28,D29,E29,F29,G29)</f>
        <v>#NAME?</v>
      </c>
      <c r="K29" s="431"/>
      <c r="L29" s="71"/>
    </row>
    <row r="30" spans="1:12" ht="14.25">
      <c r="A30" s="432" t="s">
        <v>322</v>
      </c>
      <c r="B30" s="433"/>
      <c r="C30" s="434"/>
      <c r="D30" s="148">
        <v>201</v>
      </c>
      <c r="E30" s="149">
        <v>188</v>
      </c>
      <c r="F30" s="149">
        <v>175</v>
      </c>
      <c r="G30" s="150">
        <v>165</v>
      </c>
      <c r="H30" s="151" t="e">
        <f t="shared" ref="H30:H38" ca="1" si="1">(1.5*I30-0.5*J30)</f>
        <v>#NAME?</v>
      </c>
      <c r="I30" s="152" t="e">
        <f t="shared" ref="I30:I38" ca="1" si="2">lagrange($I$28,$D$28,$E$28,$F$28,$G$28,D30,E30,F30,G30)</f>
        <v>#NAME?</v>
      </c>
      <c r="J30" s="153" t="e">
        <f t="shared" ca="1" si="0"/>
        <v>#NAME?</v>
      </c>
      <c r="K30" s="431"/>
      <c r="L30" s="71"/>
    </row>
    <row r="31" spans="1:12" ht="14.25">
      <c r="A31" s="432" t="s">
        <v>323</v>
      </c>
      <c r="B31" s="433"/>
      <c r="C31" s="434"/>
      <c r="D31" s="148">
        <v>29</v>
      </c>
      <c r="E31" s="149">
        <v>27</v>
      </c>
      <c r="F31" s="149">
        <v>26</v>
      </c>
      <c r="G31" s="150">
        <v>24</v>
      </c>
      <c r="H31" s="151" t="e">
        <f t="shared" ca="1" si="1"/>
        <v>#NAME?</v>
      </c>
      <c r="I31" s="152" t="e">
        <f t="shared" ca="1" si="2"/>
        <v>#NAME?</v>
      </c>
      <c r="J31" s="153" t="e">
        <f t="shared" ca="1" si="0"/>
        <v>#NAME?</v>
      </c>
      <c r="K31" s="431"/>
      <c r="L31" s="71"/>
    </row>
    <row r="32" spans="1:12" ht="14.25">
      <c r="A32" s="432" t="s">
        <v>324</v>
      </c>
      <c r="B32" s="433"/>
      <c r="C32" s="434"/>
      <c r="D32" s="148">
        <v>20</v>
      </c>
      <c r="E32" s="149">
        <v>19</v>
      </c>
      <c r="F32" s="149">
        <v>18</v>
      </c>
      <c r="G32" s="150">
        <v>17</v>
      </c>
      <c r="H32" s="151" t="e">
        <f t="shared" ca="1" si="1"/>
        <v>#NAME?</v>
      </c>
      <c r="I32" s="152" t="e">
        <f t="shared" ca="1" si="2"/>
        <v>#NAME?</v>
      </c>
      <c r="J32" s="153" t="e">
        <f t="shared" ca="1" si="0"/>
        <v>#NAME?</v>
      </c>
      <c r="K32" s="431"/>
      <c r="L32" s="71"/>
    </row>
    <row r="33" spans="1:13" ht="14.25">
      <c r="A33" s="432" t="s">
        <v>325</v>
      </c>
      <c r="B33" s="433"/>
      <c r="C33" s="434"/>
      <c r="D33" s="148">
        <v>-115</v>
      </c>
      <c r="E33" s="149">
        <v>-89</v>
      </c>
      <c r="F33" s="149">
        <v>-74</v>
      </c>
      <c r="G33" s="150">
        <v>-65</v>
      </c>
      <c r="H33" s="151" t="e">
        <f t="shared" ca="1" si="1"/>
        <v>#NAME?</v>
      </c>
      <c r="I33" s="152" t="e">
        <f t="shared" ca="1" si="2"/>
        <v>#NAME?</v>
      </c>
      <c r="J33" s="153" t="e">
        <f t="shared" ca="1" si="0"/>
        <v>#NAME?</v>
      </c>
      <c r="K33" s="431"/>
      <c r="L33" s="71"/>
      <c r="M33" s="105"/>
    </row>
    <row r="34" spans="1:13" ht="14.25">
      <c r="A34" s="432" t="s">
        <v>326</v>
      </c>
      <c r="B34" s="433"/>
      <c r="C34" s="434"/>
      <c r="D34" s="148">
        <v>31</v>
      </c>
      <c r="E34" s="149">
        <v>26</v>
      </c>
      <c r="F34" s="149">
        <v>22</v>
      </c>
      <c r="G34" s="150">
        <v>19</v>
      </c>
      <c r="H34" s="151" t="e">
        <f t="shared" ca="1" si="1"/>
        <v>#NAME?</v>
      </c>
      <c r="I34" s="152" t="e">
        <f t="shared" ca="1" si="2"/>
        <v>#NAME?</v>
      </c>
      <c r="J34" s="153" t="e">
        <f t="shared" ca="1" si="0"/>
        <v>#NAME?</v>
      </c>
      <c r="K34" s="431"/>
      <c r="L34" s="71"/>
    </row>
    <row r="35" spans="1:13" ht="14.25">
      <c r="A35" s="432" t="s">
        <v>327</v>
      </c>
      <c r="B35" s="433"/>
      <c r="C35" s="434"/>
      <c r="D35" s="148">
        <v>228</v>
      </c>
      <c r="E35" s="149">
        <v>183</v>
      </c>
      <c r="F35" s="149">
        <v>152</v>
      </c>
      <c r="G35" s="150">
        <v>132</v>
      </c>
      <c r="H35" s="151" t="e">
        <f t="shared" ca="1" si="1"/>
        <v>#NAME?</v>
      </c>
      <c r="I35" s="152" t="e">
        <f t="shared" ca="1" si="2"/>
        <v>#NAME?</v>
      </c>
      <c r="J35" s="153" t="e">
        <f t="shared" ca="1" si="0"/>
        <v>#NAME?</v>
      </c>
      <c r="K35" s="431"/>
      <c r="L35" s="71"/>
    </row>
    <row r="36" spans="1:13" ht="14.25">
      <c r="A36" s="432" t="s">
        <v>328</v>
      </c>
      <c r="B36" s="433"/>
      <c r="C36" s="434"/>
      <c r="D36" s="148">
        <v>-11</v>
      </c>
      <c r="E36" s="149">
        <v>-9</v>
      </c>
      <c r="F36" s="149">
        <v>-7.6</v>
      </c>
      <c r="G36" s="150">
        <v>-6.5</v>
      </c>
      <c r="H36" s="151" t="e">
        <f t="shared" ca="1" si="1"/>
        <v>#NAME?</v>
      </c>
      <c r="I36" s="152" t="e">
        <f t="shared" ca="1" si="2"/>
        <v>#NAME?</v>
      </c>
      <c r="J36" s="153" t="e">
        <f t="shared" ca="1" si="0"/>
        <v>#NAME?</v>
      </c>
      <c r="K36" s="431"/>
      <c r="L36" s="71"/>
    </row>
    <row r="37" spans="1:13" ht="14.25">
      <c r="A37" s="435" t="s">
        <v>329</v>
      </c>
      <c r="B37" s="436"/>
      <c r="C37" s="437"/>
      <c r="D37" s="148">
        <v>0.82</v>
      </c>
      <c r="E37" s="149">
        <v>0.49</v>
      </c>
      <c r="F37" s="149">
        <v>0.18</v>
      </c>
      <c r="G37" s="150">
        <v>0.03</v>
      </c>
      <c r="H37" s="154" t="e">
        <f t="shared" ca="1" si="1"/>
        <v>#NAME?</v>
      </c>
      <c r="I37" s="155" t="e">
        <f t="shared" ca="1" si="2"/>
        <v>#NAME?</v>
      </c>
      <c r="J37" s="156" t="e">
        <f t="shared" ca="1" si="0"/>
        <v>#NAME?</v>
      </c>
      <c r="K37" s="431"/>
      <c r="L37" s="71"/>
      <c r="M37" s="72"/>
    </row>
    <row r="38" spans="1:13" ht="14.25">
      <c r="A38" s="435" t="s">
        <v>330</v>
      </c>
      <c r="B38" s="436"/>
      <c r="C38" s="437"/>
      <c r="D38" s="148">
        <v>43</v>
      </c>
      <c r="E38" s="149">
        <v>29</v>
      </c>
      <c r="F38" s="149">
        <v>24</v>
      </c>
      <c r="G38" s="150">
        <v>22</v>
      </c>
      <c r="H38" s="151" t="e">
        <f t="shared" ca="1" si="1"/>
        <v>#NAME?</v>
      </c>
      <c r="I38" s="152" t="e">
        <f t="shared" ca="1" si="2"/>
        <v>#NAME?</v>
      </c>
      <c r="J38" s="153" t="e">
        <f t="shared" ca="1" si="0"/>
        <v>#NAME?</v>
      </c>
      <c r="K38" s="431"/>
      <c r="L38" s="71"/>
    </row>
    <row r="39" spans="1:13" ht="14.25">
      <c r="A39" s="432"/>
      <c r="B39" s="433"/>
      <c r="C39" s="434"/>
      <c r="D39" s="148"/>
      <c r="E39" s="149"/>
      <c r="F39" s="149"/>
      <c r="G39" s="150"/>
      <c r="H39" s="151"/>
      <c r="I39" s="152"/>
      <c r="J39" s="153"/>
      <c r="K39" s="431"/>
      <c r="L39" s="71"/>
    </row>
    <row r="40" spans="1:13" ht="14.25">
      <c r="A40" s="432"/>
      <c r="B40" s="433"/>
      <c r="C40" s="434"/>
      <c r="D40" s="148"/>
      <c r="E40" s="149"/>
      <c r="F40" s="149"/>
      <c r="G40" s="150"/>
      <c r="H40" s="151"/>
      <c r="I40" s="152"/>
      <c r="J40" s="153"/>
      <c r="K40" s="431"/>
      <c r="L40" s="71"/>
      <c r="M40" s="105"/>
    </row>
    <row r="41" spans="1:13" ht="14.25">
      <c r="A41" s="432" t="s">
        <v>327</v>
      </c>
      <c r="B41" s="433"/>
      <c r="C41" s="434"/>
      <c r="D41" s="148">
        <v>345</v>
      </c>
      <c r="E41" s="149">
        <v>241</v>
      </c>
      <c r="F41" s="149">
        <v>196</v>
      </c>
      <c r="G41" s="150">
        <v>169</v>
      </c>
      <c r="H41" s="151" t="e">
        <f t="shared" ref="H41:H46" ca="1" si="3">(1.5*I41-0.5*J41)</f>
        <v>#NAME?</v>
      </c>
      <c r="I41" s="152" t="e">
        <f t="shared" ref="I41:I46" ca="1" si="4">lagrange($I$28,$D$28,$E$28,$F$28,$G$28,D41,E41,F41,G41)</f>
        <v>#NAME?</v>
      </c>
      <c r="J41" s="153" t="e">
        <f t="shared" ref="J41:J46" ca="1" si="5">lagrange($J$28,$D$28,$E$28,$F$28,$G$28,D41,E41,F41,G41)</f>
        <v>#NAME?</v>
      </c>
      <c r="K41" s="431"/>
      <c r="L41" s="71"/>
    </row>
    <row r="42" spans="1:13" ht="14.25">
      <c r="A42" s="435" t="s">
        <v>330</v>
      </c>
      <c r="B42" s="436"/>
      <c r="C42" s="437"/>
      <c r="D42" s="148">
        <v>45</v>
      </c>
      <c r="E42" s="149">
        <v>31</v>
      </c>
      <c r="F42" s="149">
        <v>27</v>
      </c>
      <c r="G42" s="150">
        <v>25</v>
      </c>
      <c r="H42" s="151" t="e">
        <f t="shared" ca="1" si="3"/>
        <v>#NAME?</v>
      </c>
      <c r="I42" s="152" t="e">
        <f t="shared" ca="1" si="4"/>
        <v>#NAME?</v>
      </c>
      <c r="J42" s="153" t="e">
        <f t="shared" ca="1" si="5"/>
        <v>#NAME?</v>
      </c>
      <c r="K42" s="431"/>
      <c r="L42" s="71"/>
    </row>
    <row r="43" spans="1:13" ht="14.25">
      <c r="A43" s="435" t="s">
        <v>331</v>
      </c>
      <c r="B43" s="436"/>
      <c r="C43" s="437"/>
      <c r="D43" s="148">
        <v>597</v>
      </c>
      <c r="E43" s="149">
        <v>423</v>
      </c>
      <c r="F43" s="149">
        <v>349</v>
      </c>
      <c r="G43" s="150">
        <v>305</v>
      </c>
      <c r="H43" s="151" t="e">
        <f ca="1">(1.5*I43-0.5*J43)</f>
        <v>#NAME?</v>
      </c>
      <c r="I43" s="152" t="e">
        <f t="shared" ca="1" si="4"/>
        <v>#NAME?</v>
      </c>
      <c r="J43" s="153" t="e">
        <f t="shared" ca="1" si="5"/>
        <v>#NAME?</v>
      </c>
      <c r="K43" s="431"/>
      <c r="L43" s="71"/>
    </row>
    <row r="44" spans="1:13" ht="14.25">
      <c r="A44" s="435" t="s">
        <v>332</v>
      </c>
      <c r="B44" s="436"/>
      <c r="C44" s="437"/>
      <c r="D44" s="148">
        <v>696</v>
      </c>
      <c r="E44" s="149">
        <v>494</v>
      </c>
      <c r="F44" s="149">
        <v>406</v>
      </c>
      <c r="G44" s="150">
        <v>355</v>
      </c>
      <c r="H44" s="151" t="e">
        <f t="shared" ca="1" si="3"/>
        <v>#NAME?</v>
      </c>
      <c r="I44" s="152" t="e">
        <f ca="1">lagrange($I$28,$D$28,$E$28,$F$28,$G$28,D44,E44,F44,G44)</f>
        <v>#NAME?</v>
      </c>
      <c r="J44" s="153" t="e">
        <f t="shared" ca="1" si="5"/>
        <v>#NAME?</v>
      </c>
      <c r="K44" s="438" t="e">
        <f ca="1">(I44-I42)*1.5</f>
        <v>#NAME?</v>
      </c>
      <c r="L44" s="71"/>
    </row>
    <row r="45" spans="1:13" ht="14.25">
      <c r="A45" s="435" t="s">
        <v>333</v>
      </c>
      <c r="B45" s="436"/>
      <c r="C45" s="437"/>
      <c r="D45" s="148">
        <v>67</v>
      </c>
      <c r="E45" s="149">
        <v>42</v>
      </c>
      <c r="F45" s="149">
        <v>31</v>
      </c>
      <c r="G45" s="150">
        <v>25</v>
      </c>
      <c r="H45" s="151" t="e">
        <f t="shared" ca="1" si="3"/>
        <v>#NAME?</v>
      </c>
      <c r="I45" s="152" t="e">
        <f t="shared" ca="1" si="4"/>
        <v>#NAME?</v>
      </c>
      <c r="J45" s="153" t="e">
        <f t="shared" ca="1" si="5"/>
        <v>#NAME?</v>
      </c>
      <c r="K45" s="431"/>
      <c r="L45" s="71"/>
    </row>
    <row r="46" spans="1:13" ht="14.25">
      <c r="A46" s="435" t="s">
        <v>334</v>
      </c>
      <c r="B46" s="436"/>
      <c r="C46" s="437"/>
      <c r="D46" s="148">
        <v>-62</v>
      </c>
      <c r="E46" s="149">
        <v>-39</v>
      </c>
      <c r="F46" s="149">
        <v>-29</v>
      </c>
      <c r="G46" s="150">
        <v>-24</v>
      </c>
      <c r="H46" s="151" t="e">
        <f t="shared" ca="1" si="3"/>
        <v>#NAME?</v>
      </c>
      <c r="I46" s="152" t="e">
        <f t="shared" ca="1" si="4"/>
        <v>#NAME?</v>
      </c>
      <c r="J46" s="153" t="e">
        <f t="shared" ca="1" si="5"/>
        <v>#NAME?</v>
      </c>
      <c r="K46" s="431"/>
      <c r="L46" s="71"/>
    </row>
    <row r="47" spans="1:13" ht="14.25">
      <c r="A47" s="439"/>
      <c r="B47" s="440"/>
      <c r="C47" s="441"/>
      <c r="D47" s="148"/>
      <c r="E47" s="149"/>
      <c r="F47" s="149"/>
      <c r="G47" s="150"/>
      <c r="H47" s="151"/>
      <c r="I47" s="152"/>
      <c r="J47" s="153"/>
      <c r="K47" s="431"/>
      <c r="L47" s="71"/>
    </row>
    <row r="48" spans="1:13" ht="14.25">
      <c r="A48" s="439"/>
      <c r="B48" s="440"/>
      <c r="C48" s="441"/>
      <c r="D48" s="148"/>
      <c r="E48" s="149"/>
      <c r="F48" s="149"/>
      <c r="G48" s="150"/>
      <c r="H48" s="151"/>
      <c r="I48" s="152"/>
      <c r="J48" s="153"/>
      <c r="K48" s="431"/>
      <c r="L48" s="71"/>
    </row>
    <row r="49" spans="1:13" ht="15" thickBot="1">
      <c r="A49" s="442"/>
      <c r="B49" s="443"/>
      <c r="C49" s="444"/>
      <c r="D49" s="157"/>
      <c r="E49" s="158"/>
      <c r="F49" s="158"/>
      <c r="G49" s="159"/>
      <c r="H49" s="160"/>
      <c r="I49" s="161"/>
      <c r="J49" s="162"/>
      <c r="K49" s="431"/>
      <c r="L49" s="71"/>
      <c r="M49" s="105"/>
    </row>
    <row r="50" spans="1:13" ht="14.25">
      <c r="D50" s="38">
        <f>D44-D42</f>
        <v>651</v>
      </c>
      <c r="M50" s="251"/>
    </row>
  </sheetData>
  <mergeCells count="22">
    <mergeCell ref="A46:C46"/>
    <mergeCell ref="A47:C47"/>
    <mergeCell ref="A49:C49"/>
    <mergeCell ref="A27:C28"/>
    <mergeCell ref="A29:C29"/>
    <mergeCell ref="A30:C30"/>
    <mergeCell ref="A31:C31"/>
    <mergeCell ref="A32:C32"/>
    <mergeCell ref="A45:C45"/>
    <mergeCell ref="A48:C48"/>
    <mergeCell ref="A38:C38"/>
    <mergeCell ref="A39:C39"/>
    <mergeCell ref="A44:C44"/>
    <mergeCell ref="A42:C42"/>
    <mergeCell ref="A43:C43"/>
    <mergeCell ref="A40:C40"/>
    <mergeCell ref="A41:C41"/>
    <mergeCell ref="A33:C33"/>
    <mergeCell ref="A34:C34"/>
    <mergeCell ref="A35:C35"/>
    <mergeCell ref="A36:C36"/>
    <mergeCell ref="A37:C37"/>
  </mergeCells>
  <phoneticPr fontId="3" type="noConversion"/>
  <pageMargins left="0.74803149606299213" right="0.43307086614173229" top="0.78740157480314965" bottom="0.51181102362204722" header="0.51181102362204722" footer="0.27559055118110237"/>
  <pageSetup paperSize="9" orientation="portrait" horizontalDpi="4294967293" vertic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F0DCF-F76E-41C3-89D3-47BBEE9E5646}">
  <sheetPr codeName="Sheet9"/>
  <dimension ref="A1:M337"/>
  <sheetViews>
    <sheetView showGridLines="0" topLeftCell="A106" workbookViewId="0">
      <selection activeCell="G345" sqref="G345"/>
    </sheetView>
  </sheetViews>
  <sheetFormatPr defaultColWidth="13.1640625" defaultRowHeight="13.5"/>
  <cols>
    <col min="1" max="10" width="9.1640625" style="38" customWidth="1"/>
    <col min="11" max="16384" width="13.1640625" style="38"/>
  </cols>
  <sheetData>
    <row r="1" spans="1:10" s="119" customFormat="1" ht="26.25" thickBot="1">
      <c r="A1" s="39" t="s">
        <v>308</v>
      </c>
    </row>
    <row r="2" spans="1:10" s="119" customFormat="1" ht="12.75">
      <c r="A2" s="120"/>
      <c r="B2" s="121"/>
      <c r="C2" s="121"/>
      <c r="D2" s="121"/>
      <c r="E2" s="121"/>
      <c r="F2" s="121"/>
      <c r="G2" s="121"/>
      <c r="H2" s="121"/>
      <c r="I2" s="121"/>
      <c r="J2" s="122"/>
    </row>
    <row r="3" spans="1:10" s="119" customFormat="1" ht="12.75">
      <c r="A3" s="123"/>
      <c r="B3" s="124"/>
      <c r="C3" s="124"/>
      <c r="D3" s="124"/>
      <c r="E3" s="124"/>
      <c r="F3" s="124"/>
      <c r="G3" s="124"/>
      <c r="H3" s="124"/>
      <c r="I3" s="124"/>
      <c r="J3" s="125"/>
    </row>
    <row r="4" spans="1:10" s="119" customFormat="1" ht="12.75">
      <c r="A4" s="123"/>
      <c r="B4" s="124"/>
      <c r="C4" s="124"/>
      <c r="D4" s="124"/>
      <c r="E4" s="124"/>
      <c r="F4" s="124"/>
      <c r="G4" s="124"/>
      <c r="H4" s="124"/>
      <c r="I4" s="124"/>
      <c r="J4" s="125"/>
    </row>
    <row r="5" spans="1:10" s="119" customFormat="1" ht="12.75">
      <c r="A5" s="123"/>
      <c r="B5" s="124"/>
      <c r="C5" s="124"/>
      <c r="D5" s="124"/>
      <c r="E5" s="124"/>
      <c r="F5" s="124"/>
      <c r="G5" s="124"/>
      <c r="H5" s="124"/>
      <c r="I5" s="124"/>
      <c r="J5" s="125"/>
    </row>
    <row r="6" spans="1:10" s="119" customFormat="1" ht="12.75">
      <c r="A6" s="123"/>
      <c r="B6" s="124"/>
      <c r="C6" s="124"/>
      <c r="D6" s="124"/>
      <c r="E6" s="124"/>
      <c r="F6" s="124"/>
      <c r="G6" s="124"/>
      <c r="H6" s="124"/>
      <c r="I6" s="124"/>
      <c r="J6" s="125"/>
    </row>
    <row r="7" spans="1:10" s="119" customFormat="1" ht="12.75">
      <c r="A7" s="123"/>
      <c r="B7" s="124"/>
      <c r="C7" s="124"/>
      <c r="D7" s="124"/>
      <c r="E7" s="124"/>
      <c r="F7" s="124"/>
      <c r="G7" s="124"/>
      <c r="H7" s="124"/>
      <c r="I7" s="124"/>
      <c r="J7" s="125"/>
    </row>
    <row r="8" spans="1:10" s="119" customFormat="1" ht="12.75">
      <c r="A8" s="123"/>
      <c r="B8" s="124"/>
      <c r="C8" s="124"/>
      <c r="D8" s="124"/>
      <c r="E8" s="124"/>
      <c r="F8" s="124"/>
      <c r="G8" s="124"/>
      <c r="H8" s="124"/>
      <c r="I8" s="124"/>
      <c r="J8" s="125"/>
    </row>
    <row r="9" spans="1:10" s="119" customFormat="1" ht="12.75">
      <c r="A9" s="123"/>
      <c r="B9" s="124"/>
      <c r="C9" s="124"/>
      <c r="D9" s="124"/>
      <c r="E9" s="124"/>
      <c r="F9" s="124"/>
      <c r="G9" s="124"/>
      <c r="H9" s="124"/>
      <c r="I9" s="124"/>
      <c r="J9" s="125"/>
    </row>
    <row r="10" spans="1:10" s="119" customFormat="1" ht="12.75">
      <c r="A10" s="123"/>
      <c r="B10" s="124"/>
      <c r="C10" s="124"/>
      <c r="D10" s="124"/>
      <c r="E10" s="124"/>
      <c r="F10" s="124"/>
      <c r="G10" s="124"/>
      <c r="H10" s="124"/>
      <c r="I10" s="124"/>
      <c r="J10" s="125"/>
    </row>
    <row r="11" spans="1:10" s="119" customFormat="1" ht="12.75">
      <c r="A11" s="123"/>
      <c r="B11" s="124"/>
      <c r="C11" s="124"/>
      <c r="D11" s="124"/>
      <c r="E11" s="124"/>
      <c r="F11" s="124"/>
      <c r="G11" s="124"/>
      <c r="H11" s="124"/>
      <c r="I11" s="124"/>
      <c r="J11" s="125"/>
    </row>
    <row r="12" spans="1:10" s="119" customFormat="1" ht="12.75">
      <c r="A12" s="123"/>
      <c r="B12" s="124"/>
      <c r="C12" s="124"/>
      <c r="D12" s="124"/>
      <c r="E12" s="124"/>
      <c r="F12" s="124"/>
      <c r="G12" s="124"/>
      <c r="H12" s="124"/>
      <c r="I12" s="124"/>
      <c r="J12" s="125"/>
    </row>
    <row r="13" spans="1:10" s="119" customFormat="1" ht="12.75">
      <c r="A13" s="123"/>
      <c r="B13" s="124"/>
      <c r="C13" s="124"/>
      <c r="D13" s="124"/>
      <c r="E13" s="124"/>
      <c r="F13" s="124"/>
      <c r="G13" s="124"/>
      <c r="H13" s="124"/>
      <c r="I13" s="124"/>
      <c r="J13" s="125"/>
    </row>
    <row r="14" spans="1:10" s="119" customFormat="1" ht="12.75">
      <c r="A14" s="123"/>
      <c r="B14" s="124"/>
      <c r="C14" s="124"/>
      <c r="D14" s="124"/>
      <c r="E14" s="124"/>
      <c r="F14" s="124"/>
      <c r="G14" s="124"/>
      <c r="H14" s="124"/>
      <c r="I14" s="124"/>
      <c r="J14" s="125"/>
    </row>
    <row r="15" spans="1:10" s="119" customFormat="1" ht="12.75">
      <c r="A15" s="123"/>
      <c r="B15" s="124"/>
      <c r="C15" s="124"/>
      <c r="D15" s="124"/>
      <c r="E15" s="124"/>
      <c r="F15" s="124"/>
      <c r="G15" s="124"/>
      <c r="H15" s="124"/>
      <c r="I15" s="124"/>
      <c r="J15" s="125"/>
    </row>
    <row r="16" spans="1:10" s="119" customFormat="1" ht="12.75">
      <c r="A16" s="123"/>
      <c r="B16" s="124"/>
      <c r="C16" s="124"/>
      <c r="D16" s="124"/>
      <c r="E16" s="124"/>
      <c r="F16" s="124"/>
      <c r="G16" s="124"/>
      <c r="H16" s="124"/>
      <c r="I16" s="124"/>
      <c r="J16" s="125"/>
    </row>
    <row r="17" spans="1:12" s="119" customFormat="1" ht="12.75">
      <c r="A17" s="123"/>
      <c r="B17" s="124"/>
      <c r="C17" s="124"/>
      <c r="D17" s="124"/>
      <c r="E17" s="124"/>
      <c r="F17" s="124"/>
      <c r="G17" s="124"/>
      <c r="H17" s="124"/>
      <c r="I17" s="124"/>
      <c r="J17" s="125"/>
    </row>
    <row r="18" spans="1:12" s="119" customFormat="1" ht="12.75">
      <c r="A18" s="123"/>
      <c r="B18" s="124"/>
      <c r="C18" s="124"/>
      <c r="D18" s="124"/>
      <c r="E18" s="124"/>
      <c r="F18" s="124"/>
      <c r="G18" s="124"/>
      <c r="H18" s="124"/>
      <c r="I18" s="124"/>
      <c r="J18" s="125"/>
    </row>
    <row r="19" spans="1:12" s="119" customFormat="1" ht="12.75">
      <c r="A19" s="123"/>
      <c r="B19" s="124"/>
      <c r="C19" s="124"/>
      <c r="D19" s="124"/>
      <c r="E19" s="124"/>
      <c r="F19" s="124"/>
      <c r="G19" s="124"/>
      <c r="H19" s="124"/>
      <c r="I19" s="124"/>
      <c r="J19" s="125"/>
    </row>
    <row r="20" spans="1:12" s="119" customFormat="1" thickBot="1">
      <c r="A20" s="126"/>
      <c r="B20" s="127"/>
      <c r="C20" s="127"/>
      <c r="D20" s="127"/>
      <c r="E20" s="127"/>
      <c r="F20" s="127"/>
      <c r="G20" s="127"/>
      <c r="H20" s="127"/>
      <c r="I20" s="127"/>
      <c r="J20" s="128"/>
    </row>
    <row r="21" spans="1:12" s="119" customFormat="1" ht="12.75"/>
    <row r="22" spans="1:12" s="40" customFormat="1" ht="12.75">
      <c r="A22" s="119" t="s">
        <v>309</v>
      </c>
      <c r="B22" s="119"/>
      <c r="C22" s="119"/>
      <c r="E22" s="129">
        <v>14</v>
      </c>
      <c r="F22" s="130" t="s">
        <v>310</v>
      </c>
    </row>
    <row r="23" spans="1:12" s="40" customFormat="1" ht="12.75">
      <c r="A23" s="119" t="s">
        <v>311</v>
      </c>
      <c r="B23" s="119"/>
      <c r="C23" s="119"/>
      <c r="E23" s="129">
        <v>6.5</v>
      </c>
      <c r="F23" s="130" t="s">
        <v>310</v>
      </c>
    </row>
    <row r="24" spans="1:12" s="40" customFormat="1" ht="12.75">
      <c r="A24" s="119" t="s">
        <v>312</v>
      </c>
      <c r="B24" s="119"/>
      <c r="C24" s="119"/>
      <c r="E24" s="129">
        <v>14</v>
      </c>
      <c r="F24" s="130" t="s">
        <v>310</v>
      </c>
    </row>
    <row r="25" spans="1:12">
      <c r="E25" s="70"/>
    </row>
    <row r="26" spans="1:12" ht="15.75" thickBot="1">
      <c r="A26" s="164" t="s">
        <v>335</v>
      </c>
      <c r="E26" s="70"/>
    </row>
    <row r="27" spans="1:12" ht="14.25">
      <c r="A27" s="273" t="s">
        <v>313</v>
      </c>
      <c r="B27" s="274"/>
      <c r="C27" s="274"/>
      <c r="D27" s="274"/>
      <c r="E27" s="275"/>
      <c r="F27" s="131" t="s">
        <v>314</v>
      </c>
      <c r="G27" s="132" t="s">
        <v>315</v>
      </c>
      <c r="H27" s="132" t="s">
        <v>316</v>
      </c>
      <c r="I27" s="133" t="s">
        <v>317</v>
      </c>
      <c r="J27" s="134" t="s">
        <v>318</v>
      </c>
      <c r="K27" s="132" t="s">
        <v>319</v>
      </c>
      <c r="L27" s="135" t="s">
        <v>320</v>
      </c>
    </row>
    <row r="28" spans="1:12" ht="15" thickBot="1">
      <c r="A28" s="282"/>
      <c r="B28" s="283"/>
      <c r="C28" s="283"/>
      <c r="D28" s="283"/>
      <c r="E28" s="284"/>
      <c r="F28" s="136">
        <f>E24/2</f>
        <v>7</v>
      </c>
      <c r="G28" s="137">
        <f>F28+E24</f>
        <v>21</v>
      </c>
      <c r="H28" s="137">
        <f>G28+E24</f>
        <v>35</v>
      </c>
      <c r="I28" s="138">
        <f>H28+E24</f>
        <v>49</v>
      </c>
      <c r="J28" s="139">
        <f>E23</f>
        <v>6.5</v>
      </c>
      <c r="K28" s="140">
        <f>J28+0.5*E22</f>
        <v>13.5</v>
      </c>
      <c r="L28" s="141">
        <f>J28+1.5*E22</f>
        <v>27.5</v>
      </c>
    </row>
    <row r="29" spans="1:12" ht="14.25">
      <c r="A29" s="428" t="s">
        <v>336</v>
      </c>
      <c r="B29" s="429"/>
      <c r="C29" s="429"/>
      <c r="D29" s="429"/>
      <c r="E29" s="429"/>
      <c r="F29" s="142">
        <v>-77</v>
      </c>
      <c r="G29" s="143">
        <v>-68</v>
      </c>
      <c r="H29" s="143">
        <v>-61</v>
      </c>
      <c r="I29" s="144">
        <v>-55</v>
      </c>
      <c r="J29" s="145" t="e">
        <f t="shared" ref="J29:J38" ca="1" si="0">(1.5*K29-0.5*L29)</f>
        <v>#NAME?</v>
      </c>
      <c r="K29" s="146" t="e">
        <f t="shared" ref="K29:K38" ca="1" si="1">lagrange($K$28,$F$28,$G$28,$H$28,$I$28,F29,G29,H29,I29)</f>
        <v>#NAME?</v>
      </c>
      <c r="L29" s="147" t="e">
        <f t="shared" ref="L29:L38" ca="1" si="2">lagrange($L$28,$F$28,$G$28,$H$28,$I$28,F29,G29,H29,I29)</f>
        <v>#NAME?</v>
      </c>
    </row>
    <row r="30" spans="1:12" ht="14.25">
      <c r="A30" s="432" t="s">
        <v>337</v>
      </c>
      <c r="B30" s="433"/>
      <c r="C30" s="433"/>
      <c r="D30" s="433"/>
      <c r="E30" s="433"/>
      <c r="F30" s="148">
        <v>25</v>
      </c>
      <c r="G30" s="149">
        <v>21</v>
      </c>
      <c r="H30" s="149">
        <v>19</v>
      </c>
      <c r="I30" s="150">
        <v>17</v>
      </c>
      <c r="J30" s="151" t="e">
        <f t="shared" ca="1" si="0"/>
        <v>#NAME?</v>
      </c>
      <c r="K30" s="152" t="e">
        <f t="shared" ca="1" si="1"/>
        <v>#NAME?</v>
      </c>
      <c r="L30" s="153" t="e">
        <f t="shared" ca="1" si="2"/>
        <v>#NAME?</v>
      </c>
    </row>
    <row r="31" spans="1:12" ht="14.25">
      <c r="A31" s="432" t="s">
        <v>338</v>
      </c>
      <c r="B31" s="433"/>
      <c r="C31" s="433"/>
      <c r="D31" s="433"/>
      <c r="E31" s="433"/>
      <c r="F31" s="148">
        <v>171</v>
      </c>
      <c r="G31" s="149">
        <v>148</v>
      </c>
      <c r="H31" s="149">
        <v>132</v>
      </c>
      <c r="I31" s="150">
        <v>120</v>
      </c>
      <c r="J31" s="151" t="e">
        <f t="shared" ca="1" si="0"/>
        <v>#NAME?</v>
      </c>
      <c r="K31" s="152" t="e">
        <f t="shared" ca="1" si="1"/>
        <v>#NAME?</v>
      </c>
      <c r="L31" s="153" t="e">
        <f t="shared" ca="1" si="2"/>
        <v>#NAME?</v>
      </c>
    </row>
    <row r="32" spans="1:12" ht="14.25">
      <c r="A32" s="432" t="s">
        <v>339</v>
      </c>
      <c r="B32" s="433"/>
      <c r="C32" s="433"/>
      <c r="D32" s="433"/>
      <c r="E32" s="433"/>
      <c r="F32" s="148">
        <v>-9</v>
      </c>
      <c r="G32" s="149">
        <v>-8.1</v>
      </c>
      <c r="H32" s="149">
        <v>-7.3</v>
      </c>
      <c r="I32" s="150">
        <v>-6.7</v>
      </c>
      <c r="J32" s="151" t="e">
        <f t="shared" ca="1" si="0"/>
        <v>#NAME?</v>
      </c>
      <c r="K32" s="152" t="e">
        <f t="shared" ca="1" si="1"/>
        <v>#NAME?</v>
      </c>
      <c r="L32" s="153" t="e">
        <f t="shared" ca="1" si="2"/>
        <v>#NAME?</v>
      </c>
    </row>
    <row r="33" spans="1:13" ht="14.25">
      <c r="A33" s="432" t="s">
        <v>340</v>
      </c>
      <c r="B33" s="433"/>
      <c r="C33" s="433"/>
      <c r="D33" s="433"/>
      <c r="E33" s="433"/>
      <c r="F33" s="148">
        <v>-2.4</v>
      </c>
      <c r="G33" s="149">
        <v>-2</v>
      </c>
      <c r="H33" s="149">
        <v>-1.8</v>
      </c>
      <c r="I33" s="150">
        <v>-1.6</v>
      </c>
      <c r="J33" s="151" t="e">
        <f t="shared" ca="1" si="0"/>
        <v>#NAME?</v>
      </c>
      <c r="K33" s="152" t="e">
        <f t="shared" ca="1" si="1"/>
        <v>#NAME?</v>
      </c>
      <c r="L33" s="153" t="e">
        <f t="shared" ca="1" si="2"/>
        <v>#NAME?</v>
      </c>
      <c r="M33" s="105"/>
    </row>
    <row r="34" spans="1:13" ht="14.25">
      <c r="A34" s="432" t="s">
        <v>341</v>
      </c>
      <c r="B34" s="433"/>
      <c r="C34" s="433"/>
      <c r="D34" s="433"/>
      <c r="E34" s="433"/>
      <c r="F34" s="148">
        <v>11</v>
      </c>
      <c r="G34" s="149">
        <v>13</v>
      </c>
      <c r="H34" s="149">
        <v>12</v>
      </c>
      <c r="I34" s="150">
        <v>10</v>
      </c>
      <c r="J34" s="151" t="e">
        <f t="shared" ca="1" si="0"/>
        <v>#NAME?</v>
      </c>
      <c r="K34" s="152" t="e">
        <f t="shared" ca="1" si="1"/>
        <v>#NAME?</v>
      </c>
      <c r="L34" s="153" t="e">
        <f t="shared" ca="1" si="2"/>
        <v>#NAME?</v>
      </c>
    </row>
    <row r="35" spans="1:13" ht="14.25">
      <c r="A35" s="432" t="s">
        <v>342</v>
      </c>
      <c r="B35" s="433"/>
      <c r="C35" s="433"/>
      <c r="D35" s="433"/>
      <c r="E35" s="433"/>
      <c r="F35" s="148">
        <v>27</v>
      </c>
      <c r="G35" s="149">
        <v>25</v>
      </c>
      <c r="H35" s="149">
        <v>23</v>
      </c>
      <c r="I35" s="150">
        <v>22</v>
      </c>
      <c r="J35" s="151" t="e">
        <f t="shared" ca="1" si="0"/>
        <v>#NAME?</v>
      </c>
      <c r="K35" s="152" t="e">
        <f t="shared" ca="1" si="1"/>
        <v>#NAME?</v>
      </c>
      <c r="L35" s="153" t="e">
        <f t="shared" ca="1" si="2"/>
        <v>#NAME?</v>
      </c>
    </row>
    <row r="36" spans="1:13" ht="14.25">
      <c r="A36" s="432" t="s">
        <v>343</v>
      </c>
      <c r="B36" s="433"/>
      <c r="C36" s="433"/>
      <c r="D36" s="433"/>
      <c r="E36" s="433"/>
      <c r="F36" s="148">
        <v>-29</v>
      </c>
      <c r="G36" s="149">
        <v>-26</v>
      </c>
      <c r="H36" s="149">
        <v>-24</v>
      </c>
      <c r="I36" s="150">
        <v>-23</v>
      </c>
      <c r="J36" s="151" t="e">
        <f t="shared" ca="1" si="0"/>
        <v>#NAME?</v>
      </c>
      <c r="K36" s="152" t="e">
        <f t="shared" ca="1" si="1"/>
        <v>#NAME?</v>
      </c>
      <c r="L36" s="153" t="e">
        <f t="shared" ca="1" si="2"/>
        <v>#NAME?</v>
      </c>
    </row>
    <row r="37" spans="1:13" ht="14.25">
      <c r="A37" s="432" t="s">
        <v>344</v>
      </c>
      <c r="B37" s="433"/>
      <c r="C37" s="433"/>
      <c r="D37" s="433"/>
      <c r="E37" s="433"/>
      <c r="F37" s="148">
        <v>29</v>
      </c>
      <c r="G37" s="149">
        <v>27</v>
      </c>
      <c r="H37" s="149">
        <v>26</v>
      </c>
      <c r="I37" s="150">
        <v>24</v>
      </c>
      <c r="J37" s="154" t="e">
        <f t="shared" ca="1" si="0"/>
        <v>#NAME?</v>
      </c>
      <c r="K37" s="155" t="e">
        <f t="shared" ca="1" si="1"/>
        <v>#NAME?</v>
      </c>
      <c r="L37" s="156" t="e">
        <f t="shared" ca="1" si="2"/>
        <v>#NAME?</v>
      </c>
      <c r="M37" s="72"/>
    </row>
    <row r="38" spans="1:13" ht="15" thickBot="1">
      <c r="A38" s="445" t="s">
        <v>345</v>
      </c>
      <c r="B38" s="446"/>
      <c r="C38" s="446"/>
      <c r="D38" s="446"/>
      <c r="E38" s="446"/>
      <c r="F38" s="157">
        <v>21</v>
      </c>
      <c r="G38" s="158">
        <v>19</v>
      </c>
      <c r="H38" s="158">
        <v>18</v>
      </c>
      <c r="I38" s="159">
        <v>17</v>
      </c>
      <c r="J38" s="160" t="e">
        <f t="shared" ca="1" si="0"/>
        <v>#NAME?</v>
      </c>
      <c r="K38" s="161" t="e">
        <f t="shared" ca="1" si="1"/>
        <v>#NAME?</v>
      </c>
      <c r="L38" s="162" t="e">
        <f t="shared" ca="1" si="2"/>
        <v>#NAME?</v>
      </c>
    </row>
    <row r="39" spans="1:13" ht="14.25">
      <c r="A39" s="119"/>
      <c r="B39" s="119"/>
      <c r="C39" s="119"/>
      <c r="D39" s="119"/>
      <c r="E39" s="119"/>
      <c r="F39" s="130"/>
      <c r="G39" s="130"/>
      <c r="H39" s="130"/>
      <c r="I39" s="130"/>
      <c r="J39" s="163"/>
      <c r="K39" s="163"/>
      <c r="L39" s="163"/>
    </row>
    <row r="40" spans="1:13" ht="15.75" thickBot="1">
      <c r="A40" s="164" t="s">
        <v>346</v>
      </c>
      <c r="B40" s="119"/>
      <c r="C40" s="119"/>
      <c r="D40" s="119"/>
      <c r="E40" s="119"/>
      <c r="F40" s="130"/>
      <c r="G40" s="130"/>
      <c r="H40" s="130"/>
      <c r="I40" s="130"/>
      <c r="J40" s="163"/>
      <c r="K40" s="163"/>
      <c r="L40" s="163"/>
    </row>
    <row r="41" spans="1:13" ht="14.25">
      <c r="A41" s="273" t="s">
        <v>313</v>
      </c>
      <c r="B41" s="274"/>
      <c r="C41" s="274"/>
      <c r="D41" s="274"/>
      <c r="E41" s="275"/>
      <c r="F41" s="131" t="s">
        <v>314</v>
      </c>
      <c r="G41" s="132" t="s">
        <v>315</v>
      </c>
      <c r="H41" s="132" t="s">
        <v>316</v>
      </c>
      <c r="I41" s="133" t="s">
        <v>317</v>
      </c>
      <c r="J41" s="134" t="s">
        <v>318</v>
      </c>
      <c r="K41" s="132" t="s">
        <v>319</v>
      </c>
      <c r="L41" s="135" t="s">
        <v>320</v>
      </c>
    </row>
    <row r="42" spans="1:13" ht="14.25">
      <c r="A42" s="433" t="s">
        <v>336</v>
      </c>
      <c r="B42" s="433"/>
      <c r="C42" s="433"/>
      <c r="D42" s="433"/>
      <c r="E42" s="433"/>
      <c r="F42" s="142">
        <v>-115</v>
      </c>
      <c r="G42" s="143">
        <v>-89</v>
      </c>
      <c r="H42" s="143">
        <v>-74</v>
      </c>
      <c r="I42" s="144">
        <v>-65</v>
      </c>
      <c r="J42" s="145" t="e">
        <f t="shared" ref="J42:J51" ca="1" si="3">(1.5*K42-0.5*L42)</f>
        <v>#NAME?</v>
      </c>
      <c r="K42" s="146" t="e">
        <f t="shared" ref="K42:K51" ca="1" si="4">lagrange($K$28,$F$28,$G$28,$H$28,$I$28,F42,G42,H42,I42)</f>
        <v>#NAME?</v>
      </c>
      <c r="L42" s="147" t="e">
        <f t="shared" ref="L42:L51" ca="1" si="5">lagrange($L$28,$F$28,$G$28,$H$28,$I$28,F42,G42,H42,I42)</f>
        <v>#NAME?</v>
      </c>
    </row>
    <row r="43" spans="1:13" ht="14.25">
      <c r="A43" s="432" t="s">
        <v>337</v>
      </c>
      <c r="B43" s="433"/>
      <c r="C43" s="433"/>
      <c r="D43" s="433"/>
      <c r="E43" s="433"/>
      <c r="F43" s="148">
        <v>31</v>
      </c>
      <c r="G43" s="149">
        <v>26</v>
      </c>
      <c r="H43" s="149">
        <v>22</v>
      </c>
      <c r="I43" s="150">
        <v>19</v>
      </c>
      <c r="J43" s="151" t="e">
        <f t="shared" ca="1" si="3"/>
        <v>#NAME?</v>
      </c>
      <c r="K43" s="152" t="e">
        <f t="shared" ca="1" si="4"/>
        <v>#NAME?</v>
      </c>
      <c r="L43" s="153" t="e">
        <f t="shared" ca="1" si="5"/>
        <v>#NAME?</v>
      </c>
    </row>
    <row r="44" spans="1:13" ht="14.25">
      <c r="A44" s="432" t="s">
        <v>338</v>
      </c>
      <c r="B44" s="433"/>
      <c r="C44" s="433"/>
      <c r="D44" s="433"/>
      <c r="E44" s="433"/>
      <c r="F44" s="148">
        <v>228</v>
      </c>
      <c r="G44" s="149">
        <v>183</v>
      </c>
      <c r="H44" s="149">
        <v>152</v>
      </c>
      <c r="I44" s="150">
        <v>132</v>
      </c>
      <c r="J44" s="151" t="e">
        <f t="shared" ca="1" si="3"/>
        <v>#NAME?</v>
      </c>
      <c r="K44" s="152" t="e">
        <f t="shared" ca="1" si="4"/>
        <v>#NAME?</v>
      </c>
      <c r="L44" s="153" t="e">
        <f t="shared" ca="1" si="5"/>
        <v>#NAME?</v>
      </c>
    </row>
    <row r="45" spans="1:13" ht="14.25">
      <c r="A45" s="432" t="s">
        <v>339</v>
      </c>
      <c r="B45" s="433"/>
      <c r="C45" s="433"/>
      <c r="D45" s="433"/>
      <c r="E45" s="433"/>
      <c r="F45" s="148">
        <v>-11</v>
      </c>
      <c r="G45" s="149">
        <v>-9</v>
      </c>
      <c r="H45" s="149">
        <v>-7.6</v>
      </c>
      <c r="I45" s="150">
        <v>-6.5</v>
      </c>
      <c r="J45" s="151" t="e">
        <f t="shared" ca="1" si="3"/>
        <v>#NAME?</v>
      </c>
      <c r="K45" s="152" t="e">
        <f t="shared" ca="1" si="4"/>
        <v>#NAME?</v>
      </c>
      <c r="L45" s="153" t="e">
        <f t="shared" ca="1" si="5"/>
        <v>#NAME?</v>
      </c>
    </row>
    <row r="46" spans="1:13" ht="14.25">
      <c r="A46" s="432" t="s">
        <v>340</v>
      </c>
      <c r="B46" s="433"/>
      <c r="C46" s="433"/>
      <c r="D46" s="433"/>
      <c r="E46" s="433"/>
      <c r="F46" s="148">
        <v>43</v>
      </c>
      <c r="G46" s="149">
        <v>29</v>
      </c>
      <c r="H46" s="149">
        <v>24</v>
      </c>
      <c r="I46" s="150">
        <v>22</v>
      </c>
      <c r="J46" s="151" t="e">
        <f t="shared" ca="1" si="3"/>
        <v>#NAME?</v>
      </c>
      <c r="K46" s="152" t="e">
        <f t="shared" ca="1" si="4"/>
        <v>#NAME?</v>
      </c>
      <c r="L46" s="153" t="e">
        <f t="shared" ca="1" si="5"/>
        <v>#NAME?</v>
      </c>
    </row>
    <row r="47" spans="1:13" ht="14.25">
      <c r="A47" s="432" t="s">
        <v>341</v>
      </c>
      <c r="B47" s="433"/>
      <c r="C47" s="433"/>
      <c r="D47" s="433"/>
      <c r="E47" s="433"/>
      <c r="F47" s="148">
        <v>43</v>
      </c>
      <c r="G47" s="149">
        <v>29</v>
      </c>
      <c r="H47" s="149">
        <v>24</v>
      </c>
      <c r="I47" s="150">
        <v>22</v>
      </c>
      <c r="J47" s="151" t="e">
        <f t="shared" ca="1" si="3"/>
        <v>#NAME?</v>
      </c>
      <c r="K47" s="152" t="e">
        <f t="shared" ca="1" si="4"/>
        <v>#NAME?</v>
      </c>
      <c r="L47" s="153" t="e">
        <f t="shared" ca="1" si="5"/>
        <v>#NAME?</v>
      </c>
    </row>
    <row r="48" spans="1:13" ht="14.25">
      <c r="A48" s="432" t="s">
        <v>342</v>
      </c>
      <c r="B48" s="433"/>
      <c r="C48" s="433"/>
      <c r="D48" s="433"/>
      <c r="E48" s="433"/>
      <c r="F48" s="148">
        <v>19</v>
      </c>
      <c r="G48" s="149">
        <v>13</v>
      </c>
      <c r="H48" s="149">
        <v>8.4</v>
      </c>
      <c r="I48" s="150">
        <v>5.6</v>
      </c>
      <c r="J48" s="151" t="e">
        <f t="shared" ca="1" si="3"/>
        <v>#NAME?</v>
      </c>
      <c r="K48" s="152" t="e">
        <f t="shared" ca="1" si="4"/>
        <v>#NAME?</v>
      </c>
      <c r="L48" s="153" t="e">
        <f t="shared" ca="1" si="5"/>
        <v>#NAME?</v>
      </c>
    </row>
    <row r="49" spans="1:13" ht="14.25">
      <c r="A49" s="432" t="s">
        <v>343</v>
      </c>
      <c r="B49" s="433"/>
      <c r="C49" s="433"/>
      <c r="D49" s="433"/>
      <c r="E49" s="433"/>
      <c r="F49" s="148">
        <v>-19</v>
      </c>
      <c r="G49" s="149">
        <v>-13</v>
      </c>
      <c r="H49" s="149">
        <v>-8.8000000000000007</v>
      </c>
      <c r="I49" s="150">
        <v>-5.9</v>
      </c>
      <c r="J49" s="151" t="e">
        <f t="shared" ca="1" si="3"/>
        <v>#NAME?</v>
      </c>
      <c r="K49" s="152" t="e">
        <f t="shared" ca="1" si="4"/>
        <v>#NAME?</v>
      </c>
      <c r="L49" s="153" t="e">
        <f t="shared" ca="1" si="5"/>
        <v>#NAME?</v>
      </c>
    </row>
    <row r="50" spans="1:13" ht="14.25">
      <c r="A50" s="432" t="s">
        <v>344</v>
      </c>
      <c r="B50" s="433"/>
      <c r="C50" s="433"/>
      <c r="D50" s="433"/>
      <c r="E50" s="433"/>
      <c r="F50" s="148">
        <v>24</v>
      </c>
      <c r="G50" s="149">
        <v>15</v>
      </c>
      <c r="H50" s="149">
        <v>10</v>
      </c>
      <c r="I50" s="150">
        <v>7.1</v>
      </c>
      <c r="J50" s="154" t="e">
        <f t="shared" ca="1" si="3"/>
        <v>#NAME?</v>
      </c>
      <c r="K50" s="155" t="e">
        <f t="shared" ca="1" si="4"/>
        <v>#NAME?</v>
      </c>
      <c r="L50" s="156" t="e">
        <f t="shared" ca="1" si="5"/>
        <v>#NAME?</v>
      </c>
      <c r="M50" s="105"/>
    </row>
    <row r="51" spans="1:13" ht="15" thickBot="1">
      <c r="A51" s="445" t="s">
        <v>345</v>
      </c>
      <c r="B51" s="446"/>
      <c r="C51" s="446"/>
      <c r="D51" s="446"/>
      <c r="E51" s="446"/>
      <c r="F51" s="157">
        <v>17</v>
      </c>
      <c r="G51" s="158">
        <v>11</v>
      </c>
      <c r="H51" s="158">
        <v>7.2</v>
      </c>
      <c r="I51" s="159">
        <v>5</v>
      </c>
      <c r="J51" s="160" t="e">
        <f t="shared" ca="1" si="3"/>
        <v>#NAME?</v>
      </c>
      <c r="K51" s="161" t="e">
        <f t="shared" ca="1" si="4"/>
        <v>#NAME?</v>
      </c>
      <c r="L51" s="162" t="e">
        <f t="shared" ca="1" si="5"/>
        <v>#NAME?</v>
      </c>
    </row>
    <row r="53" spans="1:13" ht="15.75" thickBot="1">
      <c r="A53" s="164" t="s">
        <v>347</v>
      </c>
      <c r="B53" s="119"/>
      <c r="C53" s="119"/>
      <c r="D53" s="119"/>
      <c r="E53" s="119"/>
      <c r="F53" s="130"/>
      <c r="G53" s="130"/>
      <c r="H53" s="130"/>
      <c r="I53" s="130"/>
      <c r="J53" s="163"/>
      <c r="K53" s="163"/>
      <c r="L53" s="163"/>
    </row>
    <row r="54" spans="1:13" ht="14.25">
      <c r="A54" s="279" t="s">
        <v>313</v>
      </c>
      <c r="B54" s="280"/>
      <c r="C54" s="280"/>
      <c r="D54" s="280"/>
      <c r="E54" s="281"/>
      <c r="F54" s="131" t="s">
        <v>314</v>
      </c>
      <c r="G54" s="132" t="s">
        <v>315</v>
      </c>
      <c r="H54" s="132" t="s">
        <v>316</v>
      </c>
      <c r="I54" s="133" t="s">
        <v>317</v>
      </c>
      <c r="J54" s="134" t="s">
        <v>318</v>
      </c>
      <c r="K54" s="132" t="s">
        <v>319</v>
      </c>
      <c r="L54" s="135" t="s">
        <v>320</v>
      </c>
    </row>
    <row r="55" spans="1:13" ht="14.25">
      <c r="A55" s="428" t="s">
        <v>336</v>
      </c>
      <c r="B55" s="429"/>
      <c r="C55" s="429"/>
      <c r="D55" s="429"/>
      <c r="E55" s="429"/>
      <c r="F55" s="142">
        <v>-171</v>
      </c>
      <c r="G55" s="143">
        <v>-118</v>
      </c>
      <c r="H55" s="143">
        <v>-102</v>
      </c>
      <c r="I55" s="144">
        <v>-91</v>
      </c>
      <c r="J55" s="145" t="e">
        <f t="shared" ref="J55:J64" ca="1" si="6">(1.5*K55-0.5*L55)</f>
        <v>#NAME?</v>
      </c>
      <c r="K55" s="146" t="e">
        <f t="shared" ref="K55:K64" ca="1" si="7">lagrange($K$28,$F$28,$G$28,$H$28,$I$28,F55,G55,H55,I55)</f>
        <v>#NAME?</v>
      </c>
      <c r="L55" s="147" t="e">
        <f t="shared" ref="L55:L64" ca="1" si="8">lagrange($L$28,$F$28,$G$28,$H$28,$I$28,F55,G55,H55,I55)</f>
        <v>#NAME?</v>
      </c>
    </row>
    <row r="56" spans="1:13" ht="14.25">
      <c r="A56" s="432" t="s">
        <v>337</v>
      </c>
      <c r="B56" s="433"/>
      <c r="C56" s="433"/>
      <c r="D56" s="433"/>
      <c r="E56" s="433"/>
      <c r="F56" s="148">
        <v>52</v>
      </c>
      <c r="G56" s="149">
        <v>36</v>
      </c>
      <c r="H56" s="149">
        <v>31</v>
      </c>
      <c r="I56" s="150">
        <v>28</v>
      </c>
      <c r="J56" s="151" t="e">
        <f t="shared" ca="1" si="6"/>
        <v>#NAME?</v>
      </c>
      <c r="K56" s="152" t="e">
        <f t="shared" ca="1" si="7"/>
        <v>#NAME?</v>
      </c>
      <c r="L56" s="153" t="e">
        <f t="shared" ca="1" si="8"/>
        <v>#NAME?</v>
      </c>
    </row>
    <row r="57" spans="1:13" ht="14.25">
      <c r="A57" s="432" t="s">
        <v>338</v>
      </c>
      <c r="B57" s="433"/>
      <c r="C57" s="433"/>
      <c r="D57" s="433"/>
      <c r="E57" s="433"/>
      <c r="F57" s="148">
        <v>29</v>
      </c>
      <c r="G57" s="149">
        <v>27</v>
      </c>
      <c r="H57" s="149">
        <v>26</v>
      </c>
      <c r="I57" s="150">
        <v>24</v>
      </c>
      <c r="J57" s="151" t="e">
        <f t="shared" ca="1" si="6"/>
        <v>#NAME?</v>
      </c>
      <c r="K57" s="152" t="e">
        <f t="shared" ca="1" si="7"/>
        <v>#NAME?</v>
      </c>
      <c r="L57" s="153" t="e">
        <f t="shared" ca="1" si="8"/>
        <v>#NAME?</v>
      </c>
    </row>
    <row r="58" spans="1:13" ht="14.25">
      <c r="A58" s="432" t="s">
        <v>339</v>
      </c>
      <c r="B58" s="433"/>
      <c r="C58" s="433"/>
      <c r="D58" s="433"/>
      <c r="E58" s="433"/>
      <c r="F58" s="148">
        <v>20</v>
      </c>
      <c r="G58" s="149">
        <v>19</v>
      </c>
      <c r="H58" s="149">
        <v>18</v>
      </c>
      <c r="I58" s="150">
        <v>17</v>
      </c>
      <c r="J58" s="151" t="e">
        <f t="shared" ca="1" si="6"/>
        <v>#NAME?</v>
      </c>
      <c r="K58" s="152" t="e">
        <f t="shared" ca="1" si="7"/>
        <v>#NAME?</v>
      </c>
      <c r="L58" s="153" t="e">
        <f t="shared" ca="1" si="8"/>
        <v>#NAME?</v>
      </c>
    </row>
    <row r="59" spans="1:13" ht="14.25">
      <c r="A59" s="432" t="s">
        <v>340</v>
      </c>
      <c r="B59" s="433"/>
      <c r="C59" s="433"/>
      <c r="D59" s="433"/>
      <c r="E59" s="433"/>
      <c r="F59" s="148">
        <v>-115</v>
      </c>
      <c r="G59" s="149">
        <v>-89</v>
      </c>
      <c r="H59" s="149">
        <v>-74</v>
      </c>
      <c r="I59" s="150">
        <v>-65</v>
      </c>
      <c r="J59" s="151" t="e">
        <f t="shared" ca="1" si="6"/>
        <v>#NAME?</v>
      </c>
      <c r="K59" s="152" t="e">
        <f t="shared" ca="1" si="7"/>
        <v>#NAME?</v>
      </c>
      <c r="L59" s="153" t="e">
        <f t="shared" ca="1" si="8"/>
        <v>#NAME?</v>
      </c>
    </row>
    <row r="60" spans="1:13" ht="14.25">
      <c r="A60" s="432" t="s">
        <v>341</v>
      </c>
      <c r="B60" s="433"/>
      <c r="C60" s="433"/>
      <c r="D60" s="433"/>
      <c r="E60" s="433"/>
      <c r="F60" s="148">
        <v>31</v>
      </c>
      <c r="G60" s="149">
        <v>26</v>
      </c>
      <c r="H60" s="149">
        <v>22</v>
      </c>
      <c r="I60" s="150">
        <v>19</v>
      </c>
      <c r="J60" s="151" t="e">
        <f t="shared" ca="1" si="6"/>
        <v>#NAME?</v>
      </c>
      <c r="K60" s="152" t="e">
        <f t="shared" ca="1" si="7"/>
        <v>#NAME?</v>
      </c>
      <c r="L60" s="153" t="e">
        <f t="shared" ca="1" si="8"/>
        <v>#NAME?</v>
      </c>
    </row>
    <row r="61" spans="1:13" ht="14.25">
      <c r="A61" s="432" t="s">
        <v>342</v>
      </c>
      <c r="B61" s="433"/>
      <c r="C61" s="433"/>
      <c r="D61" s="433"/>
      <c r="E61" s="433"/>
      <c r="F61" s="148">
        <v>228</v>
      </c>
      <c r="G61" s="149">
        <v>183</v>
      </c>
      <c r="H61" s="149">
        <v>152</v>
      </c>
      <c r="I61" s="150">
        <v>132</v>
      </c>
      <c r="J61" s="151" t="e">
        <f t="shared" ca="1" si="6"/>
        <v>#NAME?</v>
      </c>
      <c r="K61" s="152" t="e">
        <f t="shared" ca="1" si="7"/>
        <v>#NAME?</v>
      </c>
      <c r="L61" s="153" t="e">
        <f t="shared" ca="1" si="8"/>
        <v>#NAME?</v>
      </c>
    </row>
    <row r="62" spans="1:13" ht="14.25">
      <c r="A62" s="432" t="s">
        <v>343</v>
      </c>
      <c r="B62" s="433"/>
      <c r="C62" s="433"/>
      <c r="D62" s="433"/>
      <c r="E62" s="433"/>
      <c r="F62" s="148">
        <v>-11</v>
      </c>
      <c r="G62" s="149">
        <v>-9</v>
      </c>
      <c r="H62" s="149">
        <v>-7.6</v>
      </c>
      <c r="I62" s="150">
        <v>-6.5</v>
      </c>
      <c r="J62" s="151" t="e">
        <f t="shared" ca="1" si="6"/>
        <v>#NAME?</v>
      </c>
      <c r="K62" s="152" t="e">
        <f t="shared" ca="1" si="7"/>
        <v>#NAME?</v>
      </c>
      <c r="L62" s="153" t="e">
        <f t="shared" ca="1" si="8"/>
        <v>#NAME?</v>
      </c>
    </row>
    <row r="63" spans="1:13" ht="14.25">
      <c r="A63" s="432" t="s">
        <v>344</v>
      </c>
      <c r="B63" s="433"/>
      <c r="C63" s="433"/>
      <c r="D63" s="433"/>
      <c r="E63" s="433"/>
      <c r="F63" s="148">
        <v>0.82</v>
      </c>
      <c r="G63" s="149">
        <v>0.49</v>
      </c>
      <c r="H63" s="149">
        <v>0.18</v>
      </c>
      <c r="I63" s="150">
        <v>0.03</v>
      </c>
      <c r="J63" s="154" t="e">
        <f t="shared" ca="1" si="6"/>
        <v>#NAME?</v>
      </c>
      <c r="K63" s="155" t="e">
        <f t="shared" ca="1" si="7"/>
        <v>#NAME?</v>
      </c>
      <c r="L63" s="156" t="e">
        <f t="shared" ca="1" si="8"/>
        <v>#NAME?</v>
      </c>
    </row>
    <row r="64" spans="1:13" ht="15" thickBot="1">
      <c r="A64" s="445" t="s">
        <v>345</v>
      </c>
      <c r="B64" s="446"/>
      <c r="C64" s="446"/>
      <c r="D64" s="446"/>
      <c r="E64" s="446"/>
      <c r="F64" s="157">
        <v>43</v>
      </c>
      <c r="G64" s="158">
        <v>29</v>
      </c>
      <c r="H64" s="158">
        <v>24</v>
      </c>
      <c r="I64" s="159">
        <v>22</v>
      </c>
      <c r="J64" s="160" t="e">
        <f t="shared" ca="1" si="6"/>
        <v>#NAME?</v>
      </c>
      <c r="K64" s="161" t="e">
        <f t="shared" ca="1" si="7"/>
        <v>#NAME?</v>
      </c>
      <c r="L64" s="162" t="e">
        <f t="shared" ca="1" si="8"/>
        <v>#NAME?</v>
      </c>
    </row>
    <row r="66" spans="1:12" ht="15.75" thickBot="1">
      <c r="A66" s="164" t="s">
        <v>348</v>
      </c>
      <c r="B66" s="119"/>
      <c r="C66" s="119"/>
      <c r="D66" s="119"/>
      <c r="E66" s="119"/>
      <c r="F66" s="130"/>
      <c r="G66" s="130"/>
      <c r="H66" s="130"/>
      <c r="I66" s="130"/>
      <c r="J66" s="163"/>
      <c r="K66" s="163"/>
      <c r="L66" s="163"/>
    </row>
    <row r="67" spans="1:12" ht="14.25">
      <c r="A67" s="276" t="s">
        <v>313</v>
      </c>
      <c r="B67" s="277"/>
      <c r="C67" s="277"/>
      <c r="D67" s="277"/>
      <c r="E67" s="278"/>
      <c r="F67" s="131" t="s">
        <v>314</v>
      </c>
      <c r="G67" s="132" t="s">
        <v>315</v>
      </c>
      <c r="H67" s="132" t="s">
        <v>316</v>
      </c>
      <c r="I67" s="133" t="s">
        <v>317</v>
      </c>
      <c r="J67" s="134" t="s">
        <v>318</v>
      </c>
      <c r="K67" s="132" t="s">
        <v>319</v>
      </c>
      <c r="L67" s="135" t="s">
        <v>320</v>
      </c>
    </row>
    <row r="68" spans="1:12" ht="14.25">
      <c r="A68" s="428" t="s">
        <v>336</v>
      </c>
      <c r="B68" s="429"/>
      <c r="C68" s="429"/>
      <c r="D68" s="429"/>
      <c r="E68" s="429"/>
      <c r="F68" s="142">
        <v>37</v>
      </c>
      <c r="G68" s="143">
        <v>38</v>
      </c>
      <c r="H68" s="143">
        <v>36</v>
      </c>
      <c r="I68" s="144">
        <v>35</v>
      </c>
      <c r="J68" s="145" t="e">
        <f t="shared" ref="J68:J77" ca="1" si="9">(1.5*K68-0.5*L68)</f>
        <v>#NAME?</v>
      </c>
      <c r="K68" s="146" t="e">
        <f t="shared" ref="K68:K77" ca="1" si="10">lagrange($K$28,$F$28,$G$28,$H$28,$I$28,F68,G68,H68,I68)</f>
        <v>#NAME?</v>
      </c>
      <c r="L68" s="147" t="e">
        <f t="shared" ref="L68:L77" ca="1" si="11">lagrange($L$28,$F$28,$G$28,$H$28,$I$28,F68,G68,H68,I68)</f>
        <v>#NAME?</v>
      </c>
    </row>
    <row r="69" spans="1:12" ht="14.25">
      <c r="A69" s="432" t="s">
        <v>337</v>
      </c>
      <c r="B69" s="433"/>
      <c r="C69" s="433"/>
      <c r="D69" s="433"/>
      <c r="E69" s="433"/>
      <c r="F69" s="148">
        <v>-39</v>
      </c>
      <c r="G69" s="149">
        <v>-40</v>
      </c>
      <c r="H69" s="149">
        <v>-38</v>
      </c>
      <c r="I69" s="150">
        <v>-36</v>
      </c>
      <c r="J69" s="151" t="e">
        <f t="shared" ca="1" si="9"/>
        <v>#NAME?</v>
      </c>
      <c r="K69" s="152" t="e">
        <f t="shared" ca="1" si="10"/>
        <v>#NAME?</v>
      </c>
      <c r="L69" s="153" t="e">
        <f t="shared" ca="1" si="11"/>
        <v>#NAME?</v>
      </c>
    </row>
    <row r="70" spans="1:12" ht="14.25">
      <c r="A70" s="432" t="s">
        <v>338</v>
      </c>
      <c r="B70" s="433"/>
      <c r="C70" s="433"/>
      <c r="D70" s="433"/>
      <c r="E70" s="433"/>
      <c r="F70" s="148">
        <v>29</v>
      </c>
      <c r="G70" s="149">
        <v>27</v>
      </c>
      <c r="H70" s="149">
        <v>26</v>
      </c>
      <c r="I70" s="150">
        <v>24</v>
      </c>
      <c r="J70" s="151" t="e">
        <f t="shared" ca="1" si="9"/>
        <v>#NAME?</v>
      </c>
      <c r="K70" s="152" t="e">
        <f t="shared" ca="1" si="10"/>
        <v>#NAME?</v>
      </c>
      <c r="L70" s="153" t="e">
        <f t="shared" ca="1" si="11"/>
        <v>#NAME?</v>
      </c>
    </row>
    <row r="71" spans="1:12" ht="14.25">
      <c r="A71" s="432" t="s">
        <v>339</v>
      </c>
      <c r="B71" s="433"/>
      <c r="C71" s="433"/>
      <c r="D71" s="433"/>
      <c r="E71" s="433"/>
      <c r="F71" s="148">
        <v>20</v>
      </c>
      <c r="G71" s="149">
        <v>19</v>
      </c>
      <c r="H71" s="149">
        <v>18</v>
      </c>
      <c r="I71" s="150">
        <v>17</v>
      </c>
      <c r="J71" s="151" t="e">
        <f t="shared" ca="1" si="9"/>
        <v>#NAME?</v>
      </c>
      <c r="K71" s="152" t="e">
        <f t="shared" ca="1" si="10"/>
        <v>#NAME?</v>
      </c>
      <c r="L71" s="153" t="e">
        <f t="shared" ca="1" si="11"/>
        <v>#NAME?</v>
      </c>
    </row>
    <row r="72" spans="1:12" ht="14.25">
      <c r="A72" s="432" t="s">
        <v>340</v>
      </c>
      <c r="B72" s="433"/>
      <c r="C72" s="433"/>
      <c r="D72" s="433"/>
      <c r="E72" s="433"/>
      <c r="F72" s="148">
        <v>-115</v>
      </c>
      <c r="G72" s="149">
        <v>-89</v>
      </c>
      <c r="H72" s="149">
        <v>-74</v>
      </c>
      <c r="I72" s="150">
        <v>-65</v>
      </c>
      <c r="J72" s="151" t="e">
        <f t="shared" ca="1" si="9"/>
        <v>#NAME?</v>
      </c>
      <c r="K72" s="152" t="e">
        <f t="shared" ca="1" si="10"/>
        <v>#NAME?</v>
      </c>
      <c r="L72" s="153" t="e">
        <f t="shared" ca="1" si="11"/>
        <v>#NAME?</v>
      </c>
    </row>
    <row r="73" spans="1:12" ht="14.25">
      <c r="A73" s="432" t="s">
        <v>341</v>
      </c>
      <c r="B73" s="433"/>
      <c r="C73" s="433"/>
      <c r="D73" s="433"/>
      <c r="E73" s="433"/>
      <c r="F73" s="148">
        <v>31</v>
      </c>
      <c r="G73" s="149">
        <v>26</v>
      </c>
      <c r="H73" s="149">
        <v>22</v>
      </c>
      <c r="I73" s="150">
        <v>19</v>
      </c>
      <c r="J73" s="151" t="e">
        <f t="shared" ca="1" si="9"/>
        <v>#NAME?</v>
      </c>
      <c r="K73" s="152" t="e">
        <f t="shared" ca="1" si="10"/>
        <v>#NAME?</v>
      </c>
      <c r="L73" s="153" t="e">
        <f t="shared" ca="1" si="11"/>
        <v>#NAME?</v>
      </c>
    </row>
    <row r="74" spans="1:12" ht="14.25">
      <c r="A74" s="432" t="s">
        <v>342</v>
      </c>
      <c r="B74" s="433"/>
      <c r="C74" s="433"/>
      <c r="D74" s="433"/>
      <c r="E74" s="433"/>
      <c r="F74" s="148">
        <v>228</v>
      </c>
      <c r="G74" s="149">
        <v>183</v>
      </c>
      <c r="H74" s="149">
        <v>152</v>
      </c>
      <c r="I74" s="150">
        <v>132</v>
      </c>
      <c r="J74" s="151" t="e">
        <f t="shared" ca="1" si="9"/>
        <v>#NAME?</v>
      </c>
      <c r="K74" s="152" t="e">
        <f t="shared" ca="1" si="10"/>
        <v>#NAME?</v>
      </c>
      <c r="L74" s="153" t="e">
        <f t="shared" ca="1" si="11"/>
        <v>#NAME?</v>
      </c>
    </row>
    <row r="75" spans="1:12" ht="14.25">
      <c r="A75" s="432" t="s">
        <v>343</v>
      </c>
      <c r="B75" s="433"/>
      <c r="C75" s="433"/>
      <c r="D75" s="433"/>
      <c r="E75" s="433"/>
      <c r="F75" s="148">
        <v>-11</v>
      </c>
      <c r="G75" s="149">
        <v>-9</v>
      </c>
      <c r="H75" s="149">
        <v>-7.6</v>
      </c>
      <c r="I75" s="150">
        <v>-6.5</v>
      </c>
      <c r="J75" s="151" t="e">
        <f t="shared" ca="1" si="9"/>
        <v>#NAME?</v>
      </c>
      <c r="K75" s="152" t="e">
        <f t="shared" ca="1" si="10"/>
        <v>#NAME?</v>
      </c>
      <c r="L75" s="153" t="e">
        <f t="shared" ca="1" si="11"/>
        <v>#NAME?</v>
      </c>
    </row>
    <row r="76" spans="1:12" ht="14.25">
      <c r="A76" s="432" t="s">
        <v>344</v>
      </c>
      <c r="B76" s="433"/>
      <c r="C76" s="433"/>
      <c r="D76" s="433"/>
      <c r="E76" s="433"/>
      <c r="F76" s="148">
        <v>0.82</v>
      </c>
      <c r="G76" s="149">
        <v>0.49</v>
      </c>
      <c r="H76" s="149">
        <v>0.18</v>
      </c>
      <c r="I76" s="150">
        <v>0.03</v>
      </c>
      <c r="J76" s="154" t="e">
        <f t="shared" ca="1" si="9"/>
        <v>#NAME?</v>
      </c>
      <c r="K76" s="155" t="e">
        <f t="shared" ca="1" si="10"/>
        <v>#NAME?</v>
      </c>
      <c r="L76" s="156" t="e">
        <f t="shared" ca="1" si="11"/>
        <v>#NAME?</v>
      </c>
    </row>
    <row r="77" spans="1:12" ht="15" thickBot="1">
      <c r="A77" s="445" t="s">
        <v>345</v>
      </c>
      <c r="B77" s="446"/>
      <c r="C77" s="446"/>
      <c r="D77" s="446"/>
      <c r="E77" s="446"/>
      <c r="F77" s="157">
        <v>43</v>
      </c>
      <c r="G77" s="158">
        <v>29</v>
      </c>
      <c r="H77" s="158">
        <v>24</v>
      </c>
      <c r="I77" s="159">
        <v>22</v>
      </c>
      <c r="J77" s="160" t="e">
        <f t="shared" ca="1" si="9"/>
        <v>#NAME?</v>
      </c>
      <c r="K77" s="161" t="e">
        <f t="shared" ca="1" si="10"/>
        <v>#NAME?</v>
      </c>
      <c r="L77" s="162" t="e">
        <f t="shared" ca="1" si="11"/>
        <v>#NAME?</v>
      </c>
    </row>
    <row r="79" spans="1:12" ht="15.75" thickBot="1">
      <c r="A79" s="164" t="s">
        <v>349</v>
      </c>
      <c r="B79" s="119"/>
      <c r="C79" s="119"/>
      <c r="D79" s="119"/>
      <c r="E79" s="119"/>
      <c r="F79" s="130"/>
      <c r="G79" s="130"/>
      <c r="H79" s="130"/>
      <c r="I79" s="130"/>
      <c r="J79" s="163"/>
      <c r="K79" s="163"/>
      <c r="L79" s="163"/>
    </row>
    <row r="80" spans="1:12" ht="14.25">
      <c r="A80" s="276" t="s">
        <v>313</v>
      </c>
      <c r="B80" s="277"/>
      <c r="C80" s="277"/>
      <c r="D80" s="277"/>
      <c r="E80" s="278"/>
      <c r="F80" s="131" t="s">
        <v>314</v>
      </c>
      <c r="G80" s="132" t="s">
        <v>315</v>
      </c>
      <c r="H80" s="132" t="s">
        <v>316</v>
      </c>
      <c r="I80" s="133" t="s">
        <v>317</v>
      </c>
      <c r="J80" s="134" t="s">
        <v>318</v>
      </c>
      <c r="K80" s="132" t="s">
        <v>319</v>
      </c>
      <c r="L80" s="135" t="s">
        <v>320</v>
      </c>
    </row>
    <row r="81" spans="1:12" ht="14.25">
      <c r="A81" s="428" t="s">
        <v>336</v>
      </c>
      <c r="B81" s="429"/>
      <c r="C81" s="429"/>
      <c r="D81" s="429"/>
      <c r="E81" s="429"/>
      <c r="F81" s="142">
        <v>37</v>
      </c>
      <c r="G81" s="143">
        <v>38</v>
      </c>
      <c r="H81" s="143">
        <v>36</v>
      </c>
      <c r="I81" s="144">
        <v>35</v>
      </c>
      <c r="J81" s="145" t="e">
        <f t="shared" ref="J81:J90" ca="1" si="12">(1.5*K81-0.5*L81)</f>
        <v>#NAME?</v>
      </c>
      <c r="K81" s="146" t="e">
        <f t="shared" ref="K81:K90" ca="1" si="13">lagrange($K$28,$F$28,$G$28,$H$28,$I$28,F81,G81,H81,I81)</f>
        <v>#NAME?</v>
      </c>
      <c r="L81" s="147" t="e">
        <f t="shared" ref="L81:L90" ca="1" si="14">lagrange($L$28,$F$28,$G$28,$H$28,$I$28,F81,G81,H81,I81)</f>
        <v>#NAME?</v>
      </c>
    </row>
    <row r="82" spans="1:12" ht="14.25">
      <c r="A82" s="432" t="s">
        <v>337</v>
      </c>
      <c r="B82" s="433"/>
      <c r="C82" s="433"/>
      <c r="D82" s="433"/>
      <c r="E82" s="433"/>
      <c r="F82" s="148">
        <v>-39</v>
      </c>
      <c r="G82" s="149">
        <v>-40</v>
      </c>
      <c r="H82" s="149">
        <v>-38</v>
      </c>
      <c r="I82" s="150">
        <v>-36</v>
      </c>
      <c r="J82" s="151" t="e">
        <f t="shared" ca="1" si="12"/>
        <v>#NAME?</v>
      </c>
      <c r="K82" s="152" t="e">
        <f t="shared" ca="1" si="13"/>
        <v>#NAME?</v>
      </c>
      <c r="L82" s="153" t="e">
        <f t="shared" ca="1" si="14"/>
        <v>#NAME?</v>
      </c>
    </row>
    <row r="83" spans="1:12" ht="14.25">
      <c r="A83" s="432" t="s">
        <v>338</v>
      </c>
      <c r="B83" s="433"/>
      <c r="C83" s="433"/>
      <c r="D83" s="433"/>
      <c r="E83" s="433"/>
      <c r="F83" s="148">
        <v>29</v>
      </c>
      <c r="G83" s="149">
        <v>27</v>
      </c>
      <c r="H83" s="149">
        <v>26</v>
      </c>
      <c r="I83" s="150">
        <v>24</v>
      </c>
      <c r="J83" s="151" t="e">
        <f t="shared" ca="1" si="12"/>
        <v>#NAME?</v>
      </c>
      <c r="K83" s="152" t="e">
        <f t="shared" ca="1" si="13"/>
        <v>#NAME?</v>
      </c>
      <c r="L83" s="153" t="e">
        <f t="shared" ca="1" si="14"/>
        <v>#NAME?</v>
      </c>
    </row>
    <row r="84" spans="1:12" ht="14.25">
      <c r="A84" s="432" t="s">
        <v>339</v>
      </c>
      <c r="B84" s="433"/>
      <c r="C84" s="433"/>
      <c r="D84" s="433"/>
      <c r="E84" s="433"/>
      <c r="F84" s="148">
        <v>20</v>
      </c>
      <c r="G84" s="149">
        <v>19</v>
      </c>
      <c r="H84" s="149">
        <v>18</v>
      </c>
      <c r="I84" s="150">
        <v>17</v>
      </c>
      <c r="J84" s="151" t="e">
        <f t="shared" ca="1" si="12"/>
        <v>#NAME?</v>
      </c>
      <c r="K84" s="152" t="e">
        <f t="shared" ca="1" si="13"/>
        <v>#NAME?</v>
      </c>
      <c r="L84" s="153" t="e">
        <f t="shared" ca="1" si="14"/>
        <v>#NAME?</v>
      </c>
    </row>
    <row r="85" spans="1:12" ht="14.25">
      <c r="A85" s="432" t="s">
        <v>340</v>
      </c>
      <c r="B85" s="433"/>
      <c r="C85" s="433"/>
      <c r="D85" s="433"/>
      <c r="E85" s="433"/>
      <c r="F85" s="148">
        <v>-115</v>
      </c>
      <c r="G85" s="149">
        <v>-89</v>
      </c>
      <c r="H85" s="149">
        <v>-74</v>
      </c>
      <c r="I85" s="150">
        <v>-65</v>
      </c>
      <c r="J85" s="151" t="e">
        <f t="shared" ca="1" si="12"/>
        <v>#NAME?</v>
      </c>
      <c r="K85" s="152" t="e">
        <f t="shared" ca="1" si="13"/>
        <v>#NAME?</v>
      </c>
      <c r="L85" s="153" t="e">
        <f t="shared" ca="1" si="14"/>
        <v>#NAME?</v>
      </c>
    </row>
    <row r="86" spans="1:12" ht="14.25">
      <c r="A86" s="432" t="s">
        <v>341</v>
      </c>
      <c r="B86" s="433"/>
      <c r="C86" s="433"/>
      <c r="D86" s="433"/>
      <c r="E86" s="433"/>
      <c r="F86" s="148">
        <v>31</v>
      </c>
      <c r="G86" s="149">
        <v>26</v>
      </c>
      <c r="H86" s="149">
        <v>22</v>
      </c>
      <c r="I86" s="150">
        <v>19</v>
      </c>
      <c r="J86" s="151" t="e">
        <f t="shared" ca="1" si="12"/>
        <v>#NAME?</v>
      </c>
      <c r="K86" s="152" t="e">
        <f t="shared" ca="1" si="13"/>
        <v>#NAME?</v>
      </c>
      <c r="L86" s="153" t="e">
        <f t="shared" ca="1" si="14"/>
        <v>#NAME?</v>
      </c>
    </row>
    <row r="87" spans="1:12" ht="14.25">
      <c r="A87" s="432" t="s">
        <v>342</v>
      </c>
      <c r="B87" s="433"/>
      <c r="C87" s="433"/>
      <c r="D87" s="433"/>
      <c r="E87" s="433"/>
      <c r="F87" s="148">
        <v>228</v>
      </c>
      <c r="G87" s="149">
        <v>183</v>
      </c>
      <c r="H87" s="149">
        <v>152</v>
      </c>
      <c r="I87" s="150">
        <v>132</v>
      </c>
      <c r="J87" s="151" t="e">
        <f t="shared" ca="1" si="12"/>
        <v>#NAME?</v>
      </c>
      <c r="K87" s="152" t="e">
        <f t="shared" ca="1" si="13"/>
        <v>#NAME?</v>
      </c>
      <c r="L87" s="153" t="e">
        <f t="shared" ca="1" si="14"/>
        <v>#NAME?</v>
      </c>
    </row>
    <row r="88" spans="1:12" ht="14.25">
      <c r="A88" s="432" t="s">
        <v>343</v>
      </c>
      <c r="B88" s="433"/>
      <c r="C88" s="433"/>
      <c r="D88" s="433"/>
      <c r="E88" s="433"/>
      <c r="F88" s="148">
        <v>-11</v>
      </c>
      <c r="G88" s="149">
        <v>-9</v>
      </c>
      <c r="H88" s="149">
        <v>-7.6</v>
      </c>
      <c r="I88" s="150">
        <v>-6.5</v>
      </c>
      <c r="J88" s="151" t="e">
        <f t="shared" ca="1" si="12"/>
        <v>#NAME?</v>
      </c>
      <c r="K88" s="152" t="e">
        <f t="shared" ca="1" si="13"/>
        <v>#NAME?</v>
      </c>
      <c r="L88" s="153" t="e">
        <f t="shared" ca="1" si="14"/>
        <v>#NAME?</v>
      </c>
    </row>
    <row r="89" spans="1:12" ht="14.25">
      <c r="A89" s="432" t="s">
        <v>344</v>
      </c>
      <c r="B89" s="433"/>
      <c r="C89" s="433"/>
      <c r="D89" s="433"/>
      <c r="E89" s="433"/>
      <c r="F89" s="148">
        <v>0.82</v>
      </c>
      <c r="G89" s="149">
        <v>0.49</v>
      </c>
      <c r="H89" s="149">
        <v>0.18</v>
      </c>
      <c r="I89" s="150">
        <v>0.03</v>
      </c>
      <c r="J89" s="154" t="e">
        <f t="shared" ca="1" si="12"/>
        <v>#NAME?</v>
      </c>
      <c r="K89" s="155" t="e">
        <f t="shared" ca="1" si="13"/>
        <v>#NAME?</v>
      </c>
      <c r="L89" s="156" t="e">
        <f t="shared" ca="1" si="14"/>
        <v>#NAME?</v>
      </c>
    </row>
    <row r="90" spans="1:12" ht="15" thickBot="1">
      <c r="A90" s="445" t="s">
        <v>345</v>
      </c>
      <c r="B90" s="446"/>
      <c r="C90" s="446"/>
      <c r="D90" s="446"/>
      <c r="E90" s="446"/>
      <c r="F90" s="157">
        <v>43</v>
      </c>
      <c r="G90" s="158">
        <v>29</v>
      </c>
      <c r="H90" s="158">
        <v>24</v>
      </c>
      <c r="I90" s="159">
        <v>22</v>
      </c>
      <c r="J90" s="160" t="e">
        <f t="shared" ca="1" si="12"/>
        <v>#NAME?</v>
      </c>
      <c r="K90" s="161" t="e">
        <f t="shared" ca="1" si="13"/>
        <v>#NAME?</v>
      </c>
      <c r="L90" s="162" t="e">
        <f t="shared" ca="1" si="14"/>
        <v>#NAME?</v>
      </c>
    </row>
    <row r="92" spans="1:12" ht="15.75" thickBot="1">
      <c r="A92" s="164" t="s">
        <v>350</v>
      </c>
      <c r="B92" s="119"/>
      <c r="C92" s="119"/>
      <c r="D92" s="119"/>
      <c r="E92" s="119"/>
      <c r="F92" s="130"/>
      <c r="G92" s="130"/>
      <c r="H92" s="130"/>
      <c r="I92" s="130"/>
      <c r="J92" s="163"/>
      <c r="K92" s="163"/>
      <c r="L92" s="163"/>
    </row>
    <row r="93" spans="1:12" ht="14.25">
      <c r="A93" s="276" t="s">
        <v>313</v>
      </c>
      <c r="B93" s="277"/>
      <c r="C93" s="277"/>
      <c r="D93" s="277"/>
      <c r="E93" s="278"/>
      <c r="F93" s="131" t="s">
        <v>314</v>
      </c>
      <c r="G93" s="132" t="s">
        <v>315</v>
      </c>
      <c r="H93" s="132" t="s">
        <v>316</v>
      </c>
      <c r="I93" s="133" t="s">
        <v>317</v>
      </c>
      <c r="J93" s="134" t="s">
        <v>318</v>
      </c>
      <c r="K93" s="132" t="s">
        <v>319</v>
      </c>
      <c r="L93" s="135" t="s">
        <v>320</v>
      </c>
    </row>
    <row r="94" spans="1:12" ht="14.25">
      <c r="A94" s="428" t="s">
        <v>336</v>
      </c>
      <c r="B94" s="429"/>
      <c r="C94" s="429"/>
      <c r="D94" s="429"/>
      <c r="E94" s="429"/>
      <c r="F94" s="142">
        <v>37</v>
      </c>
      <c r="G94" s="143">
        <v>38</v>
      </c>
      <c r="H94" s="143">
        <v>36</v>
      </c>
      <c r="I94" s="144">
        <v>35</v>
      </c>
      <c r="J94" s="145" t="e">
        <f t="shared" ref="J94:J103" ca="1" si="15">(1.5*K94-0.5*L94)</f>
        <v>#NAME?</v>
      </c>
      <c r="K94" s="146" t="e">
        <f t="shared" ref="K94:K103" ca="1" si="16">lagrange($K$28,$F$28,$G$28,$H$28,$I$28,F94,G94,H94,I94)</f>
        <v>#NAME?</v>
      </c>
      <c r="L94" s="147" t="e">
        <f t="shared" ref="L94:L103" ca="1" si="17">lagrange($L$28,$F$28,$G$28,$H$28,$I$28,F94,G94,H94,I94)</f>
        <v>#NAME?</v>
      </c>
    </row>
    <row r="95" spans="1:12" ht="14.25">
      <c r="A95" s="432" t="s">
        <v>337</v>
      </c>
      <c r="B95" s="433"/>
      <c r="C95" s="433"/>
      <c r="D95" s="433"/>
      <c r="E95" s="433"/>
      <c r="F95" s="148">
        <v>-39</v>
      </c>
      <c r="G95" s="149">
        <v>-40</v>
      </c>
      <c r="H95" s="149">
        <v>-38</v>
      </c>
      <c r="I95" s="150">
        <v>-36</v>
      </c>
      <c r="J95" s="151" t="e">
        <f t="shared" ca="1" si="15"/>
        <v>#NAME?</v>
      </c>
      <c r="K95" s="152" t="e">
        <f t="shared" ca="1" si="16"/>
        <v>#NAME?</v>
      </c>
      <c r="L95" s="153" t="e">
        <f t="shared" ca="1" si="17"/>
        <v>#NAME?</v>
      </c>
    </row>
    <row r="96" spans="1:12" ht="14.25">
      <c r="A96" s="432" t="s">
        <v>338</v>
      </c>
      <c r="B96" s="433"/>
      <c r="C96" s="433"/>
      <c r="D96" s="433"/>
      <c r="E96" s="433"/>
      <c r="F96" s="148">
        <v>29</v>
      </c>
      <c r="G96" s="149">
        <v>27</v>
      </c>
      <c r="H96" s="149">
        <v>26</v>
      </c>
      <c r="I96" s="150">
        <v>24</v>
      </c>
      <c r="J96" s="151" t="e">
        <f t="shared" ca="1" si="15"/>
        <v>#NAME?</v>
      </c>
      <c r="K96" s="152" t="e">
        <f t="shared" ca="1" si="16"/>
        <v>#NAME?</v>
      </c>
      <c r="L96" s="153" t="e">
        <f t="shared" ca="1" si="17"/>
        <v>#NAME?</v>
      </c>
    </row>
    <row r="97" spans="1:12" ht="14.25">
      <c r="A97" s="432" t="s">
        <v>339</v>
      </c>
      <c r="B97" s="433"/>
      <c r="C97" s="433"/>
      <c r="D97" s="433"/>
      <c r="E97" s="433"/>
      <c r="F97" s="148">
        <v>20</v>
      </c>
      <c r="G97" s="149">
        <v>19</v>
      </c>
      <c r="H97" s="149">
        <v>18</v>
      </c>
      <c r="I97" s="150">
        <v>17</v>
      </c>
      <c r="J97" s="151" t="e">
        <f t="shared" ca="1" si="15"/>
        <v>#NAME?</v>
      </c>
      <c r="K97" s="152" t="e">
        <f t="shared" ca="1" si="16"/>
        <v>#NAME?</v>
      </c>
      <c r="L97" s="153" t="e">
        <f t="shared" ca="1" si="17"/>
        <v>#NAME?</v>
      </c>
    </row>
    <row r="98" spans="1:12" ht="14.25">
      <c r="A98" s="432" t="s">
        <v>340</v>
      </c>
      <c r="B98" s="433"/>
      <c r="C98" s="433"/>
      <c r="D98" s="433"/>
      <c r="E98" s="433"/>
      <c r="F98" s="148">
        <v>-115</v>
      </c>
      <c r="G98" s="149">
        <v>-89</v>
      </c>
      <c r="H98" s="149">
        <v>-74</v>
      </c>
      <c r="I98" s="150">
        <v>-65</v>
      </c>
      <c r="J98" s="151" t="e">
        <f t="shared" ca="1" si="15"/>
        <v>#NAME?</v>
      </c>
      <c r="K98" s="152" t="e">
        <f t="shared" ca="1" si="16"/>
        <v>#NAME?</v>
      </c>
      <c r="L98" s="153" t="e">
        <f t="shared" ca="1" si="17"/>
        <v>#NAME?</v>
      </c>
    </row>
    <row r="99" spans="1:12" ht="14.25">
      <c r="A99" s="432" t="s">
        <v>341</v>
      </c>
      <c r="B99" s="433"/>
      <c r="C99" s="433"/>
      <c r="D99" s="433"/>
      <c r="E99" s="433"/>
      <c r="F99" s="148">
        <v>31</v>
      </c>
      <c r="G99" s="149">
        <v>26</v>
      </c>
      <c r="H99" s="149">
        <v>22</v>
      </c>
      <c r="I99" s="150">
        <v>19</v>
      </c>
      <c r="J99" s="151" t="e">
        <f t="shared" ca="1" si="15"/>
        <v>#NAME?</v>
      </c>
      <c r="K99" s="152" t="e">
        <f t="shared" ca="1" si="16"/>
        <v>#NAME?</v>
      </c>
      <c r="L99" s="153" t="e">
        <f t="shared" ca="1" si="17"/>
        <v>#NAME?</v>
      </c>
    </row>
    <row r="100" spans="1:12" ht="14.25">
      <c r="A100" s="432" t="s">
        <v>342</v>
      </c>
      <c r="B100" s="433"/>
      <c r="C100" s="433"/>
      <c r="D100" s="433"/>
      <c r="E100" s="433"/>
      <c r="F100" s="148">
        <v>228</v>
      </c>
      <c r="G100" s="149">
        <v>183</v>
      </c>
      <c r="H100" s="149">
        <v>152</v>
      </c>
      <c r="I100" s="150">
        <v>132</v>
      </c>
      <c r="J100" s="151" t="e">
        <f t="shared" ca="1" si="15"/>
        <v>#NAME?</v>
      </c>
      <c r="K100" s="152" t="e">
        <f t="shared" ca="1" si="16"/>
        <v>#NAME?</v>
      </c>
      <c r="L100" s="153" t="e">
        <f t="shared" ca="1" si="17"/>
        <v>#NAME?</v>
      </c>
    </row>
    <row r="101" spans="1:12" ht="14.25">
      <c r="A101" s="432" t="s">
        <v>343</v>
      </c>
      <c r="B101" s="433"/>
      <c r="C101" s="433"/>
      <c r="D101" s="433"/>
      <c r="E101" s="433"/>
      <c r="F101" s="148">
        <v>-11</v>
      </c>
      <c r="G101" s="149">
        <v>-9</v>
      </c>
      <c r="H101" s="149">
        <v>-7.6</v>
      </c>
      <c r="I101" s="150">
        <v>-6.5</v>
      </c>
      <c r="J101" s="151" t="e">
        <f t="shared" ca="1" si="15"/>
        <v>#NAME?</v>
      </c>
      <c r="K101" s="152" t="e">
        <f t="shared" ca="1" si="16"/>
        <v>#NAME?</v>
      </c>
      <c r="L101" s="153" t="e">
        <f t="shared" ca="1" si="17"/>
        <v>#NAME?</v>
      </c>
    </row>
    <row r="102" spans="1:12" ht="14.25">
      <c r="A102" s="432" t="s">
        <v>344</v>
      </c>
      <c r="B102" s="433"/>
      <c r="C102" s="433"/>
      <c r="D102" s="433"/>
      <c r="E102" s="433"/>
      <c r="F102" s="148">
        <v>0.82</v>
      </c>
      <c r="G102" s="149">
        <v>0.49</v>
      </c>
      <c r="H102" s="149">
        <v>0.18</v>
      </c>
      <c r="I102" s="150">
        <v>0.03</v>
      </c>
      <c r="J102" s="154" t="e">
        <f t="shared" ca="1" si="15"/>
        <v>#NAME?</v>
      </c>
      <c r="K102" s="155" t="e">
        <f t="shared" ca="1" si="16"/>
        <v>#NAME?</v>
      </c>
      <c r="L102" s="156" t="e">
        <f t="shared" ca="1" si="17"/>
        <v>#NAME?</v>
      </c>
    </row>
    <row r="103" spans="1:12" ht="15" thickBot="1">
      <c r="A103" s="445" t="s">
        <v>345</v>
      </c>
      <c r="B103" s="446"/>
      <c r="C103" s="446"/>
      <c r="D103" s="446"/>
      <c r="E103" s="446"/>
      <c r="F103" s="157">
        <v>43</v>
      </c>
      <c r="G103" s="158">
        <v>29</v>
      </c>
      <c r="H103" s="158">
        <v>24</v>
      </c>
      <c r="I103" s="159">
        <v>22</v>
      </c>
      <c r="J103" s="160" t="e">
        <f t="shared" ca="1" si="15"/>
        <v>#NAME?</v>
      </c>
      <c r="K103" s="161" t="e">
        <f t="shared" ca="1" si="16"/>
        <v>#NAME?</v>
      </c>
      <c r="L103" s="162" t="e">
        <f t="shared" ca="1" si="17"/>
        <v>#NAME?</v>
      </c>
    </row>
    <row r="105" spans="1:12" ht="15.75" thickBot="1">
      <c r="A105" s="164" t="s">
        <v>351</v>
      </c>
      <c r="E105" s="70"/>
    </row>
    <row r="106" spans="1:12" ht="14.25">
      <c r="A106" s="276" t="s">
        <v>313</v>
      </c>
      <c r="B106" s="277"/>
      <c r="C106" s="277"/>
      <c r="D106" s="277"/>
      <c r="E106" s="278"/>
      <c r="F106" s="131" t="s">
        <v>314</v>
      </c>
      <c r="G106" s="132" t="s">
        <v>315</v>
      </c>
      <c r="H106" s="132" t="s">
        <v>316</v>
      </c>
      <c r="I106" s="133" t="s">
        <v>317</v>
      </c>
      <c r="J106" s="134" t="s">
        <v>318</v>
      </c>
      <c r="K106" s="132" t="s">
        <v>319</v>
      </c>
      <c r="L106" s="135" t="s">
        <v>320</v>
      </c>
    </row>
    <row r="107" spans="1:12" ht="14.25">
      <c r="A107" s="428" t="s">
        <v>336</v>
      </c>
      <c r="B107" s="429"/>
      <c r="C107" s="429"/>
      <c r="D107" s="429"/>
      <c r="E107" s="429"/>
      <c r="F107" s="142">
        <v>37</v>
      </c>
      <c r="G107" s="143">
        <v>38</v>
      </c>
      <c r="H107" s="143">
        <v>36</v>
      </c>
      <c r="I107" s="144">
        <v>35</v>
      </c>
      <c r="J107" s="145" t="e">
        <f t="shared" ref="J107:J116" ca="1" si="18">(1.5*K107-0.5*L107)</f>
        <v>#NAME?</v>
      </c>
      <c r="K107" s="146" t="e">
        <f t="shared" ref="K107:K116" ca="1" si="19">lagrange($K$28,$F$28,$G$28,$H$28,$I$28,F107,G107,H107,I107)</f>
        <v>#NAME?</v>
      </c>
      <c r="L107" s="147" t="e">
        <f t="shared" ref="L107:L116" ca="1" si="20">lagrange($L$28,$F$28,$G$28,$H$28,$I$28,F107,G107,H107,I107)</f>
        <v>#NAME?</v>
      </c>
    </row>
    <row r="108" spans="1:12" ht="14.25">
      <c r="A108" s="432" t="s">
        <v>337</v>
      </c>
      <c r="B108" s="433"/>
      <c r="C108" s="433"/>
      <c r="D108" s="433"/>
      <c r="E108" s="433"/>
      <c r="F108" s="148">
        <v>-39</v>
      </c>
      <c r="G108" s="149">
        <v>-40</v>
      </c>
      <c r="H108" s="149">
        <v>-38</v>
      </c>
      <c r="I108" s="150">
        <v>-36</v>
      </c>
      <c r="J108" s="151" t="e">
        <f t="shared" ca="1" si="18"/>
        <v>#NAME?</v>
      </c>
      <c r="K108" s="152" t="e">
        <f t="shared" ca="1" si="19"/>
        <v>#NAME?</v>
      </c>
      <c r="L108" s="153" t="e">
        <f t="shared" ca="1" si="20"/>
        <v>#NAME?</v>
      </c>
    </row>
    <row r="109" spans="1:12" ht="14.25">
      <c r="A109" s="432" t="s">
        <v>338</v>
      </c>
      <c r="B109" s="433"/>
      <c r="C109" s="433"/>
      <c r="D109" s="433"/>
      <c r="E109" s="433"/>
      <c r="F109" s="148">
        <v>29</v>
      </c>
      <c r="G109" s="149">
        <v>27</v>
      </c>
      <c r="H109" s="149">
        <v>26</v>
      </c>
      <c r="I109" s="150">
        <v>24</v>
      </c>
      <c r="J109" s="151" t="e">
        <f t="shared" ca="1" si="18"/>
        <v>#NAME?</v>
      </c>
      <c r="K109" s="152" t="e">
        <f t="shared" ca="1" si="19"/>
        <v>#NAME?</v>
      </c>
      <c r="L109" s="153" t="e">
        <f t="shared" ca="1" si="20"/>
        <v>#NAME?</v>
      </c>
    </row>
    <row r="110" spans="1:12" ht="14.25">
      <c r="A110" s="432" t="s">
        <v>339</v>
      </c>
      <c r="B110" s="433"/>
      <c r="C110" s="433"/>
      <c r="D110" s="433"/>
      <c r="E110" s="433"/>
      <c r="F110" s="148">
        <v>20</v>
      </c>
      <c r="G110" s="149">
        <v>19</v>
      </c>
      <c r="H110" s="149">
        <v>18</v>
      </c>
      <c r="I110" s="150">
        <v>17</v>
      </c>
      <c r="J110" s="151" t="e">
        <f t="shared" ca="1" si="18"/>
        <v>#NAME?</v>
      </c>
      <c r="K110" s="152" t="e">
        <f t="shared" ca="1" si="19"/>
        <v>#NAME?</v>
      </c>
      <c r="L110" s="153" t="e">
        <f t="shared" ca="1" si="20"/>
        <v>#NAME?</v>
      </c>
    </row>
    <row r="111" spans="1:12" ht="14.25">
      <c r="A111" s="432" t="s">
        <v>340</v>
      </c>
      <c r="B111" s="433"/>
      <c r="C111" s="433"/>
      <c r="D111" s="433"/>
      <c r="E111" s="433"/>
      <c r="F111" s="148">
        <v>-115</v>
      </c>
      <c r="G111" s="149">
        <v>-89</v>
      </c>
      <c r="H111" s="149">
        <v>-74</v>
      </c>
      <c r="I111" s="150">
        <v>-65</v>
      </c>
      <c r="J111" s="151" t="e">
        <f t="shared" ca="1" si="18"/>
        <v>#NAME?</v>
      </c>
      <c r="K111" s="152" t="e">
        <f t="shared" ca="1" si="19"/>
        <v>#NAME?</v>
      </c>
      <c r="L111" s="153" t="e">
        <f t="shared" ca="1" si="20"/>
        <v>#NAME?</v>
      </c>
    </row>
    <row r="112" spans="1:12" ht="14.25">
      <c r="A112" s="432" t="s">
        <v>341</v>
      </c>
      <c r="B112" s="433"/>
      <c r="C112" s="433"/>
      <c r="D112" s="433"/>
      <c r="E112" s="433"/>
      <c r="F112" s="148">
        <v>31</v>
      </c>
      <c r="G112" s="149">
        <v>26</v>
      </c>
      <c r="H112" s="149">
        <v>22</v>
      </c>
      <c r="I112" s="150">
        <v>19</v>
      </c>
      <c r="J112" s="151" t="e">
        <f t="shared" ca="1" si="18"/>
        <v>#NAME?</v>
      </c>
      <c r="K112" s="152" t="e">
        <f t="shared" ca="1" si="19"/>
        <v>#NAME?</v>
      </c>
      <c r="L112" s="153" t="e">
        <f t="shared" ca="1" si="20"/>
        <v>#NAME?</v>
      </c>
    </row>
    <row r="113" spans="1:12" ht="14.25">
      <c r="A113" s="432" t="s">
        <v>342</v>
      </c>
      <c r="B113" s="433"/>
      <c r="C113" s="433"/>
      <c r="D113" s="433"/>
      <c r="E113" s="433"/>
      <c r="F113" s="148">
        <v>228</v>
      </c>
      <c r="G113" s="149">
        <v>183</v>
      </c>
      <c r="H113" s="149">
        <v>152</v>
      </c>
      <c r="I113" s="150">
        <v>132</v>
      </c>
      <c r="J113" s="151" t="e">
        <f t="shared" ca="1" si="18"/>
        <v>#NAME?</v>
      </c>
      <c r="K113" s="152" t="e">
        <f t="shared" ca="1" si="19"/>
        <v>#NAME?</v>
      </c>
      <c r="L113" s="153" t="e">
        <f t="shared" ca="1" si="20"/>
        <v>#NAME?</v>
      </c>
    </row>
    <row r="114" spans="1:12" ht="14.25">
      <c r="A114" s="432" t="s">
        <v>343</v>
      </c>
      <c r="B114" s="433"/>
      <c r="C114" s="433"/>
      <c r="D114" s="433"/>
      <c r="E114" s="433"/>
      <c r="F114" s="148">
        <v>-11</v>
      </c>
      <c r="G114" s="149">
        <v>-9</v>
      </c>
      <c r="H114" s="149">
        <v>-7.6</v>
      </c>
      <c r="I114" s="150">
        <v>-6.5</v>
      </c>
      <c r="J114" s="151" t="e">
        <f t="shared" ca="1" si="18"/>
        <v>#NAME?</v>
      </c>
      <c r="K114" s="152" t="e">
        <f t="shared" ca="1" si="19"/>
        <v>#NAME?</v>
      </c>
      <c r="L114" s="153" t="e">
        <f t="shared" ca="1" si="20"/>
        <v>#NAME?</v>
      </c>
    </row>
    <row r="115" spans="1:12" ht="14.25">
      <c r="A115" s="432" t="s">
        <v>344</v>
      </c>
      <c r="B115" s="433"/>
      <c r="C115" s="433"/>
      <c r="D115" s="433"/>
      <c r="E115" s="433"/>
      <c r="F115" s="148">
        <v>0.82</v>
      </c>
      <c r="G115" s="149">
        <v>0.49</v>
      </c>
      <c r="H115" s="149">
        <v>0.18</v>
      </c>
      <c r="I115" s="150">
        <v>0.03</v>
      </c>
      <c r="J115" s="154" t="e">
        <f t="shared" ca="1" si="18"/>
        <v>#NAME?</v>
      </c>
      <c r="K115" s="155" t="e">
        <f t="shared" ca="1" si="19"/>
        <v>#NAME?</v>
      </c>
      <c r="L115" s="156" t="e">
        <f t="shared" ca="1" si="20"/>
        <v>#NAME?</v>
      </c>
    </row>
    <row r="116" spans="1:12" ht="15" thickBot="1">
      <c r="A116" s="445" t="s">
        <v>345</v>
      </c>
      <c r="B116" s="446"/>
      <c r="C116" s="446"/>
      <c r="D116" s="446"/>
      <c r="E116" s="446"/>
      <c r="F116" s="157">
        <v>43</v>
      </c>
      <c r="G116" s="158">
        <v>29</v>
      </c>
      <c r="H116" s="158">
        <v>24</v>
      </c>
      <c r="I116" s="159">
        <v>22</v>
      </c>
      <c r="J116" s="160" t="e">
        <f t="shared" ca="1" si="18"/>
        <v>#NAME?</v>
      </c>
      <c r="K116" s="161" t="e">
        <f t="shared" ca="1" si="19"/>
        <v>#NAME?</v>
      </c>
      <c r="L116" s="162" t="e">
        <f t="shared" ca="1" si="20"/>
        <v>#NAME?</v>
      </c>
    </row>
    <row r="117" spans="1:12" ht="14.25">
      <c r="A117" s="119"/>
      <c r="B117" s="119"/>
      <c r="C117" s="119"/>
      <c r="D117" s="119"/>
      <c r="E117" s="119"/>
      <c r="F117" s="130"/>
      <c r="G117" s="130"/>
      <c r="H117" s="130"/>
      <c r="I117" s="130"/>
      <c r="J117" s="163"/>
      <c r="K117" s="163"/>
      <c r="L117" s="163"/>
    </row>
    <row r="118" spans="1:12" ht="15.75" thickBot="1">
      <c r="A118" s="164" t="s">
        <v>352</v>
      </c>
      <c r="B118" s="119"/>
      <c r="C118" s="119"/>
      <c r="D118" s="119"/>
      <c r="E118" s="119"/>
      <c r="F118" s="130"/>
      <c r="G118" s="130"/>
      <c r="H118" s="130"/>
      <c r="I118" s="130"/>
      <c r="J118" s="163"/>
      <c r="K118" s="163"/>
      <c r="L118" s="163"/>
    </row>
    <row r="119" spans="1:12" ht="14.25">
      <c r="A119" s="276" t="s">
        <v>313</v>
      </c>
      <c r="B119" s="277"/>
      <c r="C119" s="277"/>
      <c r="D119" s="277"/>
      <c r="E119" s="278"/>
      <c r="F119" s="131" t="s">
        <v>314</v>
      </c>
      <c r="G119" s="132" t="s">
        <v>315</v>
      </c>
      <c r="H119" s="132" t="s">
        <v>316</v>
      </c>
      <c r="I119" s="133" t="s">
        <v>317</v>
      </c>
      <c r="J119" s="134" t="s">
        <v>318</v>
      </c>
      <c r="K119" s="132" t="s">
        <v>319</v>
      </c>
      <c r="L119" s="135" t="s">
        <v>320</v>
      </c>
    </row>
    <row r="120" spans="1:12" ht="14.25">
      <c r="A120" s="428" t="s">
        <v>336</v>
      </c>
      <c r="B120" s="429"/>
      <c r="C120" s="429"/>
      <c r="D120" s="429"/>
      <c r="E120" s="429"/>
      <c r="F120" s="142">
        <v>37</v>
      </c>
      <c r="G120" s="143">
        <v>38</v>
      </c>
      <c r="H120" s="143">
        <v>36</v>
      </c>
      <c r="I120" s="144">
        <v>35</v>
      </c>
      <c r="J120" s="145" t="e">
        <f t="shared" ref="J120:J129" ca="1" si="21">(1.5*K120-0.5*L120)</f>
        <v>#NAME?</v>
      </c>
      <c r="K120" s="146" t="e">
        <f t="shared" ref="K120:K129" ca="1" si="22">lagrange($K$28,$F$28,$G$28,$H$28,$I$28,F120,G120,H120,I120)</f>
        <v>#NAME?</v>
      </c>
      <c r="L120" s="147" t="e">
        <f t="shared" ref="L120:L129" ca="1" si="23">lagrange($L$28,$F$28,$G$28,$H$28,$I$28,F120,G120,H120,I120)</f>
        <v>#NAME?</v>
      </c>
    </row>
    <row r="121" spans="1:12" ht="14.25">
      <c r="A121" s="432" t="s">
        <v>337</v>
      </c>
      <c r="B121" s="433"/>
      <c r="C121" s="433"/>
      <c r="D121" s="433"/>
      <c r="E121" s="433"/>
      <c r="F121" s="148">
        <v>-39</v>
      </c>
      <c r="G121" s="149">
        <v>-40</v>
      </c>
      <c r="H121" s="149">
        <v>-38</v>
      </c>
      <c r="I121" s="150">
        <v>-36</v>
      </c>
      <c r="J121" s="151" t="e">
        <f t="shared" ca="1" si="21"/>
        <v>#NAME?</v>
      </c>
      <c r="K121" s="152" t="e">
        <f t="shared" ca="1" si="22"/>
        <v>#NAME?</v>
      </c>
      <c r="L121" s="153" t="e">
        <f t="shared" ca="1" si="23"/>
        <v>#NAME?</v>
      </c>
    </row>
    <row r="122" spans="1:12" ht="14.25">
      <c r="A122" s="432" t="s">
        <v>338</v>
      </c>
      <c r="B122" s="433"/>
      <c r="C122" s="433"/>
      <c r="D122" s="433"/>
      <c r="E122" s="433"/>
      <c r="F122" s="148">
        <v>29</v>
      </c>
      <c r="G122" s="149">
        <v>27</v>
      </c>
      <c r="H122" s="149">
        <v>26</v>
      </c>
      <c r="I122" s="150">
        <v>24</v>
      </c>
      <c r="J122" s="151" t="e">
        <f t="shared" ca="1" si="21"/>
        <v>#NAME?</v>
      </c>
      <c r="K122" s="152" t="e">
        <f t="shared" ca="1" si="22"/>
        <v>#NAME?</v>
      </c>
      <c r="L122" s="153" t="e">
        <f t="shared" ca="1" si="23"/>
        <v>#NAME?</v>
      </c>
    </row>
    <row r="123" spans="1:12" ht="14.25">
      <c r="A123" s="432" t="s">
        <v>339</v>
      </c>
      <c r="B123" s="433"/>
      <c r="C123" s="433"/>
      <c r="D123" s="433"/>
      <c r="E123" s="433"/>
      <c r="F123" s="148">
        <v>20</v>
      </c>
      <c r="G123" s="149">
        <v>19</v>
      </c>
      <c r="H123" s="149">
        <v>18</v>
      </c>
      <c r="I123" s="150">
        <v>17</v>
      </c>
      <c r="J123" s="151" t="e">
        <f t="shared" ca="1" si="21"/>
        <v>#NAME?</v>
      </c>
      <c r="K123" s="152" t="e">
        <f t="shared" ca="1" si="22"/>
        <v>#NAME?</v>
      </c>
      <c r="L123" s="153" t="e">
        <f t="shared" ca="1" si="23"/>
        <v>#NAME?</v>
      </c>
    </row>
    <row r="124" spans="1:12" ht="14.25">
      <c r="A124" s="432" t="s">
        <v>340</v>
      </c>
      <c r="B124" s="433"/>
      <c r="C124" s="433"/>
      <c r="D124" s="433"/>
      <c r="E124" s="433"/>
      <c r="F124" s="148">
        <v>-115</v>
      </c>
      <c r="G124" s="149">
        <v>-89</v>
      </c>
      <c r="H124" s="149">
        <v>-74</v>
      </c>
      <c r="I124" s="150">
        <v>-65</v>
      </c>
      <c r="J124" s="151" t="e">
        <f t="shared" ca="1" si="21"/>
        <v>#NAME?</v>
      </c>
      <c r="K124" s="152" t="e">
        <f t="shared" ca="1" si="22"/>
        <v>#NAME?</v>
      </c>
      <c r="L124" s="153" t="e">
        <f t="shared" ca="1" si="23"/>
        <v>#NAME?</v>
      </c>
    </row>
    <row r="125" spans="1:12" ht="14.25">
      <c r="A125" s="432" t="s">
        <v>341</v>
      </c>
      <c r="B125" s="433"/>
      <c r="C125" s="433"/>
      <c r="D125" s="433"/>
      <c r="E125" s="433"/>
      <c r="F125" s="148">
        <v>31</v>
      </c>
      <c r="G125" s="149">
        <v>26</v>
      </c>
      <c r="H125" s="149">
        <v>22</v>
      </c>
      <c r="I125" s="150">
        <v>19</v>
      </c>
      <c r="J125" s="151" t="e">
        <f t="shared" ca="1" si="21"/>
        <v>#NAME?</v>
      </c>
      <c r="K125" s="152" t="e">
        <f t="shared" ca="1" si="22"/>
        <v>#NAME?</v>
      </c>
      <c r="L125" s="153" t="e">
        <f t="shared" ca="1" si="23"/>
        <v>#NAME?</v>
      </c>
    </row>
    <row r="126" spans="1:12" ht="14.25">
      <c r="A126" s="432" t="s">
        <v>342</v>
      </c>
      <c r="B126" s="433"/>
      <c r="C126" s="433"/>
      <c r="D126" s="433"/>
      <c r="E126" s="433"/>
      <c r="F126" s="148">
        <v>228</v>
      </c>
      <c r="G126" s="149">
        <v>183</v>
      </c>
      <c r="H126" s="149">
        <v>152</v>
      </c>
      <c r="I126" s="150">
        <v>132</v>
      </c>
      <c r="J126" s="151" t="e">
        <f t="shared" ca="1" si="21"/>
        <v>#NAME?</v>
      </c>
      <c r="K126" s="152" t="e">
        <f t="shared" ca="1" si="22"/>
        <v>#NAME?</v>
      </c>
      <c r="L126" s="153" t="e">
        <f t="shared" ca="1" si="23"/>
        <v>#NAME?</v>
      </c>
    </row>
    <row r="127" spans="1:12" ht="14.25">
      <c r="A127" s="432" t="s">
        <v>343</v>
      </c>
      <c r="B127" s="433"/>
      <c r="C127" s="433"/>
      <c r="D127" s="433"/>
      <c r="E127" s="433"/>
      <c r="F127" s="148">
        <v>-11</v>
      </c>
      <c r="G127" s="149">
        <v>-9</v>
      </c>
      <c r="H127" s="149">
        <v>-7.6</v>
      </c>
      <c r="I127" s="150">
        <v>-6.5</v>
      </c>
      <c r="J127" s="151" t="e">
        <f t="shared" ca="1" si="21"/>
        <v>#NAME?</v>
      </c>
      <c r="K127" s="152" t="e">
        <f t="shared" ca="1" si="22"/>
        <v>#NAME?</v>
      </c>
      <c r="L127" s="153" t="e">
        <f t="shared" ca="1" si="23"/>
        <v>#NAME?</v>
      </c>
    </row>
    <row r="128" spans="1:12" ht="14.25">
      <c r="A128" s="432" t="s">
        <v>344</v>
      </c>
      <c r="B128" s="433"/>
      <c r="C128" s="433"/>
      <c r="D128" s="433"/>
      <c r="E128" s="433"/>
      <c r="F128" s="148">
        <v>0.82</v>
      </c>
      <c r="G128" s="149">
        <v>0.49</v>
      </c>
      <c r="H128" s="149">
        <v>0.18</v>
      </c>
      <c r="I128" s="150">
        <v>0.03</v>
      </c>
      <c r="J128" s="154" t="e">
        <f t="shared" ca="1" si="21"/>
        <v>#NAME?</v>
      </c>
      <c r="K128" s="155" t="e">
        <f t="shared" ca="1" si="22"/>
        <v>#NAME?</v>
      </c>
      <c r="L128" s="156" t="e">
        <f t="shared" ca="1" si="23"/>
        <v>#NAME?</v>
      </c>
    </row>
    <row r="129" spans="1:12" ht="15" thickBot="1">
      <c r="A129" s="445" t="s">
        <v>345</v>
      </c>
      <c r="B129" s="446"/>
      <c r="C129" s="446"/>
      <c r="D129" s="446"/>
      <c r="E129" s="446"/>
      <c r="F129" s="157">
        <v>43</v>
      </c>
      <c r="G129" s="158">
        <v>29</v>
      </c>
      <c r="H129" s="158">
        <v>24</v>
      </c>
      <c r="I129" s="159">
        <v>22</v>
      </c>
      <c r="J129" s="160" t="e">
        <f t="shared" ca="1" si="21"/>
        <v>#NAME?</v>
      </c>
      <c r="K129" s="161" t="e">
        <f t="shared" ca="1" si="22"/>
        <v>#NAME?</v>
      </c>
      <c r="L129" s="162" t="e">
        <f t="shared" ca="1" si="23"/>
        <v>#NAME?</v>
      </c>
    </row>
    <row r="131" spans="1:12" ht="15.75" thickBot="1">
      <c r="A131" s="164" t="s">
        <v>353</v>
      </c>
      <c r="B131" s="119"/>
      <c r="C131" s="119"/>
      <c r="D131" s="119"/>
      <c r="E131" s="119"/>
      <c r="F131" s="130"/>
      <c r="G131" s="130"/>
      <c r="H131" s="130"/>
      <c r="I131" s="130"/>
      <c r="J131" s="163"/>
      <c r="K131" s="163"/>
      <c r="L131" s="163"/>
    </row>
    <row r="132" spans="1:12" ht="14.25">
      <c r="A132" s="276" t="s">
        <v>313</v>
      </c>
      <c r="B132" s="277"/>
      <c r="C132" s="277"/>
      <c r="D132" s="277"/>
      <c r="E132" s="278"/>
      <c r="F132" s="131" t="s">
        <v>314</v>
      </c>
      <c r="G132" s="132" t="s">
        <v>315</v>
      </c>
      <c r="H132" s="132" t="s">
        <v>316</v>
      </c>
      <c r="I132" s="133" t="s">
        <v>317</v>
      </c>
      <c r="J132" s="134" t="s">
        <v>318</v>
      </c>
      <c r="K132" s="132" t="s">
        <v>319</v>
      </c>
      <c r="L132" s="135" t="s">
        <v>320</v>
      </c>
    </row>
    <row r="133" spans="1:12" ht="14.25">
      <c r="A133" s="428" t="s">
        <v>336</v>
      </c>
      <c r="B133" s="429"/>
      <c r="C133" s="429"/>
      <c r="D133" s="429"/>
      <c r="E133" s="429"/>
      <c r="F133" s="142">
        <v>37</v>
      </c>
      <c r="G133" s="143">
        <v>38</v>
      </c>
      <c r="H133" s="143">
        <v>36</v>
      </c>
      <c r="I133" s="144">
        <v>35</v>
      </c>
      <c r="J133" s="145" t="e">
        <f t="shared" ref="J133:J142" ca="1" si="24">(1.5*K133-0.5*L133)</f>
        <v>#NAME?</v>
      </c>
      <c r="K133" s="146" t="e">
        <f t="shared" ref="K133:K142" ca="1" si="25">lagrange($K$28,$F$28,$G$28,$H$28,$I$28,F133,G133,H133,I133)</f>
        <v>#NAME?</v>
      </c>
      <c r="L133" s="147" t="e">
        <f t="shared" ref="L133:L142" ca="1" si="26">lagrange($L$28,$F$28,$G$28,$H$28,$I$28,F133,G133,H133,I133)</f>
        <v>#NAME?</v>
      </c>
    </row>
    <row r="134" spans="1:12" ht="14.25">
      <c r="A134" s="432" t="s">
        <v>337</v>
      </c>
      <c r="B134" s="433"/>
      <c r="C134" s="433"/>
      <c r="D134" s="433"/>
      <c r="E134" s="433"/>
      <c r="F134" s="148">
        <v>-39</v>
      </c>
      <c r="G134" s="149">
        <v>-40</v>
      </c>
      <c r="H134" s="149">
        <v>-38</v>
      </c>
      <c r="I134" s="150">
        <v>-36</v>
      </c>
      <c r="J134" s="151" t="e">
        <f t="shared" ca="1" si="24"/>
        <v>#NAME?</v>
      </c>
      <c r="K134" s="152" t="e">
        <f t="shared" ca="1" si="25"/>
        <v>#NAME?</v>
      </c>
      <c r="L134" s="153" t="e">
        <f t="shared" ca="1" si="26"/>
        <v>#NAME?</v>
      </c>
    </row>
    <row r="135" spans="1:12" ht="14.25">
      <c r="A135" s="432" t="s">
        <v>338</v>
      </c>
      <c r="B135" s="433"/>
      <c r="C135" s="433"/>
      <c r="D135" s="433"/>
      <c r="E135" s="433"/>
      <c r="F135" s="148">
        <v>29</v>
      </c>
      <c r="G135" s="149">
        <v>27</v>
      </c>
      <c r="H135" s="149">
        <v>26</v>
      </c>
      <c r="I135" s="150">
        <v>24</v>
      </c>
      <c r="J135" s="151" t="e">
        <f t="shared" ca="1" si="24"/>
        <v>#NAME?</v>
      </c>
      <c r="K135" s="152" t="e">
        <f t="shared" ca="1" si="25"/>
        <v>#NAME?</v>
      </c>
      <c r="L135" s="153" t="e">
        <f t="shared" ca="1" si="26"/>
        <v>#NAME?</v>
      </c>
    </row>
    <row r="136" spans="1:12" ht="14.25">
      <c r="A136" s="432" t="s">
        <v>339</v>
      </c>
      <c r="B136" s="433"/>
      <c r="C136" s="433"/>
      <c r="D136" s="433"/>
      <c r="E136" s="433"/>
      <c r="F136" s="148">
        <v>20</v>
      </c>
      <c r="G136" s="149">
        <v>19</v>
      </c>
      <c r="H136" s="149">
        <v>18</v>
      </c>
      <c r="I136" s="150">
        <v>17</v>
      </c>
      <c r="J136" s="151" t="e">
        <f t="shared" ca="1" si="24"/>
        <v>#NAME?</v>
      </c>
      <c r="K136" s="152" t="e">
        <f t="shared" ca="1" si="25"/>
        <v>#NAME?</v>
      </c>
      <c r="L136" s="153" t="e">
        <f t="shared" ca="1" si="26"/>
        <v>#NAME?</v>
      </c>
    </row>
    <row r="137" spans="1:12" ht="14.25">
      <c r="A137" s="432" t="s">
        <v>340</v>
      </c>
      <c r="B137" s="433"/>
      <c r="C137" s="433"/>
      <c r="D137" s="433"/>
      <c r="E137" s="433"/>
      <c r="F137" s="148">
        <v>-115</v>
      </c>
      <c r="G137" s="149">
        <v>-89</v>
      </c>
      <c r="H137" s="149">
        <v>-74</v>
      </c>
      <c r="I137" s="150">
        <v>-65</v>
      </c>
      <c r="J137" s="151" t="e">
        <f t="shared" ca="1" si="24"/>
        <v>#NAME?</v>
      </c>
      <c r="K137" s="152" t="e">
        <f t="shared" ca="1" si="25"/>
        <v>#NAME?</v>
      </c>
      <c r="L137" s="153" t="e">
        <f t="shared" ca="1" si="26"/>
        <v>#NAME?</v>
      </c>
    </row>
    <row r="138" spans="1:12" ht="14.25">
      <c r="A138" s="432" t="s">
        <v>341</v>
      </c>
      <c r="B138" s="433"/>
      <c r="C138" s="433"/>
      <c r="D138" s="433"/>
      <c r="E138" s="433"/>
      <c r="F138" s="148">
        <v>31</v>
      </c>
      <c r="G138" s="149">
        <v>26</v>
      </c>
      <c r="H138" s="149">
        <v>22</v>
      </c>
      <c r="I138" s="150">
        <v>19</v>
      </c>
      <c r="J138" s="151" t="e">
        <f t="shared" ca="1" si="24"/>
        <v>#NAME?</v>
      </c>
      <c r="K138" s="152" t="e">
        <f t="shared" ca="1" si="25"/>
        <v>#NAME?</v>
      </c>
      <c r="L138" s="153" t="e">
        <f t="shared" ca="1" si="26"/>
        <v>#NAME?</v>
      </c>
    </row>
    <row r="139" spans="1:12" ht="14.25">
      <c r="A139" s="432" t="s">
        <v>342</v>
      </c>
      <c r="B139" s="433"/>
      <c r="C139" s="433"/>
      <c r="D139" s="433"/>
      <c r="E139" s="433"/>
      <c r="F139" s="148">
        <v>228</v>
      </c>
      <c r="G139" s="149">
        <v>183</v>
      </c>
      <c r="H139" s="149">
        <v>152</v>
      </c>
      <c r="I139" s="150">
        <v>132</v>
      </c>
      <c r="J139" s="151" t="e">
        <f t="shared" ca="1" si="24"/>
        <v>#NAME?</v>
      </c>
      <c r="K139" s="152" t="e">
        <f t="shared" ca="1" si="25"/>
        <v>#NAME?</v>
      </c>
      <c r="L139" s="153" t="e">
        <f t="shared" ca="1" si="26"/>
        <v>#NAME?</v>
      </c>
    </row>
    <row r="140" spans="1:12" ht="14.25">
      <c r="A140" s="432" t="s">
        <v>343</v>
      </c>
      <c r="B140" s="433"/>
      <c r="C140" s="433"/>
      <c r="D140" s="433"/>
      <c r="E140" s="433"/>
      <c r="F140" s="148">
        <v>-11</v>
      </c>
      <c r="G140" s="149">
        <v>-9</v>
      </c>
      <c r="H140" s="149">
        <v>-7.6</v>
      </c>
      <c r="I140" s="150">
        <v>-6.5</v>
      </c>
      <c r="J140" s="151" t="e">
        <f t="shared" ca="1" si="24"/>
        <v>#NAME?</v>
      </c>
      <c r="K140" s="152" t="e">
        <f t="shared" ca="1" si="25"/>
        <v>#NAME?</v>
      </c>
      <c r="L140" s="153" t="e">
        <f t="shared" ca="1" si="26"/>
        <v>#NAME?</v>
      </c>
    </row>
    <row r="141" spans="1:12" ht="14.25">
      <c r="A141" s="432" t="s">
        <v>344</v>
      </c>
      <c r="B141" s="433"/>
      <c r="C141" s="433"/>
      <c r="D141" s="433"/>
      <c r="E141" s="433"/>
      <c r="F141" s="148">
        <v>0.82</v>
      </c>
      <c r="G141" s="149">
        <v>0.49</v>
      </c>
      <c r="H141" s="149">
        <v>0.18</v>
      </c>
      <c r="I141" s="150">
        <v>0.03</v>
      </c>
      <c r="J141" s="154" t="e">
        <f t="shared" ca="1" si="24"/>
        <v>#NAME?</v>
      </c>
      <c r="K141" s="155" t="e">
        <f t="shared" ca="1" si="25"/>
        <v>#NAME?</v>
      </c>
      <c r="L141" s="156" t="e">
        <f t="shared" ca="1" si="26"/>
        <v>#NAME?</v>
      </c>
    </row>
    <row r="142" spans="1:12" ht="15" thickBot="1">
      <c r="A142" s="445" t="s">
        <v>345</v>
      </c>
      <c r="B142" s="446"/>
      <c r="C142" s="446"/>
      <c r="D142" s="446"/>
      <c r="E142" s="446"/>
      <c r="F142" s="157">
        <v>43</v>
      </c>
      <c r="G142" s="158">
        <v>29</v>
      </c>
      <c r="H142" s="158">
        <v>24</v>
      </c>
      <c r="I142" s="159">
        <v>22</v>
      </c>
      <c r="J142" s="160" t="e">
        <f t="shared" ca="1" si="24"/>
        <v>#NAME?</v>
      </c>
      <c r="K142" s="161" t="e">
        <f t="shared" ca="1" si="25"/>
        <v>#NAME?</v>
      </c>
      <c r="L142" s="162" t="e">
        <f t="shared" ca="1" si="26"/>
        <v>#NAME?</v>
      </c>
    </row>
    <row r="144" spans="1:12" ht="15.75" thickBot="1">
      <c r="A144" s="164" t="s">
        <v>354</v>
      </c>
      <c r="B144" s="119"/>
      <c r="C144" s="119"/>
      <c r="D144" s="119"/>
      <c r="E144" s="119"/>
      <c r="F144" s="130"/>
      <c r="G144" s="130"/>
      <c r="H144" s="130"/>
      <c r="I144" s="130"/>
      <c r="J144" s="163"/>
      <c r="K144" s="163"/>
      <c r="L144" s="163"/>
    </row>
    <row r="145" spans="1:12" ht="14.25">
      <c r="A145" s="276" t="s">
        <v>313</v>
      </c>
      <c r="B145" s="277"/>
      <c r="C145" s="277"/>
      <c r="D145" s="277"/>
      <c r="E145" s="278"/>
      <c r="F145" s="131" t="s">
        <v>314</v>
      </c>
      <c r="G145" s="132" t="s">
        <v>315</v>
      </c>
      <c r="H145" s="132" t="s">
        <v>316</v>
      </c>
      <c r="I145" s="133" t="s">
        <v>317</v>
      </c>
      <c r="J145" s="134" t="s">
        <v>318</v>
      </c>
      <c r="K145" s="132" t="s">
        <v>319</v>
      </c>
      <c r="L145" s="135" t="s">
        <v>320</v>
      </c>
    </row>
    <row r="146" spans="1:12" ht="14.25">
      <c r="A146" s="428" t="s">
        <v>336</v>
      </c>
      <c r="B146" s="429"/>
      <c r="C146" s="429"/>
      <c r="D146" s="429"/>
      <c r="E146" s="429"/>
      <c r="F146" s="142">
        <v>37</v>
      </c>
      <c r="G146" s="143">
        <v>38</v>
      </c>
      <c r="H146" s="143">
        <v>36</v>
      </c>
      <c r="I146" s="144">
        <v>35</v>
      </c>
      <c r="J146" s="145" t="e">
        <f t="shared" ref="J146:J155" ca="1" si="27">(1.5*K146-0.5*L146)</f>
        <v>#NAME?</v>
      </c>
      <c r="K146" s="146" t="e">
        <f t="shared" ref="K146:K155" ca="1" si="28">lagrange($K$28,$F$28,$G$28,$H$28,$I$28,F146,G146,H146,I146)</f>
        <v>#NAME?</v>
      </c>
      <c r="L146" s="147" t="e">
        <f t="shared" ref="L146:L155" ca="1" si="29">lagrange($L$28,$F$28,$G$28,$H$28,$I$28,F146,G146,H146,I146)</f>
        <v>#NAME?</v>
      </c>
    </row>
    <row r="147" spans="1:12" ht="14.25">
      <c r="A147" s="432" t="s">
        <v>337</v>
      </c>
      <c r="B147" s="433"/>
      <c r="C147" s="433"/>
      <c r="D147" s="433"/>
      <c r="E147" s="433"/>
      <c r="F147" s="148">
        <v>-39</v>
      </c>
      <c r="G147" s="149">
        <v>-40</v>
      </c>
      <c r="H147" s="149">
        <v>-38</v>
      </c>
      <c r="I147" s="150">
        <v>-36</v>
      </c>
      <c r="J147" s="151" t="e">
        <f t="shared" ca="1" si="27"/>
        <v>#NAME?</v>
      </c>
      <c r="K147" s="152" t="e">
        <f t="shared" ca="1" si="28"/>
        <v>#NAME?</v>
      </c>
      <c r="L147" s="153" t="e">
        <f t="shared" ca="1" si="29"/>
        <v>#NAME?</v>
      </c>
    </row>
    <row r="148" spans="1:12" ht="14.25">
      <c r="A148" s="432" t="s">
        <v>338</v>
      </c>
      <c r="B148" s="433"/>
      <c r="C148" s="433"/>
      <c r="D148" s="433"/>
      <c r="E148" s="433"/>
      <c r="F148" s="148">
        <v>29</v>
      </c>
      <c r="G148" s="149">
        <v>27</v>
      </c>
      <c r="H148" s="149">
        <v>26</v>
      </c>
      <c r="I148" s="150">
        <v>24</v>
      </c>
      <c r="J148" s="151" t="e">
        <f t="shared" ca="1" si="27"/>
        <v>#NAME?</v>
      </c>
      <c r="K148" s="152" t="e">
        <f t="shared" ca="1" si="28"/>
        <v>#NAME?</v>
      </c>
      <c r="L148" s="153" t="e">
        <f t="shared" ca="1" si="29"/>
        <v>#NAME?</v>
      </c>
    </row>
    <row r="149" spans="1:12" ht="14.25">
      <c r="A149" s="432" t="s">
        <v>339</v>
      </c>
      <c r="B149" s="433"/>
      <c r="C149" s="433"/>
      <c r="D149" s="433"/>
      <c r="E149" s="433"/>
      <c r="F149" s="148">
        <v>20</v>
      </c>
      <c r="G149" s="149">
        <v>19</v>
      </c>
      <c r="H149" s="149">
        <v>18</v>
      </c>
      <c r="I149" s="150">
        <v>17</v>
      </c>
      <c r="J149" s="151" t="e">
        <f t="shared" ca="1" si="27"/>
        <v>#NAME?</v>
      </c>
      <c r="K149" s="152" t="e">
        <f t="shared" ca="1" si="28"/>
        <v>#NAME?</v>
      </c>
      <c r="L149" s="153" t="e">
        <f t="shared" ca="1" si="29"/>
        <v>#NAME?</v>
      </c>
    </row>
    <row r="150" spans="1:12" ht="14.25">
      <c r="A150" s="432" t="s">
        <v>340</v>
      </c>
      <c r="B150" s="433"/>
      <c r="C150" s="433"/>
      <c r="D150" s="433"/>
      <c r="E150" s="433"/>
      <c r="F150" s="148">
        <v>-115</v>
      </c>
      <c r="G150" s="149">
        <v>-89</v>
      </c>
      <c r="H150" s="149">
        <v>-74</v>
      </c>
      <c r="I150" s="150">
        <v>-65</v>
      </c>
      <c r="J150" s="151" t="e">
        <f t="shared" ca="1" si="27"/>
        <v>#NAME?</v>
      </c>
      <c r="K150" s="152" t="e">
        <f t="shared" ca="1" si="28"/>
        <v>#NAME?</v>
      </c>
      <c r="L150" s="153" t="e">
        <f t="shared" ca="1" si="29"/>
        <v>#NAME?</v>
      </c>
    </row>
    <row r="151" spans="1:12" ht="14.25">
      <c r="A151" s="432" t="s">
        <v>341</v>
      </c>
      <c r="B151" s="433"/>
      <c r="C151" s="433"/>
      <c r="D151" s="433"/>
      <c r="E151" s="433"/>
      <c r="F151" s="148">
        <v>31</v>
      </c>
      <c r="G151" s="149">
        <v>26</v>
      </c>
      <c r="H151" s="149">
        <v>22</v>
      </c>
      <c r="I151" s="150">
        <v>19</v>
      </c>
      <c r="J151" s="151" t="e">
        <f t="shared" ca="1" si="27"/>
        <v>#NAME?</v>
      </c>
      <c r="K151" s="152" t="e">
        <f t="shared" ca="1" si="28"/>
        <v>#NAME?</v>
      </c>
      <c r="L151" s="153" t="e">
        <f t="shared" ca="1" si="29"/>
        <v>#NAME?</v>
      </c>
    </row>
    <row r="152" spans="1:12" ht="14.25">
      <c r="A152" s="432" t="s">
        <v>342</v>
      </c>
      <c r="B152" s="433"/>
      <c r="C152" s="433"/>
      <c r="D152" s="433"/>
      <c r="E152" s="433"/>
      <c r="F152" s="148">
        <v>228</v>
      </c>
      <c r="G152" s="149">
        <v>183</v>
      </c>
      <c r="H152" s="149">
        <v>152</v>
      </c>
      <c r="I152" s="150">
        <v>132</v>
      </c>
      <c r="J152" s="151" t="e">
        <f t="shared" ca="1" si="27"/>
        <v>#NAME?</v>
      </c>
      <c r="K152" s="152" t="e">
        <f t="shared" ca="1" si="28"/>
        <v>#NAME?</v>
      </c>
      <c r="L152" s="153" t="e">
        <f t="shared" ca="1" si="29"/>
        <v>#NAME?</v>
      </c>
    </row>
    <row r="153" spans="1:12" ht="14.25">
      <c r="A153" s="432" t="s">
        <v>343</v>
      </c>
      <c r="B153" s="433"/>
      <c r="C153" s="433"/>
      <c r="D153" s="433"/>
      <c r="E153" s="433"/>
      <c r="F153" s="148">
        <v>-11</v>
      </c>
      <c r="G153" s="149">
        <v>-9</v>
      </c>
      <c r="H153" s="149">
        <v>-7.6</v>
      </c>
      <c r="I153" s="150">
        <v>-6.5</v>
      </c>
      <c r="J153" s="151" t="e">
        <f t="shared" ca="1" si="27"/>
        <v>#NAME?</v>
      </c>
      <c r="K153" s="152" t="e">
        <f t="shared" ca="1" si="28"/>
        <v>#NAME?</v>
      </c>
      <c r="L153" s="153" t="e">
        <f t="shared" ca="1" si="29"/>
        <v>#NAME?</v>
      </c>
    </row>
    <row r="154" spans="1:12" ht="14.25">
      <c r="A154" s="432" t="s">
        <v>344</v>
      </c>
      <c r="B154" s="433"/>
      <c r="C154" s="433"/>
      <c r="D154" s="433"/>
      <c r="E154" s="433"/>
      <c r="F154" s="148">
        <v>0.82</v>
      </c>
      <c r="G154" s="149">
        <v>0.49</v>
      </c>
      <c r="H154" s="149">
        <v>0.18</v>
      </c>
      <c r="I154" s="150">
        <v>0.03</v>
      </c>
      <c r="J154" s="154" t="e">
        <f t="shared" ca="1" si="27"/>
        <v>#NAME?</v>
      </c>
      <c r="K154" s="155" t="e">
        <f t="shared" ca="1" si="28"/>
        <v>#NAME?</v>
      </c>
      <c r="L154" s="156" t="e">
        <f t="shared" ca="1" si="29"/>
        <v>#NAME?</v>
      </c>
    </row>
    <row r="155" spans="1:12" ht="15" thickBot="1">
      <c r="A155" s="445" t="s">
        <v>345</v>
      </c>
      <c r="B155" s="446"/>
      <c r="C155" s="446"/>
      <c r="D155" s="446"/>
      <c r="E155" s="446"/>
      <c r="F155" s="157">
        <v>43</v>
      </c>
      <c r="G155" s="158">
        <v>29</v>
      </c>
      <c r="H155" s="158">
        <v>24</v>
      </c>
      <c r="I155" s="159">
        <v>22</v>
      </c>
      <c r="J155" s="160" t="e">
        <f t="shared" ca="1" si="27"/>
        <v>#NAME?</v>
      </c>
      <c r="K155" s="161" t="e">
        <f t="shared" ca="1" si="28"/>
        <v>#NAME?</v>
      </c>
      <c r="L155" s="162" t="e">
        <f t="shared" ca="1" si="29"/>
        <v>#NAME?</v>
      </c>
    </row>
    <row r="157" spans="1:12" ht="15.75" thickBot="1">
      <c r="A157" s="164" t="s">
        <v>355</v>
      </c>
      <c r="B157" s="119"/>
      <c r="C157" s="119"/>
      <c r="D157" s="119"/>
      <c r="E157" s="119"/>
      <c r="F157" s="130"/>
      <c r="G157" s="130"/>
      <c r="H157" s="130"/>
      <c r="I157" s="130"/>
      <c r="J157" s="163"/>
      <c r="K157" s="163"/>
      <c r="L157" s="163"/>
    </row>
    <row r="158" spans="1:12" ht="14.25">
      <c r="A158" s="276" t="s">
        <v>313</v>
      </c>
      <c r="B158" s="277"/>
      <c r="C158" s="277"/>
      <c r="D158" s="277"/>
      <c r="E158" s="278"/>
      <c r="F158" s="131" t="s">
        <v>314</v>
      </c>
      <c r="G158" s="132" t="s">
        <v>315</v>
      </c>
      <c r="H158" s="132" t="s">
        <v>316</v>
      </c>
      <c r="I158" s="133" t="s">
        <v>317</v>
      </c>
      <c r="J158" s="134" t="s">
        <v>318</v>
      </c>
      <c r="K158" s="132" t="s">
        <v>319</v>
      </c>
      <c r="L158" s="135" t="s">
        <v>320</v>
      </c>
    </row>
    <row r="159" spans="1:12" ht="14.25">
      <c r="A159" s="428" t="s">
        <v>336</v>
      </c>
      <c r="B159" s="429"/>
      <c r="C159" s="429"/>
      <c r="D159" s="429"/>
      <c r="E159" s="429"/>
      <c r="F159" s="142">
        <v>37</v>
      </c>
      <c r="G159" s="143">
        <v>38</v>
      </c>
      <c r="H159" s="143">
        <v>36</v>
      </c>
      <c r="I159" s="144">
        <v>35</v>
      </c>
      <c r="J159" s="145" t="e">
        <f t="shared" ref="J159:J168" ca="1" si="30">(1.5*K159-0.5*L159)</f>
        <v>#NAME?</v>
      </c>
      <c r="K159" s="146" t="e">
        <f t="shared" ref="K159:K168" ca="1" si="31">lagrange($K$28,$F$28,$G$28,$H$28,$I$28,F159,G159,H159,I159)</f>
        <v>#NAME?</v>
      </c>
      <c r="L159" s="147" t="e">
        <f t="shared" ref="L159:L168" ca="1" si="32">lagrange($L$28,$F$28,$G$28,$H$28,$I$28,F159,G159,H159,I159)</f>
        <v>#NAME?</v>
      </c>
    </row>
    <row r="160" spans="1:12" ht="14.25">
      <c r="A160" s="432" t="s">
        <v>337</v>
      </c>
      <c r="B160" s="433"/>
      <c r="C160" s="433"/>
      <c r="D160" s="433"/>
      <c r="E160" s="433"/>
      <c r="F160" s="148">
        <v>-39</v>
      </c>
      <c r="G160" s="149">
        <v>-40</v>
      </c>
      <c r="H160" s="149">
        <v>-38</v>
      </c>
      <c r="I160" s="150">
        <v>-36</v>
      </c>
      <c r="J160" s="151" t="e">
        <f t="shared" ca="1" si="30"/>
        <v>#NAME?</v>
      </c>
      <c r="K160" s="152" t="e">
        <f t="shared" ca="1" si="31"/>
        <v>#NAME?</v>
      </c>
      <c r="L160" s="153" t="e">
        <f t="shared" ca="1" si="32"/>
        <v>#NAME?</v>
      </c>
    </row>
    <row r="161" spans="1:12" ht="14.25">
      <c r="A161" s="432" t="s">
        <v>338</v>
      </c>
      <c r="B161" s="433"/>
      <c r="C161" s="433"/>
      <c r="D161" s="433"/>
      <c r="E161" s="433"/>
      <c r="F161" s="148">
        <v>29</v>
      </c>
      <c r="G161" s="149">
        <v>27</v>
      </c>
      <c r="H161" s="149">
        <v>26</v>
      </c>
      <c r="I161" s="150">
        <v>24</v>
      </c>
      <c r="J161" s="151" t="e">
        <f t="shared" ca="1" si="30"/>
        <v>#NAME?</v>
      </c>
      <c r="K161" s="152" t="e">
        <f t="shared" ca="1" si="31"/>
        <v>#NAME?</v>
      </c>
      <c r="L161" s="153" t="e">
        <f t="shared" ca="1" si="32"/>
        <v>#NAME?</v>
      </c>
    </row>
    <row r="162" spans="1:12" ht="14.25">
      <c r="A162" s="432" t="s">
        <v>339</v>
      </c>
      <c r="B162" s="433"/>
      <c r="C162" s="433"/>
      <c r="D162" s="433"/>
      <c r="E162" s="433"/>
      <c r="F162" s="148">
        <v>20</v>
      </c>
      <c r="G162" s="149">
        <v>19</v>
      </c>
      <c r="H162" s="149">
        <v>18</v>
      </c>
      <c r="I162" s="150">
        <v>17</v>
      </c>
      <c r="J162" s="151" t="e">
        <f t="shared" ca="1" si="30"/>
        <v>#NAME?</v>
      </c>
      <c r="K162" s="152" t="e">
        <f t="shared" ca="1" si="31"/>
        <v>#NAME?</v>
      </c>
      <c r="L162" s="153" t="e">
        <f t="shared" ca="1" si="32"/>
        <v>#NAME?</v>
      </c>
    </row>
    <row r="163" spans="1:12" ht="14.25">
      <c r="A163" s="432" t="s">
        <v>340</v>
      </c>
      <c r="B163" s="433"/>
      <c r="C163" s="433"/>
      <c r="D163" s="433"/>
      <c r="E163" s="433"/>
      <c r="F163" s="148">
        <v>-115</v>
      </c>
      <c r="G163" s="149">
        <v>-89</v>
      </c>
      <c r="H163" s="149">
        <v>-74</v>
      </c>
      <c r="I163" s="150">
        <v>-65</v>
      </c>
      <c r="J163" s="151" t="e">
        <f t="shared" ca="1" si="30"/>
        <v>#NAME?</v>
      </c>
      <c r="K163" s="152" t="e">
        <f t="shared" ca="1" si="31"/>
        <v>#NAME?</v>
      </c>
      <c r="L163" s="153" t="e">
        <f t="shared" ca="1" si="32"/>
        <v>#NAME?</v>
      </c>
    </row>
    <row r="164" spans="1:12" ht="14.25">
      <c r="A164" s="432" t="s">
        <v>341</v>
      </c>
      <c r="B164" s="433"/>
      <c r="C164" s="433"/>
      <c r="D164" s="433"/>
      <c r="E164" s="433"/>
      <c r="F164" s="148">
        <v>31</v>
      </c>
      <c r="G164" s="149">
        <v>26</v>
      </c>
      <c r="H164" s="149">
        <v>22</v>
      </c>
      <c r="I164" s="150">
        <v>19</v>
      </c>
      <c r="J164" s="151" t="e">
        <f t="shared" ca="1" si="30"/>
        <v>#NAME?</v>
      </c>
      <c r="K164" s="152" t="e">
        <f t="shared" ca="1" si="31"/>
        <v>#NAME?</v>
      </c>
      <c r="L164" s="153" t="e">
        <f t="shared" ca="1" si="32"/>
        <v>#NAME?</v>
      </c>
    </row>
    <row r="165" spans="1:12" ht="14.25">
      <c r="A165" s="432" t="s">
        <v>342</v>
      </c>
      <c r="B165" s="433"/>
      <c r="C165" s="433"/>
      <c r="D165" s="433"/>
      <c r="E165" s="433"/>
      <c r="F165" s="148">
        <v>228</v>
      </c>
      <c r="G165" s="149">
        <v>183</v>
      </c>
      <c r="H165" s="149">
        <v>152</v>
      </c>
      <c r="I165" s="150">
        <v>132</v>
      </c>
      <c r="J165" s="151" t="e">
        <f t="shared" ca="1" si="30"/>
        <v>#NAME?</v>
      </c>
      <c r="K165" s="152" t="e">
        <f t="shared" ca="1" si="31"/>
        <v>#NAME?</v>
      </c>
      <c r="L165" s="153" t="e">
        <f t="shared" ca="1" si="32"/>
        <v>#NAME?</v>
      </c>
    </row>
    <row r="166" spans="1:12" ht="14.25">
      <c r="A166" s="432" t="s">
        <v>343</v>
      </c>
      <c r="B166" s="433"/>
      <c r="C166" s="433"/>
      <c r="D166" s="433"/>
      <c r="E166" s="433"/>
      <c r="F166" s="148">
        <v>-11</v>
      </c>
      <c r="G166" s="149">
        <v>-9</v>
      </c>
      <c r="H166" s="149">
        <v>-7.6</v>
      </c>
      <c r="I166" s="150">
        <v>-6.5</v>
      </c>
      <c r="J166" s="151" t="e">
        <f t="shared" ca="1" si="30"/>
        <v>#NAME?</v>
      </c>
      <c r="K166" s="152" t="e">
        <f t="shared" ca="1" si="31"/>
        <v>#NAME?</v>
      </c>
      <c r="L166" s="153" t="e">
        <f t="shared" ca="1" si="32"/>
        <v>#NAME?</v>
      </c>
    </row>
    <row r="167" spans="1:12" ht="14.25">
      <c r="A167" s="432" t="s">
        <v>344</v>
      </c>
      <c r="B167" s="433"/>
      <c r="C167" s="433"/>
      <c r="D167" s="433"/>
      <c r="E167" s="433"/>
      <c r="F167" s="148">
        <v>0.82</v>
      </c>
      <c r="G167" s="149">
        <v>0.49</v>
      </c>
      <c r="H167" s="149">
        <v>0.18</v>
      </c>
      <c r="I167" s="150">
        <v>0.03</v>
      </c>
      <c r="J167" s="154" t="e">
        <f t="shared" ca="1" si="30"/>
        <v>#NAME?</v>
      </c>
      <c r="K167" s="155" t="e">
        <f t="shared" ca="1" si="31"/>
        <v>#NAME?</v>
      </c>
      <c r="L167" s="156" t="e">
        <f t="shared" ca="1" si="32"/>
        <v>#NAME?</v>
      </c>
    </row>
    <row r="168" spans="1:12" ht="15" thickBot="1">
      <c r="A168" s="445" t="s">
        <v>345</v>
      </c>
      <c r="B168" s="446"/>
      <c r="C168" s="446"/>
      <c r="D168" s="446"/>
      <c r="E168" s="446"/>
      <c r="F168" s="157">
        <v>43</v>
      </c>
      <c r="G168" s="158">
        <v>29</v>
      </c>
      <c r="H168" s="158">
        <v>24</v>
      </c>
      <c r="I168" s="159">
        <v>22</v>
      </c>
      <c r="J168" s="160" t="e">
        <f t="shared" ca="1" si="30"/>
        <v>#NAME?</v>
      </c>
      <c r="K168" s="161" t="e">
        <f t="shared" ca="1" si="31"/>
        <v>#NAME?</v>
      </c>
      <c r="L168" s="162" t="e">
        <f t="shared" ca="1" si="32"/>
        <v>#NAME?</v>
      </c>
    </row>
    <row r="170" spans="1:12" ht="15.75" thickBot="1">
      <c r="A170" s="164" t="s">
        <v>356</v>
      </c>
      <c r="B170" s="119"/>
      <c r="C170" s="119"/>
      <c r="D170" s="119"/>
      <c r="E170" s="119"/>
      <c r="F170" s="130"/>
      <c r="G170" s="130"/>
      <c r="H170" s="130"/>
      <c r="I170" s="130"/>
      <c r="J170" s="163"/>
      <c r="K170" s="163"/>
      <c r="L170" s="163"/>
    </row>
    <row r="171" spans="1:12" ht="14.25">
      <c r="A171" s="276" t="s">
        <v>313</v>
      </c>
      <c r="B171" s="277"/>
      <c r="C171" s="277"/>
      <c r="D171" s="277"/>
      <c r="E171" s="278"/>
      <c r="F171" s="131" t="s">
        <v>314</v>
      </c>
      <c r="G171" s="132" t="s">
        <v>315</v>
      </c>
      <c r="H171" s="132" t="s">
        <v>316</v>
      </c>
      <c r="I171" s="133" t="s">
        <v>317</v>
      </c>
      <c r="J171" s="134" t="s">
        <v>318</v>
      </c>
      <c r="K171" s="132" t="s">
        <v>319</v>
      </c>
      <c r="L171" s="135" t="s">
        <v>320</v>
      </c>
    </row>
    <row r="172" spans="1:12" ht="14.25">
      <c r="A172" s="428" t="s">
        <v>336</v>
      </c>
      <c r="B172" s="429"/>
      <c r="C172" s="429"/>
      <c r="D172" s="429"/>
      <c r="E172" s="429"/>
      <c r="F172" s="142">
        <v>37</v>
      </c>
      <c r="G172" s="143">
        <v>38</v>
      </c>
      <c r="H172" s="143">
        <v>36</v>
      </c>
      <c r="I172" s="144">
        <v>35</v>
      </c>
      <c r="J172" s="145" t="e">
        <f t="shared" ref="J172:J181" ca="1" si="33">(1.5*K172-0.5*L172)</f>
        <v>#NAME?</v>
      </c>
      <c r="K172" s="146" t="e">
        <f t="shared" ref="K172:K181" ca="1" si="34">lagrange($K$28,$F$28,$G$28,$H$28,$I$28,F172,G172,H172,I172)</f>
        <v>#NAME?</v>
      </c>
      <c r="L172" s="147" t="e">
        <f t="shared" ref="L172:L181" ca="1" si="35">lagrange($L$28,$F$28,$G$28,$H$28,$I$28,F172,G172,H172,I172)</f>
        <v>#NAME?</v>
      </c>
    </row>
    <row r="173" spans="1:12" ht="14.25">
      <c r="A173" s="432" t="s">
        <v>337</v>
      </c>
      <c r="B173" s="433"/>
      <c r="C173" s="433"/>
      <c r="D173" s="433"/>
      <c r="E173" s="433"/>
      <c r="F173" s="148">
        <v>-39</v>
      </c>
      <c r="G173" s="149">
        <v>-40</v>
      </c>
      <c r="H173" s="149">
        <v>-38</v>
      </c>
      <c r="I173" s="150">
        <v>-36</v>
      </c>
      <c r="J173" s="151" t="e">
        <f t="shared" ca="1" si="33"/>
        <v>#NAME?</v>
      </c>
      <c r="K173" s="152" t="e">
        <f t="shared" ca="1" si="34"/>
        <v>#NAME?</v>
      </c>
      <c r="L173" s="153" t="e">
        <f t="shared" ca="1" si="35"/>
        <v>#NAME?</v>
      </c>
    </row>
    <row r="174" spans="1:12" ht="14.25">
      <c r="A174" s="432" t="s">
        <v>338</v>
      </c>
      <c r="B174" s="433"/>
      <c r="C174" s="433"/>
      <c r="D174" s="433"/>
      <c r="E174" s="433"/>
      <c r="F174" s="148">
        <v>29</v>
      </c>
      <c r="G174" s="149">
        <v>27</v>
      </c>
      <c r="H174" s="149">
        <v>26</v>
      </c>
      <c r="I174" s="150">
        <v>24</v>
      </c>
      <c r="J174" s="151" t="e">
        <f t="shared" ca="1" si="33"/>
        <v>#NAME?</v>
      </c>
      <c r="K174" s="152" t="e">
        <f t="shared" ca="1" si="34"/>
        <v>#NAME?</v>
      </c>
      <c r="L174" s="153" t="e">
        <f t="shared" ca="1" si="35"/>
        <v>#NAME?</v>
      </c>
    </row>
    <row r="175" spans="1:12" ht="14.25">
      <c r="A175" s="432" t="s">
        <v>339</v>
      </c>
      <c r="B175" s="433"/>
      <c r="C175" s="433"/>
      <c r="D175" s="433"/>
      <c r="E175" s="433"/>
      <c r="F175" s="148">
        <v>20</v>
      </c>
      <c r="G175" s="149">
        <v>19</v>
      </c>
      <c r="H175" s="149">
        <v>18</v>
      </c>
      <c r="I175" s="150">
        <v>17</v>
      </c>
      <c r="J175" s="151" t="e">
        <f t="shared" ca="1" si="33"/>
        <v>#NAME?</v>
      </c>
      <c r="K175" s="152" t="e">
        <f t="shared" ca="1" si="34"/>
        <v>#NAME?</v>
      </c>
      <c r="L175" s="153" t="e">
        <f t="shared" ca="1" si="35"/>
        <v>#NAME?</v>
      </c>
    </row>
    <row r="176" spans="1:12" ht="14.25">
      <c r="A176" s="432" t="s">
        <v>340</v>
      </c>
      <c r="B176" s="433"/>
      <c r="C176" s="433"/>
      <c r="D176" s="433"/>
      <c r="E176" s="433"/>
      <c r="F176" s="148">
        <v>-115</v>
      </c>
      <c r="G176" s="149">
        <v>-89</v>
      </c>
      <c r="H176" s="149">
        <v>-74</v>
      </c>
      <c r="I176" s="150">
        <v>-65</v>
      </c>
      <c r="J176" s="151" t="e">
        <f t="shared" ca="1" si="33"/>
        <v>#NAME?</v>
      </c>
      <c r="K176" s="152" t="e">
        <f t="shared" ca="1" si="34"/>
        <v>#NAME?</v>
      </c>
      <c r="L176" s="153" t="e">
        <f t="shared" ca="1" si="35"/>
        <v>#NAME?</v>
      </c>
    </row>
    <row r="177" spans="1:12" ht="14.25">
      <c r="A177" s="432" t="s">
        <v>341</v>
      </c>
      <c r="B177" s="433"/>
      <c r="C177" s="433"/>
      <c r="D177" s="433"/>
      <c r="E177" s="433"/>
      <c r="F177" s="148">
        <v>31</v>
      </c>
      <c r="G177" s="149">
        <v>26</v>
      </c>
      <c r="H177" s="149">
        <v>22</v>
      </c>
      <c r="I177" s="150">
        <v>19</v>
      </c>
      <c r="J177" s="151" t="e">
        <f t="shared" ca="1" si="33"/>
        <v>#NAME?</v>
      </c>
      <c r="K177" s="152" t="e">
        <f t="shared" ca="1" si="34"/>
        <v>#NAME?</v>
      </c>
      <c r="L177" s="153" t="e">
        <f t="shared" ca="1" si="35"/>
        <v>#NAME?</v>
      </c>
    </row>
    <row r="178" spans="1:12" ht="14.25">
      <c r="A178" s="432" t="s">
        <v>342</v>
      </c>
      <c r="B178" s="433"/>
      <c r="C178" s="433"/>
      <c r="D178" s="433"/>
      <c r="E178" s="433"/>
      <c r="F178" s="148">
        <v>228</v>
      </c>
      <c r="G178" s="149">
        <v>183</v>
      </c>
      <c r="H178" s="149">
        <v>152</v>
      </c>
      <c r="I178" s="150">
        <v>132</v>
      </c>
      <c r="J178" s="151" t="e">
        <f t="shared" ca="1" si="33"/>
        <v>#NAME?</v>
      </c>
      <c r="K178" s="152" t="e">
        <f t="shared" ca="1" si="34"/>
        <v>#NAME?</v>
      </c>
      <c r="L178" s="153" t="e">
        <f t="shared" ca="1" si="35"/>
        <v>#NAME?</v>
      </c>
    </row>
    <row r="179" spans="1:12" ht="14.25">
      <c r="A179" s="432" t="s">
        <v>343</v>
      </c>
      <c r="B179" s="433"/>
      <c r="C179" s="433"/>
      <c r="D179" s="433"/>
      <c r="E179" s="433"/>
      <c r="F179" s="148">
        <v>-11</v>
      </c>
      <c r="G179" s="149">
        <v>-9</v>
      </c>
      <c r="H179" s="149">
        <v>-7.6</v>
      </c>
      <c r="I179" s="150">
        <v>-6.5</v>
      </c>
      <c r="J179" s="151" t="e">
        <f t="shared" ca="1" si="33"/>
        <v>#NAME?</v>
      </c>
      <c r="K179" s="152" t="e">
        <f t="shared" ca="1" si="34"/>
        <v>#NAME?</v>
      </c>
      <c r="L179" s="153" t="e">
        <f t="shared" ca="1" si="35"/>
        <v>#NAME?</v>
      </c>
    </row>
    <row r="180" spans="1:12" ht="14.25">
      <c r="A180" s="432" t="s">
        <v>344</v>
      </c>
      <c r="B180" s="433"/>
      <c r="C180" s="433"/>
      <c r="D180" s="433"/>
      <c r="E180" s="433"/>
      <c r="F180" s="148">
        <v>0.82</v>
      </c>
      <c r="G180" s="149">
        <v>0.49</v>
      </c>
      <c r="H180" s="149">
        <v>0.18</v>
      </c>
      <c r="I180" s="150">
        <v>0.03</v>
      </c>
      <c r="J180" s="154" t="e">
        <f t="shared" ca="1" si="33"/>
        <v>#NAME?</v>
      </c>
      <c r="K180" s="155" t="e">
        <f t="shared" ca="1" si="34"/>
        <v>#NAME?</v>
      </c>
      <c r="L180" s="156" t="e">
        <f t="shared" ca="1" si="35"/>
        <v>#NAME?</v>
      </c>
    </row>
    <row r="181" spans="1:12" ht="15" thickBot="1">
      <c r="A181" s="445" t="s">
        <v>345</v>
      </c>
      <c r="B181" s="446"/>
      <c r="C181" s="446"/>
      <c r="D181" s="446"/>
      <c r="E181" s="446"/>
      <c r="F181" s="157">
        <v>43</v>
      </c>
      <c r="G181" s="158">
        <v>29</v>
      </c>
      <c r="H181" s="158">
        <v>24</v>
      </c>
      <c r="I181" s="159">
        <v>22</v>
      </c>
      <c r="J181" s="160" t="e">
        <f t="shared" ca="1" si="33"/>
        <v>#NAME?</v>
      </c>
      <c r="K181" s="161" t="e">
        <f t="shared" ca="1" si="34"/>
        <v>#NAME?</v>
      </c>
      <c r="L181" s="162" t="e">
        <f t="shared" ca="1" si="35"/>
        <v>#NAME?</v>
      </c>
    </row>
    <row r="183" spans="1:12" ht="15.75" thickBot="1">
      <c r="A183" s="164" t="s">
        <v>357</v>
      </c>
      <c r="E183" s="70"/>
    </row>
    <row r="184" spans="1:12" ht="14.25">
      <c r="A184" s="276" t="s">
        <v>313</v>
      </c>
      <c r="B184" s="277"/>
      <c r="C184" s="277"/>
      <c r="D184" s="277"/>
      <c r="E184" s="278"/>
      <c r="F184" s="131" t="s">
        <v>314</v>
      </c>
      <c r="G184" s="132" t="s">
        <v>315</v>
      </c>
      <c r="H184" s="132" t="s">
        <v>316</v>
      </c>
      <c r="I184" s="133" t="s">
        <v>317</v>
      </c>
      <c r="J184" s="134" t="s">
        <v>318</v>
      </c>
      <c r="K184" s="132" t="s">
        <v>319</v>
      </c>
      <c r="L184" s="135" t="s">
        <v>320</v>
      </c>
    </row>
    <row r="185" spans="1:12" ht="14.25">
      <c r="A185" s="428" t="s">
        <v>336</v>
      </c>
      <c r="B185" s="429"/>
      <c r="C185" s="429"/>
      <c r="D185" s="429"/>
      <c r="E185" s="429"/>
      <c r="F185" s="142">
        <v>37</v>
      </c>
      <c r="G185" s="143">
        <v>38</v>
      </c>
      <c r="H185" s="143">
        <v>36</v>
      </c>
      <c r="I185" s="144">
        <v>35</v>
      </c>
      <c r="J185" s="145" t="e">
        <f t="shared" ref="J185:J194" ca="1" si="36">(1.5*K185-0.5*L185)</f>
        <v>#NAME?</v>
      </c>
      <c r="K185" s="146" t="e">
        <f t="shared" ref="K185:K194" ca="1" si="37">lagrange($K$28,$F$28,$G$28,$H$28,$I$28,F185,G185,H185,I185)</f>
        <v>#NAME?</v>
      </c>
      <c r="L185" s="147" t="e">
        <f t="shared" ref="L185:L194" ca="1" si="38">lagrange($L$28,$F$28,$G$28,$H$28,$I$28,F185,G185,H185,I185)</f>
        <v>#NAME?</v>
      </c>
    </row>
    <row r="186" spans="1:12" ht="14.25">
      <c r="A186" s="432" t="s">
        <v>337</v>
      </c>
      <c r="B186" s="433"/>
      <c r="C186" s="433"/>
      <c r="D186" s="433"/>
      <c r="E186" s="433"/>
      <c r="F186" s="148">
        <v>-39</v>
      </c>
      <c r="G186" s="149">
        <v>-40</v>
      </c>
      <c r="H186" s="149">
        <v>-38</v>
      </c>
      <c r="I186" s="150">
        <v>-36</v>
      </c>
      <c r="J186" s="151" t="e">
        <f t="shared" ca="1" si="36"/>
        <v>#NAME?</v>
      </c>
      <c r="K186" s="152" t="e">
        <f t="shared" ca="1" si="37"/>
        <v>#NAME?</v>
      </c>
      <c r="L186" s="153" t="e">
        <f t="shared" ca="1" si="38"/>
        <v>#NAME?</v>
      </c>
    </row>
    <row r="187" spans="1:12" ht="14.25">
      <c r="A187" s="432" t="s">
        <v>338</v>
      </c>
      <c r="B187" s="433"/>
      <c r="C187" s="433"/>
      <c r="D187" s="433"/>
      <c r="E187" s="433"/>
      <c r="F187" s="148">
        <v>29</v>
      </c>
      <c r="G187" s="149">
        <v>27</v>
      </c>
      <c r="H187" s="149">
        <v>26</v>
      </c>
      <c r="I187" s="150">
        <v>24</v>
      </c>
      <c r="J187" s="151" t="e">
        <f t="shared" ca="1" si="36"/>
        <v>#NAME?</v>
      </c>
      <c r="K187" s="152" t="e">
        <f t="shared" ca="1" si="37"/>
        <v>#NAME?</v>
      </c>
      <c r="L187" s="153" t="e">
        <f t="shared" ca="1" si="38"/>
        <v>#NAME?</v>
      </c>
    </row>
    <row r="188" spans="1:12" ht="14.25">
      <c r="A188" s="432" t="s">
        <v>339</v>
      </c>
      <c r="B188" s="433"/>
      <c r="C188" s="433"/>
      <c r="D188" s="433"/>
      <c r="E188" s="433"/>
      <c r="F188" s="148">
        <v>20</v>
      </c>
      <c r="G188" s="149">
        <v>19</v>
      </c>
      <c r="H188" s="149">
        <v>18</v>
      </c>
      <c r="I188" s="150">
        <v>17</v>
      </c>
      <c r="J188" s="151" t="e">
        <f t="shared" ca="1" si="36"/>
        <v>#NAME?</v>
      </c>
      <c r="K188" s="152" t="e">
        <f t="shared" ca="1" si="37"/>
        <v>#NAME?</v>
      </c>
      <c r="L188" s="153" t="e">
        <f t="shared" ca="1" si="38"/>
        <v>#NAME?</v>
      </c>
    </row>
    <row r="189" spans="1:12" ht="14.25">
      <c r="A189" s="432" t="s">
        <v>340</v>
      </c>
      <c r="B189" s="433"/>
      <c r="C189" s="433"/>
      <c r="D189" s="433"/>
      <c r="E189" s="433"/>
      <c r="F189" s="148">
        <v>-115</v>
      </c>
      <c r="G189" s="149">
        <v>-89</v>
      </c>
      <c r="H189" s="149">
        <v>-74</v>
      </c>
      <c r="I189" s="150">
        <v>-65</v>
      </c>
      <c r="J189" s="151" t="e">
        <f t="shared" ca="1" si="36"/>
        <v>#NAME?</v>
      </c>
      <c r="K189" s="152" t="e">
        <f t="shared" ca="1" si="37"/>
        <v>#NAME?</v>
      </c>
      <c r="L189" s="153" t="e">
        <f t="shared" ca="1" si="38"/>
        <v>#NAME?</v>
      </c>
    </row>
    <row r="190" spans="1:12" ht="14.25">
      <c r="A190" s="432" t="s">
        <v>341</v>
      </c>
      <c r="B190" s="433"/>
      <c r="C190" s="433"/>
      <c r="D190" s="433"/>
      <c r="E190" s="433"/>
      <c r="F190" s="148">
        <v>31</v>
      </c>
      <c r="G190" s="149">
        <v>26</v>
      </c>
      <c r="H190" s="149">
        <v>22</v>
      </c>
      <c r="I190" s="150">
        <v>19</v>
      </c>
      <c r="J190" s="151" t="e">
        <f t="shared" ca="1" si="36"/>
        <v>#NAME?</v>
      </c>
      <c r="K190" s="152" t="e">
        <f t="shared" ca="1" si="37"/>
        <v>#NAME?</v>
      </c>
      <c r="L190" s="153" t="e">
        <f t="shared" ca="1" si="38"/>
        <v>#NAME?</v>
      </c>
    </row>
    <row r="191" spans="1:12" ht="14.25">
      <c r="A191" s="432" t="s">
        <v>342</v>
      </c>
      <c r="B191" s="433"/>
      <c r="C191" s="433"/>
      <c r="D191" s="433"/>
      <c r="E191" s="433"/>
      <c r="F191" s="148">
        <v>228</v>
      </c>
      <c r="G191" s="149">
        <v>183</v>
      </c>
      <c r="H191" s="149">
        <v>152</v>
      </c>
      <c r="I191" s="150">
        <v>132</v>
      </c>
      <c r="J191" s="151" t="e">
        <f t="shared" ca="1" si="36"/>
        <v>#NAME?</v>
      </c>
      <c r="K191" s="152" t="e">
        <f t="shared" ca="1" si="37"/>
        <v>#NAME?</v>
      </c>
      <c r="L191" s="153" t="e">
        <f t="shared" ca="1" si="38"/>
        <v>#NAME?</v>
      </c>
    </row>
    <row r="192" spans="1:12" ht="14.25">
      <c r="A192" s="432" t="s">
        <v>343</v>
      </c>
      <c r="B192" s="433"/>
      <c r="C192" s="433"/>
      <c r="D192" s="433"/>
      <c r="E192" s="433"/>
      <c r="F192" s="148">
        <v>-11</v>
      </c>
      <c r="G192" s="149">
        <v>-9</v>
      </c>
      <c r="H192" s="149">
        <v>-7.6</v>
      </c>
      <c r="I192" s="150">
        <v>-6.5</v>
      </c>
      <c r="J192" s="151" t="e">
        <f t="shared" ca="1" si="36"/>
        <v>#NAME?</v>
      </c>
      <c r="K192" s="152" t="e">
        <f t="shared" ca="1" si="37"/>
        <v>#NAME?</v>
      </c>
      <c r="L192" s="153" t="e">
        <f t="shared" ca="1" si="38"/>
        <v>#NAME?</v>
      </c>
    </row>
    <row r="193" spans="1:12" ht="14.25">
      <c r="A193" s="432" t="s">
        <v>344</v>
      </c>
      <c r="B193" s="433"/>
      <c r="C193" s="433"/>
      <c r="D193" s="433"/>
      <c r="E193" s="433"/>
      <c r="F193" s="148">
        <v>0.82</v>
      </c>
      <c r="G193" s="149">
        <v>0.49</v>
      </c>
      <c r="H193" s="149">
        <v>0.18</v>
      </c>
      <c r="I193" s="150">
        <v>0.03</v>
      </c>
      <c r="J193" s="154" t="e">
        <f t="shared" ca="1" si="36"/>
        <v>#NAME?</v>
      </c>
      <c r="K193" s="155" t="e">
        <f t="shared" ca="1" si="37"/>
        <v>#NAME?</v>
      </c>
      <c r="L193" s="156" t="e">
        <f t="shared" ca="1" si="38"/>
        <v>#NAME?</v>
      </c>
    </row>
    <row r="194" spans="1:12" ht="15" thickBot="1">
      <c r="A194" s="445" t="s">
        <v>345</v>
      </c>
      <c r="B194" s="446"/>
      <c r="C194" s="446"/>
      <c r="D194" s="446"/>
      <c r="E194" s="446"/>
      <c r="F194" s="157">
        <v>43</v>
      </c>
      <c r="G194" s="158">
        <v>29</v>
      </c>
      <c r="H194" s="158">
        <v>24</v>
      </c>
      <c r="I194" s="159">
        <v>22</v>
      </c>
      <c r="J194" s="160" t="e">
        <f t="shared" ca="1" si="36"/>
        <v>#NAME?</v>
      </c>
      <c r="K194" s="161" t="e">
        <f t="shared" ca="1" si="37"/>
        <v>#NAME?</v>
      </c>
      <c r="L194" s="162" t="e">
        <f t="shared" ca="1" si="38"/>
        <v>#NAME?</v>
      </c>
    </row>
    <row r="195" spans="1:12" ht="14.25">
      <c r="A195" s="119"/>
      <c r="B195" s="119"/>
      <c r="C195" s="119"/>
      <c r="D195" s="119"/>
      <c r="E195" s="119"/>
      <c r="F195" s="130"/>
      <c r="G195" s="130"/>
      <c r="H195" s="130"/>
      <c r="I195" s="130"/>
      <c r="J195" s="163"/>
      <c r="K195" s="163"/>
      <c r="L195" s="163"/>
    </row>
    <row r="196" spans="1:12" ht="15.75" thickBot="1">
      <c r="A196" s="164" t="s">
        <v>358</v>
      </c>
      <c r="B196" s="119"/>
      <c r="C196" s="119"/>
      <c r="D196" s="119"/>
      <c r="E196" s="119"/>
      <c r="F196" s="130"/>
      <c r="G196" s="130"/>
      <c r="H196" s="130"/>
      <c r="I196" s="130"/>
      <c r="J196" s="163"/>
      <c r="K196" s="163"/>
      <c r="L196" s="163"/>
    </row>
    <row r="197" spans="1:12" ht="14.25">
      <c r="A197" s="276" t="s">
        <v>313</v>
      </c>
      <c r="B197" s="277"/>
      <c r="C197" s="277"/>
      <c r="D197" s="277"/>
      <c r="E197" s="278"/>
      <c r="F197" s="131" t="s">
        <v>314</v>
      </c>
      <c r="G197" s="132" t="s">
        <v>315</v>
      </c>
      <c r="H197" s="132" t="s">
        <v>316</v>
      </c>
      <c r="I197" s="133" t="s">
        <v>317</v>
      </c>
      <c r="J197" s="134" t="s">
        <v>318</v>
      </c>
      <c r="K197" s="132" t="s">
        <v>319</v>
      </c>
      <c r="L197" s="135" t="s">
        <v>320</v>
      </c>
    </row>
    <row r="198" spans="1:12" ht="14.25">
      <c r="A198" s="428" t="s">
        <v>336</v>
      </c>
      <c r="B198" s="429"/>
      <c r="C198" s="429"/>
      <c r="D198" s="429"/>
      <c r="E198" s="429"/>
      <c r="F198" s="142">
        <v>37</v>
      </c>
      <c r="G198" s="143">
        <v>38</v>
      </c>
      <c r="H198" s="143">
        <v>36</v>
      </c>
      <c r="I198" s="144">
        <v>35</v>
      </c>
      <c r="J198" s="145" t="e">
        <f t="shared" ref="J198:J207" ca="1" si="39">(1.5*K198-0.5*L198)</f>
        <v>#NAME?</v>
      </c>
      <c r="K198" s="146" t="e">
        <f t="shared" ref="K198:K207" ca="1" si="40">lagrange($K$28,$F$28,$G$28,$H$28,$I$28,F198,G198,H198,I198)</f>
        <v>#NAME?</v>
      </c>
      <c r="L198" s="147" t="e">
        <f t="shared" ref="L198:L207" ca="1" si="41">lagrange($L$28,$F$28,$G$28,$H$28,$I$28,F198,G198,H198,I198)</f>
        <v>#NAME?</v>
      </c>
    </row>
    <row r="199" spans="1:12" ht="14.25">
      <c r="A199" s="432" t="s">
        <v>337</v>
      </c>
      <c r="B199" s="433"/>
      <c r="C199" s="433"/>
      <c r="D199" s="433"/>
      <c r="E199" s="433"/>
      <c r="F199" s="148">
        <v>-39</v>
      </c>
      <c r="G199" s="149">
        <v>-40</v>
      </c>
      <c r="H199" s="149">
        <v>-38</v>
      </c>
      <c r="I199" s="150">
        <v>-36</v>
      </c>
      <c r="J199" s="151" t="e">
        <f t="shared" ca="1" si="39"/>
        <v>#NAME?</v>
      </c>
      <c r="K199" s="152" t="e">
        <f t="shared" ca="1" si="40"/>
        <v>#NAME?</v>
      </c>
      <c r="L199" s="153" t="e">
        <f t="shared" ca="1" si="41"/>
        <v>#NAME?</v>
      </c>
    </row>
    <row r="200" spans="1:12" ht="14.25">
      <c r="A200" s="432" t="s">
        <v>338</v>
      </c>
      <c r="B200" s="433"/>
      <c r="C200" s="433"/>
      <c r="D200" s="433"/>
      <c r="E200" s="433"/>
      <c r="F200" s="148">
        <v>29</v>
      </c>
      <c r="G200" s="149">
        <v>27</v>
      </c>
      <c r="H200" s="149">
        <v>26</v>
      </c>
      <c r="I200" s="150">
        <v>24</v>
      </c>
      <c r="J200" s="151" t="e">
        <f t="shared" ca="1" si="39"/>
        <v>#NAME?</v>
      </c>
      <c r="K200" s="152" t="e">
        <f t="shared" ca="1" si="40"/>
        <v>#NAME?</v>
      </c>
      <c r="L200" s="153" t="e">
        <f t="shared" ca="1" si="41"/>
        <v>#NAME?</v>
      </c>
    </row>
    <row r="201" spans="1:12" ht="14.25">
      <c r="A201" s="432" t="s">
        <v>339</v>
      </c>
      <c r="B201" s="433"/>
      <c r="C201" s="433"/>
      <c r="D201" s="433"/>
      <c r="E201" s="433"/>
      <c r="F201" s="148">
        <v>20</v>
      </c>
      <c r="G201" s="149">
        <v>19</v>
      </c>
      <c r="H201" s="149">
        <v>18</v>
      </c>
      <c r="I201" s="150">
        <v>17</v>
      </c>
      <c r="J201" s="151" t="e">
        <f t="shared" ca="1" si="39"/>
        <v>#NAME?</v>
      </c>
      <c r="K201" s="152" t="e">
        <f t="shared" ca="1" si="40"/>
        <v>#NAME?</v>
      </c>
      <c r="L201" s="153" t="e">
        <f t="shared" ca="1" si="41"/>
        <v>#NAME?</v>
      </c>
    </row>
    <row r="202" spans="1:12" ht="14.25">
      <c r="A202" s="432" t="s">
        <v>340</v>
      </c>
      <c r="B202" s="433"/>
      <c r="C202" s="433"/>
      <c r="D202" s="433"/>
      <c r="E202" s="433"/>
      <c r="F202" s="148">
        <v>-115</v>
      </c>
      <c r="G202" s="149">
        <v>-89</v>
      </c>
      <c r="H202" s="149">
        <v>-74</v>
      </c>
      <c r="I202" s="150">
        <v>-65</v>
      </c>
      <c r="J202" s="151" t="e">
        <f t="shared" ca="1" si="39"/>
        <v>#NAME?</v>
      </c>
      <c r="K202" s="152" t="e">
        <f t="shared" ca="1" si="40"/>
        <v>#NAME?</v>
      </c>
      <c r="L202" s="153" t="e">
        <f t="shared" ca="1" si="41"/>
        <v>#NAME?</v>
      </c>
    </row>
    <row r="203" spans="1:12" ht="14.25">
      <c r="A203" s="432" t="s">
        <v>341</v>
      </c>
      <c r="B203" s="433"/>
      <c r="C203" s="433"/>
      <c r="D203" s="433"/>
      <c r="E203" s="433"/>
      <c r="F203" s="148">
        <v>31</v>
      </c>
      <c r="G203" s="149">
        <v>26</v>
      </c>
      <c r="H203" s="149">
        <v>22</v>
      </c>
      <c r="I203" s="150">
        <v>19</v>
      </c>
      <c r="J203" s="151" t="e">
        <f t="shared" ca="1" si="39"/>
        <v>#NAME?</v>
      </c>
      <c r="K203" s="152" t="e">
        <f t="shared" ca="1" si="40"/>
        <v>#NAME?</v>
      </c>
      <c r="L203" s="153" t="e">
        <f t="shared" ca="1" si="41"/>
        <v>#NAME?</v>
      </c>
    </row>
    <row r="204" spans="1:12" ht="14.25">
      <c r="A204" s="432" t="s">
        <v>342</v>
      </c>
      <c r="B204" s="433"/>
      <c r="C204" s="433"/>
      <c r="D204" s="433"/>
      <c r="E204" s="433"/>
      <c r="F204" s="148">
        <v>228</v>
      </c>
      <c r="G204" s="149">
        <v>183</v>
      </c>
      <c r="H204" s="149">
        <v>152</v>
      </c>
      <c r="I204" s="150">
        <v>132</v>
      </c>
      <c r="J204" s="151" t="e">
        <f t="shared" ca="1" si="39"/>
        <v>#NAME?</v>
      </c>
      <c r="K204" s="152" t="e">
        <f t="shared" ca="1" si="40"/>
        <v>#NAME?</v>
      </c>
      <c r="L204" s="153" t="e">
        <f t="shared" ca="1" si="41"/>
        <v>#NAME?</v>
      </c>
    </row>
    <row r="205" spans="1:12" ht="14.25">
      <c r="A205" s="432" t="s">
        <v>343</v>
      </c>
      <c r="B205" s="433"/>
      <c r="C205" s="433"/>
      <c r="D205" s="433"/>
      <c r="E205" s="433"/>
      <c r="F205" s="148">
        <v>-11</v>
      </c>
      <c r="G205" s="149">
        <v>-9</v>
      </c>
      <c r="H205" s="149">
        <v>-7.6</v>
      </c>
      <c r="I205" s="150">
        <v>-6.5</v>
      </c>
      <c r="J205" s="151" t="e">
        <f t="shared" ca="1" si="39"/>
        <v>#NAME?</v>
      </c>
      <c r="K205" s="152" t="e">
        <f t="shared" ca="1" si="40"/>
        <v>#NAME?</v>
      </c>
      <c r="L205" s="153" t="e">
        <f t="shared" ca="1" si="41"/>
        <v>#NAME?</v>
      </c>
    </row>
    <row r="206" spans="1:12" ht="14.25">
      <c r="A206" s="432" t="s">
        <v>344</v>
      </c>
      <c r="B206" s="433"/>
      <c r="C206" s="433"/>
      <c r="D206" s="433"/>
      <c r="E206" s="433"/>
      <c r="F206" s="148">
        <v>0.82</v>
      </c>
      <c r="G206" s="149">
        <v>0.49</v>
      </c>
      <c r="H206" s="149">
        <v>0.18</v>
      </c>
      <c r="I206" s="150">
        <v>0.03</v>
      </c>
      <c r="J206" s="154" t="e">
        <f t="shared" ca="1" si="39"/>
        <v>#NAME?</v>
      </c>
      <c r="K206" s="155" t="e">
        <f t="shared" ca="1" si="40"/>
        <v>#NAME?</v>
      </c>
      <c r="L206" s="156" t="e">
        <f t="shared" ca="1" si="41"/>
        <v>#NAME?</v>
      </c>
    </row>
    <row r="207" spans="1:12" ht="15" thickBot="1">
      <c r="A207" s="445" t="s">
        <v>345</v>
      </c>
      <c r="B207" s="446"/>
      <c r="C207" s="446"/>
      <c r="D207" s="446"/>
      <c r="E207" s="446"/>
      <c r="F207" s="157">
        <v>43</v>
      </c>
      <c r="G207" s="158">
        <v>29</v>
      </c>
      <c r="H207" s="158">
        <v>24</v>
      </c>
      <c r="I207" s="159">
        <v>22</v>
      </c>
      <c r="J207" s="160" t="e">
        <f t="shared" ca="1" si="39"/>
        <v>#NAME?</v>
      </c>
      <c r="K207" s="161" t="e">
        <f t="shared" ca="1" si="40"/>
        <v>#NAME?</v>
      </c>
      <c r="L207" s="162" t="e">
        <f t="shared" ca="1" si="41"/>
        <v>#NAME?</v>
      </c>
    </row>
    <row r="209" spans="1:12" ht="15.75" thickBot="1">
      <c r="A209" s="164" t="s">
        <v>359</v>
      </c>
      <c r="B209" s="119"/>
      <c r="C209" s="119"/>
      <c r="D209" s="119"/>
      <c r="E209" s="119"/>
      <c r="F209" s="130"/>
      <c r="G209" s="130"/>
      <c r="H209" s="130"/>
      <c r="I209" s="130"/>
      <c r="J209" s="163"/>
      <c r="K209" s="163"/>
      <c r="L209" s="163"/>
    </row>
    <row r="210" spans="1:12" ht="14.25">
      <c r="A210" s="279" t="s">
        <v>313</v>
      </c>
      <c r="B210" s="280"/>
      <c r="C210" s="280"/>
      <c r="D210" s="280"/>
      <c r="E210" s="281"/>
      <c r="F210" s="131" t="s">
        <v>314</v>
      </c>
      <c r="G210" s="132" t="s">
        <v>315</v>
      </c>
      <c r="H210" s="132" t="s">
        <v>316</v>
      </c>
      <c r="I210" s="133" t="s">
        <v>317</v>
      </c>
      <c r="J210" s="134" t="s">
        <v>318</v>
      </c>
      <c r="K210" s="132" t="s">
        <v>319</v>
      </c>
      <c r="L210" s="135" t="s">
        <v>320</v>
      </c>
    </row>
    <row r="211" spans="1:12" ht="14.25">
      <c r="A211" s="428" t="s">
        <v>336</v>
      </c>
      <c r="B211" s="429"/>
      <c r="C211" s="429"/>
      <c r="D211" s="429"/>
      <c r="E211" s="429"/>
      <c r="F211" s="142">
        <v>37</v>
      </c>
      <c r="G211" s="143">
        <v>38</v>
      </c>
      <c r="H211" s="143">
        <v>36</v>
      </c>
      <c r="I211" s="144">
        <v>35</v>
      </c>
      <c r="J211" s="145" t="e">
        <f t="shared" ref="J211:J220" ca="1" si="42">(1.5*K211-0.5*L211)</f>
        <v>#NAME?</v>
      </c>
      <c r="K211" s="146" t="e">
        <f t="shared" ref="K211:K220" ca="1" si="43">lagrange($K$28,$F$28,$G$28,$H$28,$I$28,F211,G211,H211,I211)</f>
        <v>#NAME?</v>
      </c>
      <c r="L211" s="147" t="e">
        <f t="shared" ref="L211:L220" ca="1" si="44">lagrange($L$28,$F$28,$G$28,$H$28,$I$28,F211,G211,H211,I211)</f>
        <v>#NAME?</v>
      </c>
    </row>
    <row r="212" spans="1:12" ht="14.25">
      <c r="A212" s="432" t="s">
        <v>337</v>
      </c>
      <c r="B212" s="433"/>
      <c r="C212" s="433"/>
      <c r="D212" s="433"/>
      <c r="E212" s="433"/>
      <c r="F212" s="148">
        <v>-39</v>
      </c>
      <c r="G212" s="149">
        <v>-40</v>
      </c>
      <c r="H212" s="149">
        <v>-38</v>
      </c>
      <c r="I212" s="150">
        <v>-36</v>
      </c>
      <c r="J212" s="151" t="e">
        <f t="shared" ca="1" si="42"/>
        <v>#NAME?</v>
      </c>
      <c r="K212" s="152" t="e">
        <f t="shared" ca="1" si="43"/>
        <v>#NAME?</v>
      </c>
      <c r="L212" s="153" t="e">
        <f t="shared" ca="1" si="44"/>
        <v>#NAME?</v>
      </c>
    </row>
    <row r="213" spans="1:12" ht="14.25">
      <c r="A213" s="432" t="s">
        <v>338</v>
      </c>
      <c r="B213" s="433"/>
      <c r="C213" s="433"/>
      <c r="D213" s="433"/>
      <c r="E213" s="433"/>
      <c r="F213" s="148">
        <v>29</v>
      </c>
      <c r="G213" s="149">
        <v>27</v>
      </c>
      <c r="H213" s="149">
        <v>26</v>
      </c>
      <c r="I213" s="150">
        <v>24</v>
      </c>
      <c r="J213" s="151" t="e">
        <f t="shared" ca="1" si="42"/>
        <v>#NAME?</v>
      </c>
      <c r="K213" s="152" t="e">
        <f t="shared" ca="1" si="43"/>
        <v>#NAME?</v>
      </c>
      <c r="L213" s="153" t="e">
        <f t="shared" ca="1" si="44"/>
        <v>#NAME?</v>
      </c>
    </row>
    <row r="214" spans="1:12" ht="14.25">
      <c r="A214" s="432" t="s">
        <v>339</v>
      </c>
      <c r="B214" s="433"/>
      <c r="C214" s="433"/>
      <c r="D214" s="433"/>
      <c r="E214" s="433"/>
      <c r="F214" s="148">
        <v>20</v>
      </c>
      <c r="G214" s="149">
        <v>19</v>
      </c>
      <c r="H214" s="149">
        <v>18</v>
      </c>
      <c r="I214" s="150">
        <v>17</v>
      </c>
      <c r="J214" s="151" t="e">
        <f t="shared" ca="1" si="42"/>
        <v>#NAME?</v>
      </c>
      <c r="K214" s="152" t="e">
        <f t="shared" ca="1" si="43"/>
        <v>#NAME?</v>
      </c>
      <c r="L214" s="153" t="e">
        <f t="shared" ca="1" si="44"/>
        <v>#NAME?</v>
      </c>
    </row>
    <row r="215" spans="1:12" ht="14.25">
      <c r="A215" s="432" t="s">
        <v>340</v>
      </c>
      <c r="B215" s="433"/>
      <c r="C215" s="433"/>
      <c r="D215" s="433"/>
      <c r="E215" s="433"/>
      <c r="F215" s="148">
        <v>-115</v>
      </c>
      <c r="G215" s="149">
        <v>-89</v>
      </c>
      <c r="H215" s="149">
        <v>-74</v>
      </c>
      <c r="I215" s="150">
        <v>-65</v>
      </c>
      <c r="J215" s="151" t="e">
        <f t="shared" ca="1" si="42"/>
        <v>#NAME?</v>
      </c>
      <c r="K215" s="152" t="e">
        <f t="shared" ca="1" si="43"/>
        <v>#NAME?</v>
      </c>
      <c r="L215" s="153" t="e">
        <f t="shared" ca="1" si="44"/>
        <v>#NAME?</v>
      </c>
    </row>
    <row r="216" spans="1:12" ht="14.25">
      <c r="A216" s="432" t="s">
        <v>341</v>
      </c>
      <c r="B216" s="433"/>
      <c r="C216" s="433"/>
      <c r="D216" s="433"/>
      <c r="E216" s="433"/>
      <c r="F216" s="148">
        <v>31</v>
      </c>
      <c r="G216" s="149">
        <v>26</v>
      </c>
      <c r="H216" s="149">
        <v>22</v>
      </c>
      <c r="I216" s="150">
        <v>19</v>
      </c>
      <c r="J216" s="151" t="e">
        <f t="shared" ca="1" si="42"/>
        <v>#NAME?</v>
      </c>
      <c r="K216" s="152" t="e">
        <f t="shared" ca="1" si="43"/>
        <v>#NAME?</v>
      </c>
      <c r="L216" s="153" t="e">
        <f t="shared" ca="1" si="44"/>
        <v>#NAME?</v>
      </c>
    </row>
    <row r="217" spans="1:12" ht="14.25">
      <c r="A217" s="432" t="s">
        <v>342</v>
      </c>
      <c r="B217" s="433"/>
      <c r="C217" s="433"/>
      <c r="D217" s="433"/>
      <c r="E217" s="433"/>
      <c r="F217" s="148">
        <v>228</v>
      </c>
      <c r="G217" s="149">
        <v>183</v>
      </c>
      <c r="H217" s="149">
        <v>152</v>
      </c>
      <c r="I217" s="150">
        <v>132</v>
      </c>
      <c r="J217" s="151" t="e">
        <f t="shared" ca="1" si="42"/>
        <v>#NAME?</v>
      </c>
      <c r="K217" s="152" t="e">
        <f t="shared" ca="1" si="43"/>
        <v>#NAME?</v>
      </c>
      <c r="L217" s="153" t="e">
        <f t="shared" ca="1" si="44"/>
        <v>#NAME?</v>
      </c>
    </row>
    <row r="218" spans="1:12" ht="14.25">
      <c r="A218" s="432" t="s">
        <v>343</v>
      </c>
      <c r="B218" s="433"/>
      <c r="C218" s="433"/>
      <c r="D218" s="433"/>
      <c r="E218" s="433"/>
      <c r="F218" s="148">
        <v>-11</v>
      </c>
      <c r="G218" s="149">
        <v>-9</v>
      </c>
      <c r="H218" s="149">
        <v>-7.6</v>
      </c>
      <c r="I218" s="150">
        <v>-6.5</v>
      </c>
      <c r="J218" s="151" t="e">
        <f t="shared" ca="1" si="42"/>
        <v>#NAME?</v>
      </c>
      <c r="K218" s="152" t="e">
        <f t="shared" ca="1" si="43"/>
        <v>#NAME?</v>
      </c>
      <c r="L218" s="153" t="e">
        <f t="shared" ca="1" si="44"/>
        <v>#NAME?</v>
      </c>
    </row>
    <row r="219" spans="1:12" ht="14.25">
      <c r="A219" s="432" t="s">
        <v>344</v>
      </c>
      <c r="B219" s="433"/>
      <c r="C219" s="433"/>
      <c r="D219" s="433"/>
      <c r="E219" s="433"/>
      <c r="F219" s="148">
        <v>0.82</v>
      </c>
      <c r="G219" s="149">
        <v>0.49</v>
      </c>
      <c r="H219" s="149">
        <v>0.18</v>
      </c>
      <c r="I219" s="150">
        <v>0.03</v>
      </c>
      <c r="J219" s="154" t="e">
        <f t="shared" ca="1" si="42"/>
        <v>#NAME?</v>
      </c>
      <c r="K219" s="155" t="e">
        <f t="shared" ca="1" si="43"/>
        <v>#NAME?</v>
      </c>
      <c r="L219" s="156" t="e">
        <f t="shared" ca="1" si="44"/>
        <v>#NAME?</v>
      </c>
    </row>
    <row r="220" spans="1:12" ht="15" thickBot="1">
      <c r="A220" s="445" t="s">
        <v>345</v>
      </c>
      <c r="B220" s="446"/>
      <c r="C220" s="446"/>
      <c r="D220" s="446"/>
      <c r="E220" s="446"/>
      <c r="F220" s="157">
        <v>43</v>
      </c>
      <c r="G220" s="158">
        <v>29</v>
      </c>
      <c r="H220" s="158">
        <v>24</v>
      </c>
      <c r="I220" s="159">
        <v>22</v>
      </c>
      <c r="J220" s="160" t="e">
        <f t="shared" ca="1" si="42"/>
        <v>#NAME?</v>
      </c>
      <c r="K220" s="161" t="e">
        <f t="shared" ca="1" si="43"/>
        <v>#NAME?</v>
      </c>
      <c r="L220" s="162" t="e">
        <f t="shared" ca="1" si="44"/>
        <v>#NAME?</v>
      </c>
    </row>
    <row r="222" spans="1:12" ht="15.75" thickBot="1">
      <c r="A222" s="164" t="s">
        <v>360</v>
      </c>
      <c r="B222" s="119"/>
      <c r="C222" s="119"/>
      <c r="D222" s="119"/>
      <c r="E222" s="119"/>
      <c r="F222" s="130"/>
      <c r="G222" s="130"/>
      <c r="H222" s="130"/>
      <c r="I222" s="130"/>
      <c r="J222" s="163"/>
      <c r="K222" s="163"/>
      <c r="L222" s="163"/>
    </row>
    <row r="223" spans="1:12" ht="14.25">
      <c r="A223" s="279" t="s">
        <v>313</v>
      </c>
      <c r="B223" s="280"/>
      <c r="C223" s="280"/>
      <c r="D223" s="280"/>
      <c r="E223" s="281"/>
      <c r="F223" s="131" t="s">
        <v>314</v>
      </c>
      <c r="G223" s="132" t="s">
        <v>315</v>
      </c>
      <c r="H223" s="132" t="s">
        <v>316</v>
      </c>
      <c r="I223" s="133" t="s">
        <v>317</v>
      </c>
      <c r="J223" s="134" t="s">
        <v>318</v>
      </c>
      <c r="K223" s="132" t="s">
        <v>319</v>
      </c>
      <c r="L223" s="135" t="s">
        <v>320</v>
      </c>
    </row>
    <row r="224" spans="1:12" ht="14.25">
      <c r="A224" s="428" t="s">
        <v>336</v>
      </c>
      <c r="B224" s="429"/>
      <c r="C224" s="429"/>
      <c r="D224" s="429"/>
      <c r="E224" s="429"/>
      <c r="F224" s="142">
        <v>37</v>
      </c>
      <c r="G224" s="143">
        <v>38</v>
      </c>
      <c r="H224" s="143">
        <v>36</v>
      </c>
      <c r="I224" s="144">
        <v>35</v>
      </c>
      <c r="J224" s="145" t="e">
        <f t="shared" ref="J224:J233" ca="1" si="45">(1.5*K224-0.5*L224)</f>
        <v>#NAME?</v>
      </c>
      <c r="K224" s="146" t="e">
        <f t="shared" ref="K224:K233" ca="1" si="46">lagrange($K$28,$F$28,$G$28,$H$28,$I$28,F224,G224,H224,I224)</f>
        <v>#NAME?</v>
      </c>
      <c r="L224" s="147" t="e">
        <f t="shared" ref="L224:L233" ca="1" si="47">lagrange($L$28,$F$28,$G$28,$H$28,$I$28,F224,G224,H224,I224)</f>
        <v>#NAME?</v>
      </c>
    </row>
    <row r="225" spans="1:12" ht="14.25">
      <c r="A225" s="432" t="s">
        <v>337</v>
      </c>
      <c r="B225" s="433"/>
      <c r="C225" s="433"/>
      <c r="D225" s="433"/>
      <c r="E225" s="433"/>
      <c r="F225" s="148">
        <v>-39</v>
      </c>
      <c r="G225" s="149">
        <v>-40</v>
      </c>
      <c r="H225" s="149">
        <v>-38</v>
      </c>
      <c r="I225" s="150">
        <v>-36</v>
      </c>
      <c r="J225" s="151" t="e">
        <f t="shared" ca="1" si="45"/>
        <v>#NAME?</v>
      </c>
      <c r="K225" s="152" t="e">
        <f t="shared" ca="1" si="46"/>
        <v>#NAME?</v>
      </c>
      <c r="L225" s="153" t="e">
        <f t="shared" ca="1" si="47"/>
        <v>#NAME?</v>
      </c>
    </row>
    <row r="226" spans="1:12" ht="14.25">
      <c r="A226" s="432" t="s">
        <v>338</v>
      </c>
      <c r="B226" s="433"/>
      <c r="C226" s="433"/>
      <c r="D226" s="433"/>
      <c r="E226" s="433"/>
      <c r="F226" s="148">
        <v>29</v>
      </c>
      <c r="G226" s="149">
        <v>27</v>
      </c>
      <c r="H226" s="149">
        <v>26</v>
      </c>
      <c r="I226" s="150">
        <v>24</v>
      </c>
      <c r="J226" s="151" t="e">
        <f t="shared" ca="1" si="45"/>
        <v>#NAME?</v>
      </c>
      <c r="K226" s="152" t="e">
        <f t="shared" ca="1" si="46"/>
        <v>#NAME?</v>
      </c>
      <c r="L226" s="153" t="e">
        <f t="shared" ca="1" si="47"/>
        <v>#NAME?</v>
      </c>
    </row>
    <row r="227" spans="1:12" ht="14.25">
      <c r="A227" s="432" t="s">
        <v>339</v>
      </c>
      <c r="B227" s="433"/>
      <c r="C227" s="433"/>
      <c r="D227" s="433"/>
      <c r="E227" s="433"/>
      <c r="F227" s="148">
        <v>20</v>
      </c>
      <c r="G227" s="149">
        <v>19</v>
      </c>
      <c r="H227" s="149">
        <v>18</v>
      </c>
      <c r="I227" s="150">
        <v>17</v>
      </c>
      <c r="J227" s="151" t="e">
        <f t="shared" ca="1" si="45"/>
        <v>#NAME?</v>
      </c>
      <c r="K227" s="152" t="e">
        <f t="shared" ca="1" si="46"/>
        <v>#NAME?</v>
      </c>
      <c r="L227" s="153" t="e">
        <f t="shared" ca="1" si="47"/>
        <v>#NAME?</v>
      </c>
    </row>
    <row r="228" spans="1:12" ht="14.25">
      <c r="A228" s="432" t="s">
        <v>340</v>
      </c>
      <c r="B228" s="433"/>
      <c r="C228" s="433"/>
      <c r="D228" s="433"/>
      <c r="E228" s="433"/>
      <c r="F228" s="148">
        <v>-115</v>
      </c>
      <c r="G228" s="149">
        <v>-89</v>
      </c>
      <c r="H228" s="149">
        <v>-74</v>
      </c>
      <c r="I228" s="150">
        <v>-65</v>
      </c>
      <c r="J228" s="151" t="e">
        <f t="shared" ca="1" si="45"/>
        <v>#NAME?</v>
      </c>
      <c r="K228" s="152" t="e">
        <f t="shared" ca="1" si="46"/>
        <v>#NAME?</v>
      </c>
      <c r="L228" s="153" t="e">
        <f t="shared" ca="1" si="47"/>
        <v>#NAME?</v>
      </c>
    </row>
    <row r="229" spans="1:12" ht="14.25">
      <c r="A229" s="432" t="s">
        <v>341</v>
      </c>
      <c r="B229" s="433"/>
      <c r="C229" s="433"/>
      <c r="D229" s="433"/>
      <c r="E229" s="433"/>
      <c r="F229" s="148">
        <v>31</v>
      </c>
      <c r="G229" s="149">
        <v>26</v>
      </c>
      <c r="H229" s="149">
        <v>22</v>
      </c>
      <c r="I229" s="150">
        <v>19</v>
      </c>
      <c r="J229" s="151" t="e">
        <f t="shared" ca="1" si="45"/>
        <v>#NAME?</v>
      </c>
      <c r="K229" s="152" t="e">
        <f t="shared" ca="1" si="46"/>
        <v>#NAME?</v>
      </c>
      <c r="L229" s="153" t="e">
        <f t="shared" ca="1" si="47"/>
        <v>#NAME?</v>
      </c>
    </row>
    <row r="230" spans="1:12" ht="14.25">
      <c r="A230" s="432" t="s">
        <v>342</v>
      </c>
      <c r="B230" s="433"/>
      <c r="C230" s="433"/>
      <c r="D230" s="433"/>
      <c r="E230" s="433"/>
      <c r="F230" s="148">
        <v>228</v>
      </c>
      <c r="G230" s="149">
        <v>183</v>
      </c>
      <c r="H230" s="149">
        <v>152</v>
      </c>
      <c r="I230" s="150">
        <v>132</v>
      </c>
      <c r="J230" s="151" t="e">
        <f t="shared" ca="1" si="45"/>
        <v>#NAME?</v>
      </c>
      <c r="K230" s="152" t="e">
        <f t="shared" ca="1" si="46"/>
        <v>#NAME?</v>
      </c>
      <c r="L230" s="153" t="e">
        <f t="shared" ca="1" si="47"/>
        <v>#NAME?</v>
      </c>
    </row>
    <row r="231" spans="1:12" ht="14.25">
      <c r="A231" s="432" t="s">
        <v>343</v>
      </c>
      <c r="B231" s="433"/>
      <c r="C231" s="433"/>
      <c r="D231" s="433"/>
      <c r="E231" s="433"/>
      <c r="F231" s="148">
        <v>-11</v>
      </c>
      <c r="G231" s="149">
        <v>-9</v>
      </c>
      <c r="H231" s="149">
        <v>-7.6</v>
      </c>
      <c r="I231" s="150">
        <v>-6.5</v>
      </c>
      <c r="J231" s="151" t="e">
        <f t="shared" ca="1" si="45"/>
        <v>#NAME?</v>
      </c>
      <c r="K231" s="152" t="e">
        <f t="shared" ca="1" si="46"/>
        <v>#NAME?</v>
      </c>
      <c r="L231" s="153" t="e">
        <f t="shared" ca="1" si="47"/>
        <v>#NAME?</v>
      </c>
    </row>
    <row r="232" spans="1:12" ht="14.25">
      <c r="A232" s="432" t="s">
        <v>344</v>
      </c>
      <c r="B232" s="433"/>
      <c r="C232" s="433"/>
      <c r="D232" s="433"/>
      <c r="E232" s="433"/>
      <c r="F232" s="148">
        <v>0.82</v>
      </c>
      <c r="G232" s="149">
        <v>0.49</v>
      </c>
      <c r="H232" s="149">
        <v>0.18</v>
      </c>
      <c r="I232" s="150">
        <v>0.03</v>
      </c>
      <c r="J232" s="154" t="e">
        <f t="shared" ca="1" si="45"/>
        <v>#NAME?</v>
      </c>
      <c r="K232" s="155" t="e">
        <f t="shared" ca="1" si="46"/>
        <v>#NAME?</v>
      </c>
      <c r="L232" s="156" t="e">
        <f t="shared" ca="1" si="47"/>
        <v>#NAME?</v>
      </c>
    </row>
    <row r="233" spans="1:12" ht="15" thickBot="1">
      <c r="A233" s="445" t="s">
        <v>345</v>
      </c>
      <c r="B233" s="446"/>
      <c r="C233" s="446"/>
      <c r="D233" s="446"/>
      <c r="E233" s="446"/>
      <c r="F233" s="157">
        <v>43</v>
      </c>
      <c r="G233" s="158">
        <v>29</v>
      </c>
      <c r="H233" s="158">
        <v>24</v>
      </c>
      <c r="I233" s="159">
        <v>22</v>
      </c>
      <c r="J233" s="160" t="e">
        <f t="shared" ca="1" si="45"/>
        <v>#NAME?</v>
      </c>
      <c r="K233" s="161" t="e">
        <f t="shared" ca="1" si="46"/>
        <v>#NAME?</v>
      </c>
      <c r="L233" s="162" t="e">
        <f t="shared" ca="1" si="47"/>
        <v>#NAME?</v>
      </c>
    </row>
    <row r="235" spans="1:12" ht="15.75" thickBot="1">
      <c r="A235" s="164" t="s">
        <v>349</v>
      </c>
      <c r="B235" s="119"/>
      <c r="C235" s="119"/>
      <c r="D235" s="119"/>
      <c r="E235" s="119"/>
      <c r="F235" s="130"/>
      <c r="G235" s="130"/>
      <c r="H235" s="130"/>
      <c r="I235" s="130"/>
      <c r="J235" s="163"/>
      <c r="K235" s="163"/>
      <c r="L235" s="163"/>
    </row>
    <row r="236" spans="1:12" ht="14.25">
      <c r="A236" s="279" t="s">
        <v>313</v>
      </c>
      <c r="B236" s="280"/>
      <c r="C236" s="280"/>
      <c r="D236" s="280"/>
      <c r="E236" s="281"/>
      <c r="F236" s="131" t="s">
        <v>314</v>
      </c>
      <c r="G236" s="132" t="s">
        <v>315</v>
      </c>
      <c r="H236" s="132" t="s">
        <v>316</v>
      </c>
      <c r="I236" s="133" t="s">
        <v>317</v>
      </c>
      <c r="J236" s="134" t="s">
        <v>318</v>
      </c>
      <c r="K236" s="132" t="s">
        <v>319</v>
      </c>
      <c r="L236" s="135" t="s">
        <v>320</v>
      </c>
    </row>
    <row r="237" spans="1:12" ht="14.25">
      <c r="A237" s="428" t="s">
        <v>336</v>
      </c>
      <c r="B237" s="429"/>
      <c r="C237" s="429"/>
      <c r="D237" s="429"/>
      <c r="E237" s="429"/>
      <c r="F237" s="142">
        <v>37</v>
      </c>
      <c r="G237" s="143">
        <v>38</v>
      </c>
      <c r="H237" s="143">
        <v>36</v>
      </c>
      <c r="I237" s="144">
        <v>35</v>
      </c>
      <c r="J237" s="145" t="e">
        <f t="shared" ref="J237:J246" ca="1" si="48">(1.5*K237-0.5*L237)</f>
        <v>#NAME?</v>
      </c>
      <c r="K237" s="146" t="e">
        <f t="shared" ref="K237:K246" ca="1" si="49">lagrange($K$28,$F$28,$G$28,$H$28,$I$28,F237,G237,H237,I237)</f>
        <v>#NAME?</v>
      </c>
      <c r="L237" s="147" t="e">
        <f t="shared" ref="L237:L246" ca="1" si="50">lagrange($L$28,$F$28,$G$28,$H$28,$I$28,F237,G237,H237,I237)</f>
        <v>#NAME?</v>
      </c>
    </row>
    <row r="238" spans="1:12" ht="14.25">
      <c r="A238" s="432" t="s">
        <v>337</v>
      </c>
      <c r="B238" s="433"/>
      <c r="C238" s="433"/>
      <c r="D238" s="433"/>
      <c r="E238" s="433"/>
      <c r="F238" s="148">
        <v>-39</v>
      </c>
      <c r="G238" s="149">
        <v>-40</v>
      </c>
      <c r="H238" s="149">
        <v>-38</v>
      </c>
      <c r="I238" s="150">
        <v>-36</v>
      </c>
      <c r="J238" s="151" t="e">
        <f t="shared" ca="1" si="48"/>
        <v>#NAME?</v>
      </c>
      <c r="K238" s="152" t="e">
        <f t="shared" ca="1" si="49"/>
        <v>#NAME?</v>
      </c>
      <c r="L238" s="153" t="e">
        <f t="shared" ca="1" si="50"/>
        <v>#NAME?</v>
      </c>
    </row>
    <row r="239" spans="1:12" ht="14.25">
      <c r="A239" s="432" t="s">
        <v>338</v>
      </c>
      <c r="B239" s="433"/>
      <c r="C239" s="433"/>
      <c r="D239" s="433"/>
      <c r="E239" s="433"/>
      <c r="F239" s="148">
        <v>29</v>
      </c>
      <c r="G239" s="149">
        <v>27</v>
      </c>
      <c r="H239" s="149">
        <v>26</v>
      </c>
      <c r="I239" s="150">
        <v>24</v>
      </c>
      <c r="J239" s="151" t="e">
        <f t="shared" ca="1" si="48"/>
        <v>#NAME?</v>
      </c>
      <c r="K239" s="152" t="e">
        <f t="shared" ca="1" si="49"/>
        <v>#NAME?</v>
      </c>
      <c r="L239" s="153" t="e">
        <f t="shared" ca="1" si="50"/>
        <v>#NAME?</v>
      </c>
    </row>
    <row r="240" spans="1:12" ht="14.25">
      <c r="A240" s="432" t="s">
        <v>339</v>
      </c>
      <c r="B240" s="433"/>
      <c r="C240" s="433"/>
      <c r="D240" s="433"/>
      <c r="E240" s="433"/>
      <c r="F240" s="148">
        <v>20</v>
      </c>
      <c r="G240" s="149">
        <v>19</v>
      </c>
      <c r="H240" s="149">
        <v>18</v>
      </c>
      <c r="I240" s="150">
        <v>17</v>
      </c>
      <c r="J240" s="151" t="e">
        <f t="shared" ca="1" si="48"/>
        <v>#NAME?</v>
      </c>
      <c r="K240" s="152" t="e">
        <f t="shared" ca="1" si="49"/>
        <v>#NAME?</v>
      </c>
      <c r="L240" s="153" t="e">
        <f t="shared" ca="1" si="50"/>
        <v>#NAME?</v>
      </c>
    </row>
    <row r="241" spans="1:12" ht="14.25">
      <c r="A241" s="432" t="s">
        <v>340</v>
      </c>
      <c r="B241" s="433"/>
      <c r="C241" s="433"/>
      <c r="D241" s="433"/>
      <c r="E241" s="433"/>
      <c r="F241" s="148">
        <v>-115</v>
      </c>
      <c r="G241" s="149">
        <v>-89</v>
      </c>
      <c r="H241" s="149">
        <v>-74</v>
      </c>
      <c r="I241" s="150">
        <v>-65</v>
      </c>
      <c r="J241" s="151" t="e">
        <f t="shared" ca="1" si="48"/>
        <v>#NAME?</v>
      </c>
      <c r="K241" s="152" t="e">
        <f t="shared" ca="1" si="49"/>
        <v>#NAME?</v>
      </c>
      <c r="L241" s="153" t="e">
        <f t="shared" ca="1" si="50"/>
        <v>#NAME?</v>
      </c>
    </row>
    <row r="242" spans="1:12" ht="14.25">
      <c r="A242" s="432" t="s">
        <v>341</v>
      </c>
      <c r="B242" s="433"/>
      <c r="C242" s="433"/>
      <c r="D242" s="433"/>
      <c r="E242" s="433"/>
      <c r="F242" s="148">
        <v>31</v>
      </c>
      <c r="G242" s="149">
        <v>26</v>
      </c>
      <c r="H242" s="149">
        <v>22</v>
      </c>
      <c r="I242" s="150">
        <v>19</v>
      </c>
      <c r="J242" s="151" t="e">
        <f t="shared" ca="1" si="48"/>
        <v>#NAME?</v>
      </c>
      <c r="K242" s="152" t="e">
        <f t="shared" ca="1" si="49"/>
        <v>#NAME?</v>
      </c>
      <c r="L242" s="153" t="e">
        <f t="shared" ca="1" si="50"/>
        <v>#NAME?</v>
      </c>
    </row>
    <row r="243" spans="1:12" ht="14.25">
      <c r="A243" s="432" t="s">
        <v>342</v>
      </c>
      <c r="B243" s="433"/>
      <c r="C243" s="433"/>
      <c r="D243" s="433"/>
      <c r="E243" s="433"/>
      <c r="F243" s="148">
        <v>228</v>
      </c>
      <c r="G243" s="149">
        <v>183</v>
      </c>
      <c r="H243" s="149">
        <v>152</v>
      </c>
      <c r="I243" s="150">
        <v>132</v>
      </c>
      <c r="J243" s="151" t="e">
        <f t="shared" ca="1" si="48"/>
        <v>#NAME?</v>
      </c>
      <c r="K243" s="152" t="e">
        <f t="shared" ca="1" si="49"/>
        <v>#NAME?</v>
      </c>
      <c r="L243" s="153" t="e">
        <f t="shared" ca="1" si="50"/>
        <v>#NAME?</v>
      </c>
    </row>
    <row r="244" spans="1:12" ht="14.25">
      <c r="A244" s="432" t="s">
        <v>343</v>
      </c>
      <c r="B244" s="433"/>
      <c r="C244" s="433"/>
      <c r="D244" s="433"/>
      <c r="E244" s="433"/>
      <c r="F244" s="148">
        <v>-11</v>
      </c>
      <c r="G244" s="149">
        <v>-9</v>
      </c>
      <c r="H244" s="149">
        <v>-7.6</v>
      </c>
      <c r="I244" s="150">
        <v>-6.5</v>
      </c>
      <c r="J244" s="151" t="e">
        <f t="shared" ca="1" si="48"/>
        <v>#NAME?</v>
      </c>
      <c r="K244" s="152" t="e">
        <f t="shared" ca="1" si="49"/>
        <v>#NAME?</v>
      </c>
      <c r="L244" s="153" t="e">
        <f t="shared" ca="1" si="50"/>
        <v>#NAME?</v>
      </c>
    </row>
    <row r="245" spans="1:12" ht="14.25">
      <c r="A245" s="432" t="s">
        <v>344</v>
      </c>
      <c r="B245" s="433"/>
      <c r="C245" s="433"/>
      <c r="D245" s="433"/>
      <c r="E245" s="433"/>
      <c r="F245" s="148">
        <v>0.82</v>
      </c>
      <c r="G245" s="149">
        <v>0.49</v>
      </c>
      <c r="H245" s="149">
        <v>0.18</v>
      </c>
      <c r="I245" s="150">
        <v>0.03</v>
      </c>
      <c r="J245" s="154" t="e">
        <f t="shared" ca="1" si="48"/>
        <v>#NAME?</v>
      </c>
      <c r="K245" s="155" t="e">
        <f t="shared" ca="1" si="49"/>
        <v>#NAME?</v>
      </c>
      <c r="L245" s="156" t="e">
        <f t="shared" ca="1" si="50"/>
        <v>#NAME?</v>
      </c>
    </row>
    <row r="246" spans="1:12" ht="15" thickBot="1">
      <c r="A246" s="445" t="s">
        <v>345</v>
      </c>
      <c r="B246" s="446"/>
      <c r="C246" s="446"/>
      <c r="D246" s="446"/>
      <c r="E246" s="446"/>
      <c r="F246" s="157">
        <v>43</v>
      </c>
      <c r="G246" s="158">
        <v>29</v>
      </c>
      <c r="H246" s="158">
        <v>24</v>
      </c>
      <c r="I246" s="159">
        <v>22</v>
      </c>
      <c r="J246" s="160" t="e">
        <f t="shared" ca="1" si="48"/>
        <v>#NAME?</v>
      </c>
      <c r="K246" s="161" t="e">
        <f t="shared" ca="1" si="49"/>
        <v>#NAME?</v>
      </c>
      <c r="L246" s="162" t="e">
        <f t="shared" ca="1" si="50"/>
        <v>#NAME?</v>
      </c>
    </row>
    <row r="248" spans="1:12" ht="15.75" thickBot="1">
      <c r="A248" s="164" t="s">
        <v>350</v>
      </c>
      <c r="B248" s="119"/>
      <c r="C248" s="119"/>
      <c r="D248" s="119"/>
      <c r="E248" s="119"/>
      <c r="F248" s="130"/>
      <c r="G248" s="130"/>
      <c r="H248" s="130"/>
      <c r="I248" s="130"/>
      <c r="J248" s="163"/>
      <c r="K248" s="163"/>
      <c r="L248" s="163"/>
    </row>
    <row r="249" spans="1:12" ht="14.25">
      <c r="A249" s="279" t="s">
        <v>313</v>
      </c>
      <c r="B249" s="280"/>
      <c r="C249" s="280"/>
      <c r="D249" s="280"/>
      <c r="E249" s="281"/>
      <c r="F249" s="131" t="s">
        <v>314</v>
      </c>
      <c r="G249" s="132" t="s">
        <v>315</v>
      </c>
      <c r="H249" s="132" t="s">
        <v>316</v>
      </c>
      <c r="I249" s="133" t="s">
        <v>317</v>
      </c>
      <c r="J249" s="134" t="s">
        <v>318</v>
      </c>
      <c r="K249" s="132" t="s">
        <v>319</v>
      </c>
      <c r="L249" s="135" t="s">
        <v>320</v>
      </c>
    </row>
    <row r="250" spans="1:12" ht="14.25">
      <c r="A250" s="428" t="s">
        <v>336</v>
      </c>
      <c r="B250" s="429"/>
      <c r="C250" s="429"/>
      <c r="D250" s="429"/>
      <c r="E250" s="429"/>
      <c r="F250" s="142">
        <v>37</v>
      </c>
      <c r="G250" s="143">
        <v>38</v>
      </c>
      <c r="H250" s="143">
        <v>36</v>
      </c>
      <c r="I250" s="144">
        <v>35</v>
      </c>
      <c r="J250" s="145" t="e">
        <f t="shared" ref="J250:J259" ca="1" si="51">(1.5*K250-0.5*L250)</f>
        <v>#NAME?</v>
      </c>
      <c r="K250" s="146" t="e">
        <f t="shared" ref="K250:K259" ca="1" si="52">lagrange($K$28,$F$28,$G$28,$H$28,$I$28,F250,G250,H250,I250)</f>
        <v>#NAME?</v>
      </c>
      <c r="L250" s="147" t="e">
        <f t="shared" ref="L250:L259" ca="1" si="53">lagrange($L$28,$F$28,$G$28,$H$28,$I$28,F250,G250,H250,I250)</f>
        <v>#NAME?</v>
      </c>
    </row>
    <row r="251" spans="1:12" ht="14.25">
      <c r="A251" s="432" t="s">
        <v>337</v>
      </c>
      <c r="B251" s="433"/>
      <c r="C251" s="433"/>
      <c r="D251" s="433"/>
      <c r="E251" s="433"/>
      <c r="F251" s="148">
        <v>-39</v>
      </c>
      <c r="G251" s="149">
        <v>-40</v>
      </c>
      <c r="H251" s="149">
        <v>-38</v>
      </c>
      <c r="I251" s="150">
        <v>-36</v>
      </c>
      <c r="J251" s="151" t="e">
        <f t="shared" ca="1" si="51"/>
        <v>#NAME?</v>
      </c>
      <c r="K251" s="152" t="e">
        <f t="shared" ca="1" si="52"/>
        <v>#NAME?</v>
      </c>
      <c r="L251" s="153" t="e">
        <f t="shared" ca="1" si="53"/>
        <v>#NAME?</v>
      </c>
    </row>
    <row r="252" spans="1:12" ht="14.25">
      <c r="A252" s="432" t="s">
        <v>338</v>
      </c>
      <c r="B252" s="433"/>
      <c r="C252" s="433"/>
      <c r="D252" s="433"/>
      <c r="E252" s="433"/>
      <c r="F252" s="148">
        <v>29</v>
      </c>
      <c r="G252" s="149">
        <v>27</v>
      </c>
      <c r="H252" s="149">
        <v>26</v>
      </c>
      <c r="I252" s="150">
        <v>24</v>
      </c>
      <c r="J252" s="151" t="e">
        <f t="shared" ca="1" si="51"/>
        <v>#NAME?</v>
      </c>
      <c r="K252" s="152" t="e">
        <f t="shared" ca="1" si="52"/>
        <v>#NAME?</v>
      </c>
      <c r="L252" s="153" t="e">
        <f t="shared" ca="1" si="53"/>
        <v>#NAME?</v>
      </c>
    </row>
    <row r="253" spans="1:12" ht="14.25">
      <c r="A253" s="432" t="s">
        <v>339</v>
      </c>
      <c r="B253" s="433"/>
      <c r="C253" s="433"/>
      <c r="D253" s="433"/>
      <c r="E253" s="433"/>
      <c r="F253" s="148">
        <v>20</v>
      </c>
      <c r="G253" s="149">
        <v>19</v>
      </c>
      <c r="H253" s="149">
        <v>18</v>
      </c>
      <c r="I253" s="150">
        <v>17</v>
      </c>
      <c r="J253" s="151" t="e">
        <f t="shared" ca="1" si="51"/>
        <v>#NAME?</v>
      </c>
      <c r="K253" s="152" t="e">
        <f t="shared" ca="1" si="52"/>
        <v>#NAME?</v>
      </c>
      <c r="L253" s="153" t="e">
        <f t="shared" ca="1" si="53"/>
        <v>#NAME?</v>
      </c>
    </row>
    <row r="254" spans="1:12" ht="14.25">
      <c r="A254" s="432" t="s">
        <v>340</v>
      </c>
      <c r="B254" s="433"/>
      <c r="C254" s="433"/>
      <c r="D254" s="433"/>
      <c r="E254" s="433"/>
      <c r="F254" s="148">
        <v>-115</v>
      </c>
      <c r="G254" s="149">
        <v>-89</v>
      </c>
      <c r="H254" s="149">
        <v>-74</v>
      </c>
      <c r="I254" s="150">
        <v>-65</v>
      </c>
      <c r="J254" s="151" t="e">
        <f t="shared" ca="1" si="51"/>
        <v>#NAME?</v>
      </c>
      <c r="K254" s="152" t="e">
        <f t="shared" ca="1" si="52"/>
        <v>#NAME?</v>
      </c>
      <c r="L254" s="153" t="e">
        <f t="shared" ca="1" si="53"/>
        <v>#NAME?</v>
      </c>
    </row>
    <row r="255" spans="1:12" ht="14.25">
      <c r="A255" s="432" t="s">
        <v>341</v>
      </c>
      <c r="B255" s="433"/>
      <c r="C255" s="433"/>
      <c r="D255" s="433"/>
      <c r="E255" s="433"/>
      <c r="F255" s="148">
        <v>31</v>
      </c>
      <c r="G255" s="149">
        <v>26</v>
      </c>
      <c r="H255" s="149">
        <v>22</v>
      </c>
      <c r="I255" s="150">
        <v>19</v>
      </c>
      <c r="J255" s="151" t="e">
        <f t="shared" ca="1" si="51"/>
        <v>#NAME?</v>
      </c>
      <c r="K255" s="152" t="e">
        <f t="shared" ca="1" si="52"/>
        <v>#NAME?</v>
      </c>
      <c r="L255" s="153" t="e">
        <f t="shared" ca="1" si="53"/>
        <v>#NAME?</v>
      </c>
    </row>
    <row r="256" spans="1:12" ht="14.25">
      <c r="A256" s="432" t="s">
        <v>342</v>
      </c>
      <c r="B256" s="433"/>
      <c r="C256" s="433"/>
      <c r="D256" s="433"/>
      <c r="E256" s="433"/>
      <c r="F256" s="148">
        <v>228</v>
      </c>
      <c r="G256" s="149">
        <v>183</v>
      </c>
      <c r="H256" s="149">
        <v>152</v>
      </c>
      <c r="I256" s="150">
        <v>132</v>
      </c>
      <c r="J256" s="151" t="e">
        <f t="shared" ca="1" si="51"/>
        <v>#NAME?</v>
      </c>
      <c r="K256" s="152" t="e">
        <f t="shared" ca="1" si="52"/>
        <v>#NAME?</v>
      </c>
      <c r="L256" s="153" t="e">
        <f t="shared" ca="1" si="53"/>
        <v>#NAME?</v>
      </c>
    </row>
    <row r="257" spans="1:12" ht="14.25">
      <c r="A257" s="432" t="s">
        <v>343</v>
      </c>
      <c r="B257" s="433"/>
      <c r="C257" s="433"/>
      <c r="D257" s="433"/>
      <c r="E257" s="433"/>
      <c r="F257" s="148">
        <v>-11</v>
      </c>
      <c r="G257" s="149">
        <v>-9</v>
      </c>
      <c r="H257" s="149">
        <v>-7.6</v>
      </c>
      <c r="I257" s="150">
        <v>-6.5</v>
      </c>
      <c r="J257" s="151" t="e">
        <f t="shared" ca="1" si="51"/>
        <v>#NAME?</v>
      </c>
      <c r="K257" s="152" t="e">
        <f t="shared" ca="1" si="52"/>
        <v>#NAME?</v>
      </c>
      <c r="L257" s="153" t="e">
        <f t="shared" ca="1" si="53"/>
        <v>#NAME?</v>
      </c>
    </row>
    <row r="258" spans="1:12" ht="14.25">
      <c r="A258" s="432" t="s">
        <v>344</v>
      </c>
      <c r="B258" s="433"/>
      <c r="C258" s="433"/>
      <c r="D258" s="433"/>
      <c r="E258" s="433"/>
      <c r="F258" s="148">
        <v>0.82</v>
      </c>
      <c r="G258" s="149">
        <v>0.49</v>
      </c>
      <c r="H258" s="149">
        <v>0.18</v>
      </c>
      <c r="I258" s="150">
        <v>0.03</v>
      </c>
      <c r="J258" s="154" t="e">
        <f t="shared" ca="1" si="51"/>
        <v>#NAME?</v>
      </c>
      <c r="K258" s="155" t="e">
        <f t="shared" ca="1" si="52"/>
        <v>#NAME?</v>
      </c>
      <c r="L258" s="156" t="e">
        <f t="shared" ca="1" si="53"/>
        <v>#NAME?</v>
      </c>
    </row>
    <row r="259" spans="1:12" ht="15" thickBot="1">
      <c r="A259" s="445" t="s">
        <v>345</v>
      </c>
      <c r="B259" s="446"/>
      <c r="C259" s="446"/>
      <c r="D259" s="446"/>
      <c r="E259" s="446"/>
      <c r="F259" s="157">
        <v>43</v>
      </c>
      <c r="G259" s="158">
        <v>29</v>
      </c>
      <c r="H259" s="158">
        <v>24</v>
      </c>
      <c r="I259" s="159">
        <v>22</v>
      </c>
      <c r="J259" s="160" t="e">
        <f t="shared" ca="1" si="51"/>
        <v>#NAME?</v>
      </c>
      <c r="K259" s="161" t="e">
        <f t="shared" ca="1" si="52"/>
        <v>#NAME?</v>
      </c>
      <c r="L259" s="162" t="e">
        <f t="shared" ca="1" si="53"/>
        <v>#NAME?</v>
      </c>
    </row>
    <row r="261" spans="1:12" ht="15.75" thickBot="1">
      <c r="A261" s="164" t="s">
        <v>335</v>
      </c>
      <c r="E261" s="70"/>
    </row>
    <row r="262" spans="1:12" ht="14.25">
      <c r="A262" s="276" t="s">
        <v>313</v>
      </c>
      <c r="B262" s="277"/>
      <c r="C262" s="277"/>
      <c r="D262" s="277"/>
      <c r="E262" s="278"/>
      <c r="F262" s="131" t="s">
        <v>314</v>
      </c>
      <c r="G262" s="132" t="s">
        <v>315</v>
      </c>
      <c r="H262" s="132" t="s">
        <v>316</v>
      </c>
      <c r="I262" s="133" t="s">
        <v>317</v>
      </c>
      <c r="J262" s="134" t="s">
        <v>318</v>
      </c>
      <c r="K262" s="132" t="s">
        <v>319</v>
      </c>
      <c r="L262" s="135" t="s">
        <v>320</v>
      </c>
    </row>
    <row r="263" spans="1:12" ht="14.25">
      <c r="A263" s="428" t="s">
        <v>336</v>
      </c>
      <c r="B263" s="429"/>
      <c r="C263" s="429"/>
      <c r="D263" s="429"/>
      <c r="E263" s="429"/>
      <c r="F263" s="142">
        <v>37</v>
      </c>
      <c r="G263" s="143">
        <v>38</v>
      </c>
      <c r="H263" s="143">
        <v>36</v>
      </c>
      <c r="I263" s="144">
        <v>35</v>
      </c>
      <c r="J263" s="145" t="e">
        <f t="shared" ref="J263:J272" ca="1" si="54">(1.5*K263-0.5*L263)</f>
        <v>#NAME?</v>
      </c>
      <c r="K263" s="146" t="e">
        <f t="shared" ref="K263:K272" ca="1" si="55">lagrange($K$28,$F$28,$G$28,$H$28,$I$28,F263,G263,H263,I263)</f>
        <v>#NAME?</v>
      </c>
      <c r="L263" s="147" t="e">
        <f t="shared" ref="L263:L272" ca="1" si="56">lagrange($L$28,$F$28,$G$28,$H$28,$I$28,F263,G263,H263,I263)</f>
        <v>#NAME?</v>
      </c>
    </row>
    <row r="264" spans="1:12" ht="14.25">
      <c r="A264" s="432" t="s">
        <v>337</v>
      </c>
      <c r="B264" s="433"/>
      <c r="C264" s="433"/>
      <c r="D264" s="433"/>
      <c r="E264" s="433"/>
      <c r="F264" s="148">
        <v>-39</v>
      </c>
      <c r="G264" s="149">
        <v>-40</v>
      </c>
      <c r="H264" s="149">
        <v>-38</v>
      </c>
      <c r="I264" s="150">
        <v>-36</v>
      </c>
      <c r="J264" s="151" t="e">
        <f t="shared" ca="1" si="54"/>
        <v>#NAME?</v>
      </c>
      <c r="K264" s="152" t="e">
        <f t="shared" ca="1" si="55"/>
        <v>#NAME?</v>
      </c>
      <c r="L264" s="153" t="e">
        <f t="shared" ca="1" si="56"/>
        <v>#NAME?</v>
      </c>
    </row>
    <row r="265" spans="1:12" ht="14.25">
      <c r="A265" s="432" t="s">
        <v>338</v>
      </c>
      <c r="B265" s="433"/>
      <c r="C265" s="433"/>
      <c r="D265" s="433"/>
      <c r="E265" s="433"/>
      <c r="F265" s="148">
        <v>29</v>
      </c>
      <c r="G265" s="149">
        <v>27</v>
      </c>
      <c r="H265" s="149">
        <v>26</v>
      </c>
      <c r="I265" s="150">
        <v>24</v>
      </c>
      <c r="J265" s="151" t="e">
        <f t="shared" ca="1" si="54"/>
        <v>#NAME?</v>
      </c>
      <c r="K265" s="152" t="e">
        <f t="shared" ca="1" si="55"/>
        <v>#NAME?</v>
      </c>
      <c r="L265" s="153" t="e">
        <f t="shared" ca="1" si="56"/>
        <v>#NAME?</v>
      </c>
    </row>
    <row r="266" spans="1:12" ht="14.25">
      <c r="A266" s="432" t="s">
        <v>339</v>
      </c>
      <c r="B266" s="433"/>
      <c r="C266" s="433"/>
      <c r="D266" s="433"/>
      <c r="E266" s="433"/>
      <c r="F266" s="148">
        <v>20</v>
      </c>
      <c r="G266" s="149">
        <v>19</v>
      </c>
      <c r="H266" s="149">
        <v>18</v>
      </c>
      <c r="I266" s="150">
        <v>17</v>
      </c>
      <c r="J266" s="151" t="e">
        <f t="shared" ca="1" si="54"/>
        <v>#NAME?</v>
      </c>
      <c r="K266" s="152" t="e">
        <f t="shared" ca="1" si="55"/>
        <v>#NAME?</v>
      </c>
      <c r="L266" s="153" t="e">
        <f t="shared" ca="1" si="56"/>
        <v>#NAME?</v>
      </c>
    </row>
    <row r="267" spans="1:12" ht="14.25">
      <c r="A267" s="432" t="s">
        <v>340</v>
      </c>
      <c r="B267" s="433"/>
      <c r="C267" s="433"/>
      <c r="D267" s="433"/>
      <c r="E267" s="433"/>
      <c r="F267" s="148">
        <v>-115</v>
      </c>
      <c r="G267" s="149">
        <v>-89</v>
      </c>
      <c r="H267" s="149">
        <v>-74</v>
      </c>
      <c r="I267" s="150">
        <v>-65</v>
      </c>
      <c r="J267" s="151" t="e">
        <f t="shared" ca="1" si="54"/>
        <v>#NAME?</v>
      </c>
      <c r="K267" s="152" t="e">
        <f t="shared" ca="1" si="55"/>
        <v>#NAME?</v>
      </c>
      <c r="L267" s="153" t="e">
        <f t="shared" ca="1" si="56"/>
        <v>#NAME?</v>
      </c>
    </row>
    <row r="268" spans="1:12" ht="14.25">
      <c r="A268" s="432" t="s">
        <v>341</v>
      </c>
      <c r="B268" s="433"/>
      <c r="C268" s="433"/>
      <c r="D268" s="433"/>
      <c r="E268" s="433"/>
      <c r="F268" s="148">
        <v>31</v>
      </c>
      <c r="G268" s="149">
        <v>26</v>
      </c>
      <c r="H268" s="149">
        <v>22</v>
      </c>
      <c r="I268" s="150">
        <v>19</v>
      </c>
      <c r="J268" s="151" t="e">
        <f t="shared" ca="1" si="54"/>
        <v>#NAME?</v>
      </c>
      <c r="K268" s="152" t="e">
        <f t="shared" ca="1" si="55"/>
        <v>#NAME?</v>
      </c>
      <c r="L268" s="153" t="e">
        <f t="shared" ca="1" si="56"/>
        <v>#NAME?</v>
      </c>
    </row>
    <row r="269" spans="1:12" ht="14.25">
      <c r="A269" s="432" t="s">
        <v>342</v>
      </c>
      <c r="B269" s="433"/>
      <c r="C269" s="433"/>
      <c r="D269" s="433"/>
      <c r="E269" s="433"/>
      <c r="F269" s="148">
        <v>228</v>
      </c>
      <c r="G269" s="149">
        <v>183</v>
      </c>
      <c r="H269" s="149">
        <v>152</v>
      </c>
      <c r="I269" s="150">
        <v>132</v>
      </c>
      <c r="J269" s="151" t="e">
        <f t="shared" ca="1" si="54"/>
        <v>#NAME?</v>
      </c>
      <c r="K269" s="152" t="e">
        <f t="shared" ca="1" si="55"/>
        <v>#NAME?</v>
      </c>
      <c r="L269" s="153" t="e">
        <f t="shared" ca="1" si="56"/>
        <v>#NAME?</v>
      </c>
    </row>
    <row r="270" spans="1:12" ht="14.25">
      <c r="A270" s="432" t="s">
        <v>343</v>
      </c>
      <c r="B270" s="433"/>
      <c r="C270" s="433"/>
      <c r="D270" s="433"/>
      <c r="E270" s="433"/>
      <c r="F270" s="148">
        <v>-11</v>
      </c>
      <c r="G270" s="149">
        <v>-9</v>
      </c>
      <c r="H270" s="149">
        <v>-7.6</v>
      </c>
      <c r="I270" s="150">
        <v>-6.5</v>
      </c>
      <c r="J270" s="151" t="e">
        <f t="shared" ca="1" si="54"/>
        <v>#NAME?</v>
      </c>
      <c r="K270" s="152" t="e">
        <f t="shared" ca="1" si="55"/>
        <v>#NAME?</v>
      </c>
      <c r="L270" s="153" t="e">
        <f t="shared" ca="1" si="56"/>
        <v>#NAME?</v>
      </c>
    </row>
    <row r="271" spans="1:12" ht="14.25">
      <c r="A271" s="432" t="s">
        <v>344</v>
      </c>
      <c r="B271" s="433"/>
      <c r="C271" s="433"/>
      <c r="D271" s="433"/>
      <c r="E271" s="433"/>
      <c r="F271" s="148">
        <v>0.82</v>
      </c>
      <c r="G271" s="149">
        <v>0.49</v>
      </c>
      <c r="H271" s="149">
        <v>0.18</v>
      </c>
      <c r="I271" s="150">
        <v>0.03</v>
      </c>
      <c r="J271" s="154" t="e">
        <f t="shared" ca="1" si="54"/>
        <v>#NAME?</v>
      </c>
      <c r="K271" s="155" t="e">
        <f t="shared" ca="1" si="55"/>
        <v>#NAME?</v>
      </c>
      <c r="L271" s="156" t="e">
        <f t="shared" ca="1" si="56"/>
        <v>#NAME?</v>
      </c>
    </row>
    <row r="272" spans="1:12" ht="15" thickBot="1">
      <c r="A272" s="445" t="s">
        <v>345</v>
      </c>
      <c r="B272" s="446"/>
      <c r="C272" s="446"/>
      <c r="D272" s="446"/>
      <c r="E272" s="446"/>
      <c r="F272" s="157">
        <v>43</v>
      </c>
      <c r="G272" s="158">
        <v>29</v>
      </c>
      <c r="H272" s="158">
        <v>24</v>
      </c>
      <c r="I272" s="159">
        <v>22</v>
      </c>
      <c r="J272" s="160" t="e">
        <f t="shared" ca="1" si="54"/>
        <v>#NAME?</v>
      </c>
      <c r="K272" s="161" t="e">
        <f t="shared" ca="1" si="55"/>
        <v>#NAME?</v>
      </c>
      <c r="L272" s="162" t="e">
        <f t="shared" ca="1" si="56"/>
        <v>#NAME?</v>
      </c>
    </row>
    <row r="273" spans="1:12" ht="14.25">
      <c r="A273" s="119"/>
      <c r="B273" s="119"/>
      <c r="C273" s="119"/>
      <c r="D273" s="119"/>
      <c r="E273" s="119"/>
      <c r="F273" s="130"/>
      <c r="G273" s="130"/>
      <c r="H273" s="130"/>
      <c r="I273" s="130"/>
      <c r="J273" s="163"/>
      <c r="K273" s="163"/>
      <c r="L273" s="163"/>
    </row>
    <row r="274" spans="1:12" ht="15.75" thickBot="1">
      <c r="A274" s="164" t="s">
        <v>346</v>
      </c>
      <c r="B274" s="119"/>
      <c r="C274" s="119"/>
      <c r="D274" s="119"/>
      <c r="E274" s="119"/>
      <c r="F274" s="130"/>
      <c r="G274" s="130"/>
      <c r="H274" s="130"/>
      <c r="I274" s="130"/>
      <c r="J274" s="163"/>
      <c r="K274" s="163"/>
      <c r="L274" s="163"/>
    </row>
    <row r="275" spans="1:12" ht="14.25">
      <c r="A275" s="276" t="s">
        <v>313</v>
      </c>
      <c r="B275" s="277"/>
      <c r="C275" s="277"/>
      <c r="D275" s="277"/>
      <c r="E275" s="278"/>
      <c r="F275" s="131" t="s">
        <v>314</v>
      </c>
      <c r="G275" s="132" t="s">
        <v>315</v>
      </c>
      <c r="H275" s="132" t="s">
        <v>316</v>
      </c>
      <c r="I275" s="133" t="s">
        <v>317</v>
      </c>
      <c r="J275" s="134" t="s">
        <v>318</v>
      </c>
      <c r="K275" s="132" t="s">
        <v>319</v>
      </c>
      <c r="L275" s="135" t="s">
        <v>320</v>
      </c>
    </row>
    <row r="276" spans="1:12" ht="14.25">
      <c r="A276" s="428" t="s">
        <v>336</v>
      </c>
      <c r="B276" s="429"/>
      <c r="C276" s="429"/>
      <c r="D276" s="429"/>
      <c r="E276" s="429"/>
      <c r="F276" s="142">
        <v>37</v>
      </c>
      <c r="G276" s="143">
        <v>38</v>
      </c>
      <c r="H276" s="143">
        <v>36</v>
      </c>
      <c r="I276" s="144">
        <v>35</v>
      </c>
      <c r="J276" s="145" t="e">
        <f t="shared" ref="J276:J285" ca="1" si="57">(1.5*K276-0.5*L276)</f>
        <v>#NAME?</v>
      </c>
      <c r="K276" s="146" t="e">
        <f t="shared" ref="K276:K285" ca="1" si="58">lagrange($K$28,$F$28,$G$28,$H$28,$I$28,F276,G276,H276,I276)</f>
        <v>#NAME?</v>
      </c>
      <c r="L276" s="147" t="e">
        <f t="shared" ref="L276:L285" ca="1" si="59">lagrange($L$28,$F$28,$G$28,$H$28,$I$28,F276,G276,H276,I276)</f>
        <v>#NAME?</v>
      </c>
    </row>
    <row r="277" spans="1:12" ht="14.25">
      <c r="A277" s="432" t="s">
        <v>337</v>
      </c>
      <c r="B277" s="433"/>
      <c r="C277" s="433"/>
      <c r="D277" s="433"/>
      <c r="E277" s="433"/>
      <c r="F277" s="148">
        <v>-39</v>
      </c>
      <c r="G277" s="149">
        <v>-40</v>
      </c>
      <c r="H277" s="149">
        <v>-38</v>
      </c>
      <c r="I277" s="150">
        <v>-36</v>
      </c>
      <c r="J277" s="151" t="e">
        <f t="shared" ca="1" si="57"/>
        <v>#NAME?</v>
      </c>
      <c r="K277" s="152" t="e">
        <f t="shared" ca="1" si="58"/>
        <v>#NAME?</v>
      </c>
      <c r="L277" s="153" t="e">
        <f t="shared" ca="1" si="59"/>
        <v>#NAME?</v>
      </c>
    </row>
    <row r="278" spans="1:12" ht="14.25">
      <c r="A278" s="432" t="s">
        <v>338</v>
      </c>
      <c r="B278" s="433"/>
      <c r="C278" s="433"/>
      <c r="D278" s="433"/>
      <c r="E278" s="433"/>
      <c r="F278" s="148">
        <v>29</v>
      </c>
      <c r="G278" s="149">
        <v>27</v>
      </c>
      <c r="H278" s="149">
        <v>26</v>
      </c>
      <c r="I278" s="150">
        <v>24</v>
      </c>
      <c r="J278" s="151" t="e">
        <f t="shared" ca="1" si="57"/>
        <v>#NAME?</v>
      </c>
      <c r="K278" s="152" t="e">
        <f t="shared" ca="1" si="58"/>
        <v>#NAME?</v>
      </c>
      <c r="L278" s="153" t="e">
        <f t="shared" ca="1" si="59"/>
        <v>#NAME?</v>
      </c>
    </row>
    <row r="279" spans="1:12" ht="14.25">
      <c r="A279" s="432" t="s">
        <v>339</v>
      </c>
      <c r="B279" s="433"/>
      <c r="C279" s="433"/>
      <c r="D279" s="433"/>
      <c r="E279" s="433"/>
      <c r="F279" s="148">
        <v>20</v>
      </c>
      <c r="G279" s="149">
        <v>19</v>
      </c>
      <c r="H279" s="149">
        <v>18</v>
      </c>
      <c r="I279" s="150">
        <v>17</v>
      </c>
      <c r="J279" s="151" t="e">
        <f t="shared" ca="1" si="57"/>
        <v>#NAME?</v>
      </c>
      <c r="K279" s="152" t="e">
        <f t="shared" ca="1" si="58"/>
        <v>#NAME?</v>
      </c>
      <c r="L279" s="153" t="e">
        <f t="shared" ca="1" si="59"/>
        <v>#NAME?</v>
      </c>
    </row>
    <row r="280" spans="1:12" ht="14.25">
      <c r="A280" s="432" t="s">
        <v>340</v>
      </c>
      <c r="B280" s="433"/>
      <c r="C280" s="433"/>
      <c r="D280" s="433"/>
      <c r="E280" s="433"/>
      <c r="F280" s="148">
        <v>-115</v>
      </c>
      <c r="G280" s="149">
        <v>-89</v>
      </c>
      <c r="H280" s="149">
        <v>-74</v>
      </c>
      <c r="I280" s="150">
        <v>-65</v>
      </c>
      <c r="J280" s="151" t="e">
        <f t="shared" ca="1" si="57"/>
        <v>#NAME?</v>
      </c>
      <c r="K280" s="152" t="e">
        <f t="shared" ca="1" si="58"/>
        <v>#NAME?</v>
      </c>
      <c r="L280" s="153" t="e">
        <f t="shared" ca="1" si="59"/>
        <v>#NAME?</v>
      </c>
    </row>
    <row r="281" spans="1:12" ht="14.25">
      <c r="A281" s="432" t="s">
        <v>341</v>
      </c>
      <c r="B281" s="433"/>
      <c r="C281" s="433"/>
      <c r="D281" s="433"/>
      <c r="E281" s="433"/>
      <c r="F281" s="148">
        <v>31</v>
      </c>
      <c r="G281" s="149">
        <v>26</v>
      </c>
      <c r="H281" s="149">
        <v>22</v>
      </c>
      <c r="I281" s="150">
        <v>19</v>
      </c>
      <c r="J281" s="151" t="e">
        <f t="shared" ca="1" si="57"/>
        <v>#NAME?</v>
      </c>
      <c r="K281" s="152" t="e">
        <f t="shared" ca="1" si="58"/>
        <v>#NAME?</v>
      </c>
      <c r="L281" s="153" t="e">
        <f t="shared" ca="1" si="59"/>
        <v>#NAME?</v>
      </c>
    </row>
    <row r="282" spans="1:12" ht="14.25">
      <c r="A282" s="432" t="s">
        <v>342</v>
      </c>
      <c r="B282" s="433"/>
      <c r="C282" s="433"/>
      <c r="D282" s="433"/>
      <c r="E282" s="433"/>
      <c r="F282" s="148">
        <v>228</v>
      </c>
      <c r="G282" s="149">
        <v>183</v>
      </c>
      <c r="H282" s="149">
        <v>152</v>
      </c>
      <c r="I282" s="150">
        <v>132</v>
      </c>
      <c r="J282" s="151" t="e">
        <f t="shared" ca="1" si="57"/>
        <v>#NAME?</v>
      </c>
      <c r="K282" s="152" t="e">
        <f t="shared" ca="1" si="58"/>
        <v>#NAME?</v>
      </c>
      <c r="L282" s="153" t="e">
        <f t="shared" ca="1" si="59"/>
        <v>#NAME?</v>
      </c>
    </row>
    <row r="283" spans="1:12" ht="14.25">
      <c r="A283" s="432" t="s">
        <v>343</v>
      </c>
      <c r="B283" s="433"/>
      <c r="C283" s="433"/>
      <c r="D283" s="433"/>
      <c r="E283" s="433"/>
      <c r="F283" s="148">
        <v>-11</v>
      </c>
      <c r="G283" s="149">
        <v>-9</v>
      </c>
      <c r="H283" s="149">
        <v>-7.6</v>
      </c>
      <c r="I283" s="150">
        <v>-6.5</v>
      </c>
      <c r="J283" s="151" t="e">
        <f t="shared" ca="1" si="57"/>
        <v>#NAME?</v>
      </c>
      <c r="K283" s="152" t="e">
        <f t="shared" ca="1" si="58"/>
        <v>#NAME?</v>
      </c>
      <c r="L283" s="153" t="e">
        <f t="shared" ca="1" si="59"/>
        <v>#NAME?</v>
      </c>
    </row>
    <row r="284" spans="1:12" ht="14.25">
      <c r="A284" s="432" t="s">
        <v>344</v>
      </c>
      <c r="B284" s="433"/>
      <c r="C284" s="433"/>
      <c r="D284" s="433"/>
      <c r="E284" s="433"/>
      <c r="F284" s="148">
        <v>0.82</v>
      </c>
      <c r="G284" s="149">
        <v>0.49</v>
      </c>
      <c r="H284" s="149">
        <v>0.18</v>
      </c>
      <c r="I284" s="150">
        <v>0.03</v>
      </c>
      <c r="J284" s="154" t="e">
        <f t="shared" ca="1" si="57"/>
        <v>#NAME?</v>
      </c>
      <c r="K284" s="155" t="e">
        <f t="shared" ca="1" si="58"/>
        <v>#NAME?</v>
      </c>
      <c r="L284" s="156" t="e">
        <f t="shared" ca="1" si="59"/>
        <v>#NAME?</v>
      </c>
    </row>
    <row r="285" spans="1:12" ht="15" thickBot="1">
      <c r="A285" s="445" t="s">
        <v>345</v>
      </c>
      <c r="B285" s="446"/>
      <c r="C285" s="446"/>
      <c r="D285" s="446"/>
      <c r="E285" s="446"/>
      <c r="F285" s="157">
        <v>43</v>
      </c>
      <c r="G285" s="158">
        <v>29</v>
      </c>
      <c r="H285" s="158">
        <v>24</v>
      </c>
      <c r="I285" s="159">
        <v>22</v>
      </c>
      <c r="J285" s="160" t="e">
        <f t="shared" ca="1" si="57"/>
        <v>#NAME?</v>
      </c>
      <c r="K285" s="161" t="e">
        <f t="shared" ca="1" si="58"/>
        <v>#NAME?</v>
      </c>
      <c r="L285" s="162" t="e">
        <f t="shared" ca="1" si="59"/>
        <v>#NAME?</v>
      </c>
    </row>
    <row r="287" spans="1:12" ht="15.75" thickBot="1">
      <c r="A287" s="164" t="s">
        <v>347</v>
      </c>
      <c r="B287" s="119"/>
      <c r="C287" s="119"/>
      <c r="D287" s="119"/>
      <c r="E287" s="119"/>
      <c r="F287" s="130"/>
      <c r="G287" s="130"/>
      <c r="H287" s="130"/>
      <c r="I287" s="130"/>
      <c r="J287" s="163"/>
      <c r="K287" s="163"/>
      <c r="L287" s="163"/>
    </row>
    <row r="288" spans="1:12" ht="14.25">
      <c r="A288" s="276" t="s">
        <v>313</v>
      </c>
      <c r="B288" s="277"/>
      <c r="C288" s="277"/>
      <c r="D288" s="277"/>
      <c r="E288" s="278"/>
      <c r="F288" s="131" t="s">
        <v>314</v>
      </c>
      <c r="G288" s="132" t="s">
        <v>315</v>
      </c>
      <c r="H288" s="132" t="s">
        <v>316</v>
      </c>
      <c r="I288" s="133" t="s">
        <v>317</v>
      </c>
      <c r="J288" s="134" t="s">
        <v>318</v>
      </c>
      <c r="K288" s="132" t="s">
        <v>319</v>
      </c>
      <c r="L288" s="135" t="s">
        <v>320</v>
      </c>
    </row>
    <row r="289" spans="1:12" ht="14.25">
      <c r="A289" s="428" t="s">
        <v>336</v>
      </c>
      <c r="B289" s="429"/>
      <c r="C289" s="429"/>
      <c r="D289" s="429"/>
      <c r="E289" s="429"/>
      <c r="F289" s="142">
        <v>37</v>
      </c>
      <c r="G289" s="143">
        <v>38</v>
      </c>
      <c r="H289" s="143">
        <v>36</v>
      </c>
      <c r="I289" s="144">
        <v>35</v>
      </c>
      <c r="J289" s="145" t="e">
        <f t="shared" ref="J289:J298" ca="1" si="60">(1.5*K289-0.5*L289)</f>
        <v>#NAME?</v>
      </c>
      <c r="K289" s="146" t="e">
        <f t="shared" ref="K289:K298" ca="1" si="61">lagrange($K$28,$F$28,$G$28,$H$28,$I$28,F289,G289,H289,I289)</f>
        <v>#NAME?</v>
      </c>
      <c r="L289" s="147" t="e">
        <f t="shared" ref="L289:L298" ca="1" si="62">lagrange($L$28,$F$28,$G$28,$H$28,$I$28,F289,G289,H289,I289)</f>
        <v>#NAME?</v>
      </c>
    </row>
    <row r="290" spans="1:12" ht="14.25">
      <c r="A290" s="432" t="s">
        <v>337</v>
      </c>
      <c r="B290" s="433"/>
      <c r="C290" s="433"/>
      <c r="D290" s="433"/>
      <c r="E290" s="433"/>
      <c r="F290" s="148">
        <v>-39</v>
      </c>
      <c r="G290" s="149">
        <v>-40</v>
      </c>
      <c r="H290" s="149">
        <v>-38</v>
      </c>
      <c r="I290" s="150">
        <v>-36</v>
      </c>
      <c r="J290" s="151" t="e">
        <f t="shared" ca="1" si="60"/>
        <v>#NAME?</v>
      </c>
      <c r="K290" s="152" t="e">
        <f t="shared" ca="1" si="61"/>
        <v>#NAME?</v>
      </c>
      <c r="L290" s="153" t="e">
        <f t="shared" ca="1" si="62"/>
        <v>#NAME?</v>
      </c>
    </row>
    <row r="291" spans="1:12" ht="14.25">
      <c r="A291" s="432" t="s">
        <v>338</v>
      </c>
      <c r="B291" s="433"/>
      <c r="C291" s="433"/>
      <c r="D291" s="433"/>
      <c r="E291" s="433"/>
      <c r="F291" s="148">
        <v>29</v>
      </c>
      <c r="G291" s="149">
        <v>27</v>
      </c>
      <c r="H291" s="149">
        <v>26</v>
      </c>
      <c r="I291" s="150">
        <v>24</v>
      </c>
      <c r="J291" s="151" t="e">
        <f t="shared" ca="1" si="60"/>
        <v>#NAME?</v>
      </c>
      <c r="K291" s="152" t="e">
        <f t="shared" ca="1" si="61"/>
        <v>#NAME?</v>
      </c>
      <c r="L291" s="153" t="e">
        <f t="shared" ca="1" si="62"/>
        <v>#NAME?</v>
      </c>
    </row>
    <row r="292" spans="1:12" ht="14.25">
      <c r="A292" s="432" t="s">
        <v>339</v>
      </c>
      <c r="B292" s="433"/>
      <c r="C292" s="433"/>
      <c r="D292" s="433"/>
      <c r="E292" s="433"/>
      <c r="F292" s="148">
        <v>20</v>
      </c>
      <c r="G292" s="149">
        <v>19</v>
      </c>
      <c r="H292" s="149">
        <v>18</v>
      </c>
      <c r="I292" s="150">
        <v>17</v>
      </c>
      <c r="J292" s="151" t="e">
        <f t="shared" ca="1" si="60"/>
        <v>#NAME?</v>
      </c>
      <c r="K292" s="152" t="e">
        <f t="shared" ca="1" si="61"/>
        <v>#NAME?</v>
      </c>
      <c r="L292" s="153" t="e">
        <f t="shared" ca="1" si="62"/>
        <v>#NAME?</v>
      </c>
    </row>
    <row r="293" spans="1:12" ht="14.25">
      <c r="A293" s="432" t="s">
        <v>340</v>
      </c>
      <c r="B293" s="433"/>
      <c r="C293" s="433"/>
      <c r="D293" s="433"/>
      <c r="E293" s="433"/>
      <c r="F293" s="148">
        <v>-115</v>
      </c>
      <c r="G293" s="149">
        <v>-89</v>
      </c>
      <c r="H293" s="149">
        <v>-74</v>
      </c>
      <c r="I293" s="150">
        <v>-65</v>
      </c>
      <c r="J293" s="151" t="e">
        <f t="shared" ca="1" si="60"/>
        <v>#NAME?</v>
      </c>
      <c r="K293" s="152" t="e">
        <f t="shared" ca="1" si="61"/>
        <v>#NAME?</v>
      </c>
      <c r="L293" s="153" t="e">
        <f t="shared" ca="1" si="62"/>
        <v>#NAME?</v>
      </c>
    </row>
    <row r="294" spans="1:12" ht="14.25">
      <c r="A294" s="432" t="s">
        <v>341</v>
      </c>
      <c r="B294" s="433"/>
      <c r="C294" s="433"/>
      <c r="D294" s="433"/>
      <c r="E294" s="433"/>
      <c r="F294" s="148">
        <v>31</v>
      </c>
      <c r="G294" s="149">
        <v>26</v>
      </c>
      <c r="H294" s="149">
        <v>22</v>
      </c>
      <c r="I294" s="150">
        <v>19</v>
      </c>
      <c r="J294" s="151" t="e">
        <f t="shared" ca="1" si="60"/>
        <v>#NAME?</v>
      </c>
      <c r="K294" s="152" t="e">
        <f t="shared" ca="1" si="61"/>
        <v>#NAME?</v>
      </c>
      <c r="L294" s="153" t="e">
        <f t="shared" ca="1" si="62"/>
        <v>#NAME?</v>
      </c>
    </row>
    <row r="295" spans="1:12" ht="14.25">
      <c r="A295" s="432" t="s">
        <v>342</v>
      </c>
      <c r="B295" s="433"/>
      <c r="C295" s="433"/>
      <c r="D295" s="433"/>
      <c r="E295" s="433"/>
      <c r="F295" s="148">
        <v>228</v>
      </c>
      <c r="G295" s="149">
        <v>183</v>
      </c>
      <c r="H295" s="149">
        <v>152</v>
      </c>
      <c r="I295" s="150">
        <v>132</v>
      </c>
      <c r="J295" s="151" t="e">
        <f t="shared" ca="1" si="60"/>
        <v>#NAME?</v>
      </c>
      <c r="K295" s="152" t="e">
        <f t="shared" ca="1" si="61"/>
        <v>#NAME?</v>
      </c>
      <c r="L295" s="153" t="e">
        <f t="shared" ca="1" si="62"/>
        <v>#NAME?</v>
      </c>
    </row>
    <row r="296" spans="1:12" ht="14.25">
      <c r="A296" s="432" t="s">
        <v>343</v>
      </c>
      <c r="B296" s="433"/>
      <c r="C296" s="433"/>
      <c r="D296" s="433"/>
      <c r="E296" s="433"/>
      <c r="F296" s="148">
        <v>-11</v>
      </c>
      <c r="G296" s="149">
        <v>-9</v>
      </c>
      <c r="H296" s="149">
        <v>-7.6</v>
      </c>
      <c r="I296" s="150">
        <v>-6.5</v>
      </c>
      <c r="J296" s="151" t="e">
        <f t="shared" ca="1" si="60"/>
        <v>#NAME?</v>
      </c>
      <c r="K296" s="152" t="e">
        <f t="shared" ca="1" si="61"/>
        <v>#NAME?</v>
      </c>
      <c r="L296" s="153" t="e">
        <f t="shared" ca="1" si="62"/>
        <v>#NAME?</v>
      </c>
    </row>
    <row r="297" spans="1:12" ht="14.25">
      <c r="A297" s="432" t="s">
        <v>344</v>
      </c>
      <c r="B297" s="433"/>
      <c r="C297" s="433"/>
      <c r="D297" s="433"/>
      <c r="E297" s="433"/>
      <c r="F297" s="148">
        <v>0.82</v>
      </c>
      <c r="G297" s="149">
        <v>0.49</v>
      </c>
      <c r="H297" s="149">
        <v>0.18</v>
      </c>
      <c r="I297" s="150">
        <v>0.03</v>
      </c>
      <c r="J297" s="154" t="e">
        <f t="shared" ca="1" si="60"/>
        <v>#NAME?</v>
      </c>
      <c r="K297" s="155" t="e">
        <f t="shared" ca="1" si="61"/>
        <v>#NAME?</v>
      </c>
      <c r="L297" s="156" t="e">
        <f t="shared" ca="1" si="62"/>
        <v>#NAME?</v>
      </c>
    </row>
    <row r="298" spans="1:12" ht="15" thickBot="1">
      <c r="A298" s="445" t="s">
        <v>345</v>
      </c>
      <c r="B298" s="446"/>
      <c r="C298" s="446"/>
      <c r="D298" s="446"/>
      <c r="E298" s="446"/>
      <c r="F298" s="157">
        <v>43</v>
      </c>
      <c r="G298" s="158">
        <v>29</v>
      </c>
      <c r="H298" s="158">
        <v>24</v>
      </c>
      <c r="I298" s="159">
        <v>22</v>
      </c>
      <c r="J298" s="160" t="e">
        <f t="shared" ca="1" si="60"/>
        <v>#NAME?</v>
      </c>
      <c r="K298" s="161" t="e">
        <f t="shared" ca="1" si="61"/>
        <v>#NAME?</v>
      </c>
      <c r="L298" s="162" t="e">
        <f t="shared" ca="1" si="62"/>
        <v>#NAME?</v>
      </c>
    </row>
    <row r="300" spans="1:12" ht="15.75" thickBot="1">
      <c r="A300" s="164" t="s">
        <v>348</v>
      </c>
      <c r="B300" s="119"/>
      <c r="C300" s="119"/>
      <c r="D300" s="119"/>
      <c r="E300" s="119"/>
      <c r="F300" s="130"/>
      <c r="G300" s="130"/>
      <c r="H300" s="130"/>
      <c r="I300" s="130"/>
      <c r="J300" s="163"/>
      <c r="K300" s="163"/>
      <c r="L300" s="163"/>
    </row>
    <row r="301" spans="1:12" ht="14.25">
      <c r="A301" s="276" t="s">
        <v>313</v>
      </c>
      <c r="B301" s="277"/>
      <c r="C301" s="277"/>
      <c r="D301" s="277"/>
      <c r="E301" s="278"/>
      <c r="F301" s="131" t="s">
        <v>314</v>
      </c>
      <c r="G301" s="132" t="s">
        <v>315</v>
      </c>
      <c r="H301" s="132" t="s">
        <v>316</v>
      </c>
      <c r="I301" s="133" t="s">
        <v>317</v>
      </c>
      <c r="J301" s="134" t="s">
        <v>318</v>
      </c>
      <c r="K301" s="132" t="s">
        <v>319</v>
      </c>
      <c r="L301" s="135" t="s">
        <v>320</v>
      </c>
    </row>
    <row r="302" spans="1:12" ht="14.25">
      <c r="A302" s="428" t="s">
        <v>336</v>
      </c>
      <c r="B302" s="429"/>
      <c r="C302" s="429"/>
      <c r="D302" s="429"/>
      <c r="E302" s="429"/>
      <c r="F302" s="142">
        <v>37</v>
      </c>
      <c r="G302" s="143">
        <v>38</v>
      </c>
      <c r="H302" s="143">
        <v>36</v>
      </c>
      <c r="I302" s="144">
        <v>35</v>
      </c>
      <c r="J302" s="145" t="e">
        <f t="shared" ref="J302:J311" ca="1" si="63">(1.5*K302-0.5*L302)</f>
        <v>#NAME?</v>
      </c>
      <c r="K302" s="146" t="e">
        <f t="shared" ref="K302:K311" ca="1" si="64">lagrange($K$28,$F$28,$G$28,$H$28,$I$28,F302,G302,H302,I302)</f>
        <v>#NAME?</v>
      </c>
      <c r="L302" s="147" t="e">
        <f t="shared" ref="L302:L311" ca="1" si="65">lagrange($L$28,$F$28,$G$28,$H$28,$I$28,F302,G302,H302,I302)</f>
        <v>#NAME?</v>
      </c>
    </row>
    <row r="303" spans="1:12" ht="14.25">
      <c r="A303" s="432" t="s">
        <v>337</v>
      </c>
      <c r="B303" s="433"/>
      <c r="C303" s="433"/>
      <c r="D303" s="433"/>
      <c r="E303" s="433"/>
      <c r="F303" s="148">
        <v>-39</v>
      </c>
      <c r="G303" s="149">
        <v>-40</v>
      </c>
      <c r="H303" s="149">
        <v>-38</v>
      </c>
      <c r="I303" s="150">
        <v>-36</v>
      </c>
      <c r="J303" s="151" t="e">
        <f t="shared" ca="1" si="63"/>
        <v>#NAME?</v>
      </c>
      <c r="K303" s="152" t="e">
        <f t="shared" ca="1" si="64"/>
        <v>#NAME?</v>
      </c>
      <c r="L303" s="153" t="e">
        <f t="shared" ca="1" si="65"/>
        <v>#NAME?</v>
      </c>
    </row>
    <row r="304" spans="1:12" ht="14.25">
      <c r="A304" s="432" t="s">
        <v>338</v>
      </c>
      <c r="B304" s="433"/>
      <c r="C304" s="433"/>
      <c r="D304" s="433"/>
      <c r="E304" s="433"/>
      <c r="F304" s="148">
        <v>29</v>
      </c>
      <c r="G304" s="149">
        <v>27</v>
      </c>
      <c r="H304" s="149">
        <v>26</v>
      </c>
      <c r="I304" s="150">
        <v>24</v>
      </c>
      <c r="J304" s="151" t="e">
        <f t="shared" ca="1" si="63"/>
        <v>#NAME?</v>
      </c>
      <c r="K304" s="152" t="e">
        <f t="shared" ca="1" si="64"/>
        <v>#NAME?</v>
      </c>
      <c r="L304" s="153" t="e">
        <f t="shared" ca="1" si="65"/>
        <v>#NAME?</v>
      </c>
    </row>
    <row r="305" spans="1:12" ht="14.25">
      <c r="A305" s="432" t="s">
        <v>339</v>
      </c>
      <c r="B305" s="433"/>
      <c r="C305" s="433"/>
      <c r="D305" s="433"/>
      <c r="E305" s="433"/>
      <c r="F305" s="148">
        <v>20</v>
      </c>
      <c r="G305" s="149">
        <v>19</v>
      </c>
      <c r="H305" s="149">
        <v>18</v>
      </c>
      <c r="I305" s="150">
        <v>17</v>
      </c>
      <c r="J305" s="151" t="e">
        <f t="shared" ca="1" si="63"/>
        <v>#NAME?</v>
      </c>
      <c r="K305" s="152" t="e">
        <f t="shared" ca="1" si="64"/>
        <v>#NAME?</v>
      </c>
      <c r="L305" s="153" t="e">
        <f t="shared" ca="1" si="65"/>
        <v>#NAME?</v>
      </c>
    </row>
    <row r="306" spans="1:12" ht="14.25">
      <c r="A306" s="432" t="s">
        <v>340</v>
      </c>
      <c r="B306" s="433"/>
      <c r="C306" s="433"/>
      <c r="D306" s="433"/>
      <c r="E306" s="433"/>
      <c r="F306" s="148">
        <v>-115</v>
      </c>
      <c r="G306" s="149">
        <v>-89</v>
      </c>
      <c r="H306" s="149">
        <v>-74</v>
      </c>
      <c r="I306" s="150">
        <v>-65</v>
      </c>
      <c r="J306" s="151" t="e">
        <f t="shared" ca="1" si="63"/>
        <v>#NAME?</v>
      </c>
      <c r="K306" s="152" t="e">
        <f t="shared" ca="1" si="64"/>
        <v>#NAME?</v>
      </c>
      <c r="L306" s="153" t="e">
        <f t="shared" ca="1" si="65"/>
        <v>#NAME?</v>
      </c>
    </row>
    <row r="307" spans="1:12" ht="14.25">
      <c r="A307" s="432" t="s">
        <v>341</v>
      </c>
      <c r="B307" s="433"/>
      <c r="C307" s="433"/>
      <c r="D307" s="433"/>
      <c r="E307" s="433"/>
      <c r="F307" s="148">
        <v>31</v>
      </c>
      <c r="G307" s="149">
        <v>26</v>
      </c>
      <c r="H307" s="149">
        <v>22</v>
      </c>
      <c r="I307" s="150">
        <v>19</v>
      </c>
      <c r="J307" s="151" t="e">
        <f t="shared" ca="1" si="63"/>
        <v>#NAME?</v>
      </c>
      <c r="K307" s="152" t="e">
        <f t="shared" ca="1" si="64"/>
        <v>#NAME?</v>
      </c>
      <c r="L307" s="153" t="e">
        <f t="shared" ca="1" si="65"/>
        <v>#NAME?</v>
      </c>
    </row>
    <row r="308" spans="1:12" ht="14.25">
      <c r="A308" s="432" t="s">
        <v>342</v>
      </c>
      <c r="B308" s="433"/>
      <c r="C308" s="433"/>
      <c r="D308" s="433"/>
      <c r="E308" s="433"/>
      <c r="F308" s="148">
        <v>228</v>
      </c>
      <c r="G308" s="149">
        <v>183</v>
      </c>
      <c r="H308" s="149">
        <v>152</v>
      </c>
      <c r="I308" s="150">
        <v>132</v>
      </c>
      <c r="J308" s="151" t="e">
        <f t="shared" ca="1" si="63"/>
        <v>#NAME?</v>
      </c>
      <c r="K308" s="152" t="e">
        <f t="shared" ca="1" si="64"/>
        <v>#NAME?</v>
      </c>
      <c r="L308" s="153" t="e">
        <f t="shared" ca="1" si="65"/>
        <v>#NAME?</v>
      </c>
    </row>
    <row r="309" spans="1:12" ht="14.25">
      <c r="A309" s="432" t="s">
        <v>343</v>
      </c>
      <c r="B309" s="433"/>
      <c r="C309" s="433"/>
      <c r="D309" s="433"/>
      <c r="E309" s="433"/>
      <c r="F309" s="148">
        <v>-11</v>
      </c>
      <c r="G309" s="149">
        <v>-9</v>
      </c>
      <c r="H309" s="149">
        <v>-7.6</v>
      </c>
      <c r="I309" s="150">
        <v>-6.5</v>
      </c>
      <c r="J309" s="151" t="e">
        <f t="shared" ca="1" si="63"/>
        <v>#NAME?</v>
      </c>
      <c r="K309" s="152" t="e">
        <f t="shared" ca="1" si="64"/>
        <v>#NAME?</v>
      </c>
      <c r="L309" s="153" t="e">
        <f t="shared" ca="1" si="65"/>
        <v>#NAME?</v>
      </c>
    </row>
    <row r="310" spans="1:12" ht="14.25">
      <c r="A310" s="432" t="s">
        <v>344</v>
      </c>
      <c r="B310" s="433"/>
      <c r="C310" s="433"/>
      <c r="D310" s="433"/>
      <c r="E310" s="433"/>
      <c r="F310" s="148">
        <v>0.82</v>
      </c>
      <c r="G310" s="149">
        <v>0.49</v>
      </c>
      <c r="H310" s="149">
        <v>0.18</v>
      </c>
      <c r="I310" s="150">
        <v>0.03</v>
      </c>
      <c r="J310" s="154" t="e">
        <f t="shared" ca="1" si="63"/>
        <v>#NAME?</v>
      </c>
      <c r="K310" s="155" t="e">
        <f t="shared" ca="1" si="64"/>
        <v>#NAME?</v>
      </c>
      <c r="L310" s="156" t="e">
        <f t="shared" ca="1" si="65"/>
        <v>#NAME?</v>
      </c>
    </row>
    <row r="311" spans="1:12" ht="15" thickBot="1">
      <c r="A311" s="445" t="s">
        <v>345</v>
      </c>
      <c r="B311" s="446"/>
      <c r="C311" s="446"/>
      <c r="D311" s="446"/>
      <c r="E311" s="446"/>
      <c r="F311" s="157">
        <v>43</v>
      </c>
      <c r="G311" s="158">
        <v>29</v>
      </c>
      <c r="H311" s="158">
        <v>24</v>
      </c>
      <c r="I311" s="159">
        <v>22</v>
      </c>
      <c r="J311" s="160" t="e">
        <f t="shared" ca="1" si="63"/>
        <v>#NAME?</v>
      </c>
      <c r="K311" s="161" t="e">
        <f t="shared" ca="1" si="64"/>
        <v>#NAME?</v>
      </c>
      <c r="L311" s="162" t="e">
        <f t="shared" ca="1" si="65"/>
        <v>#NAME?</v>
      </c>
    </row>
    <row r="313" spans="1:12" ht="15.75" thickBot="1">
      <c r="A313" s="164" t="s">
        <v>349</v>
      </c>
      <c r="B313" s="119"/>
      <c r="C313" s="119"/>
      <c r="D313" s="119"/>
      <c r="E313" s="119"/>
      <c r="F313" s="130"/>
      <c r="G313" s="130"/>
      <c r="H313" s="130"/>
      <c r="I313" s="130"/>
      <c r="J313" s="163"/>
      <c r="K313" s="163"/>
      <c r="L313" s="163"/>
    </row>
    <row r="314" spans="1:12" ht="14.25">
      <c r="A314" s="276" t="s">
        <v>313</v>
      </c>
      <c r="B314" s="277"/>
      <c r="C314" s="277"/>
      <c r="D314" s="277"/>
      <c r="E314" s="278"/>
      <c r="F314" s="131" t="s">
        <v>314</v>
      </c>
      <c r="G314" s="132" t="s">
        <v>315</v>
      </c>
      <c r="H314" s="132" t="s">
        <v>316</v>
      </c>
      <c r="I314" s="133" t="s">
        <v>317</v>
      </c>
      <c r="J314" s="134" t="s">
        <v>318</v>
      </c>
      <c r="K314" s="132" t="s">
        <v>319</v>
      </c>
      <c r="L314" s="135" t="s">
        <v>320</v>
      </c>
    </row>
    <row r="315" spans="1:12" ht="14.25">
      <c r="A315" s="428" t="s">
        <v>336</v>
      </c>
      <c r="B315" s="429"/>
      <c r="C315" s="429"/>
      <c r="D315" s="429"/>
      <c r="E315" s="429"/>
      <c r="F315" s="142">
        <v>37</v>
      </c>
      <c r="G315" s="143">
        <v>38</v>
      </c>
      <c r="H315" s="143">
        <v>36</v>
      </c>
      <c r="I315" s="144">
        <v>35</v>
      </c>
      <c r="J315" s="145" t="e">
        <f t="shared" ref="J315:J324" ca="1" si="66">(1.5*K315-0.5*L315)</f>
        <v>#NAME?</v>
      </c>
      <c r="K315" s="146" t="e">
        <f t="shared" ref="K315:K324" ca="1" si="67">lagrange($K$28,$F$28,$G$28,$H$28,$I$28,F315,G315,H315,I315)</f>
        <v>#NAME?</v>
      </c>
      <c r="L315" s="147" t="e">
        <f t="shared" ref="L315:L324" ca="1" si="68">lagrange($L$28,$F$28,$G$28,$H$28,$I$28,F315,G315,H315,I315)</f>
        <v>#NAME?</v>
      </c>
    </row>
    <row r="316" spans="1:12" ht="14.25">
      <c r="A316" s="432" t="s">
        <v>337</v>
      </c>
      <c r="B316" s="433"/>
      <c r="C316" s="433"/>
      <c r="D316" s="433"/>
      <c r="E316" s="433"/>
      <c r="F316" s="148">
        <v>-39</v>
      </c>
      <c r="G316" s="149">
        <v>-40</v>
      </c>
      <c r="H316" s="149">
        <v>-38</v>
      </c>
      <c r="I316" s="150">
        <v>-36</v>
      </c>
      <c r="J316" s="151" t="e">
        <f t="shared" ca="1" si="66"/>
        <v>#NAME?</v>
      </c>
      <c r="K316" s="152" t="e">
        <f t="shared" ca="1" si="67"/>
        <v>#NAME?</v>
      </c>
      <c r="L316" s="153" t="e">
        <f t="shared" ca="1" si="68"/>
        <v>#NAME?</v>
      </c>
    </row>
    <row r="317" spans="1:12" ht="14.25">
      <c r="A317" s="432" t="s">
        <v>338</v>
      </c>
      <c r="B317" s="433"/>
      <c r="C317" s="433"/>
      <c r="D317" s="433"/>
      <c r="E317" s="433"/>
      <c r="F317" s="148">
        <v>29</v>
      </c>
      <c r="G317" s="149">
        <v>27</v>
      </c>
      <c r="H317" s="149">
        <v>26</v>
      </c>
      <c r="I317" s="150">
        <v>24</v>
      </c>
      <c r="J317" s="151" t="e">
        <f t="shared" ca="1" si="66"/>
        <v>#NAME?</v>
      </c>
      <c r="K317" s="152" t="e">
        <f t="shared" ca="1" si="67"/>
        <v>#NAME?</v>
      </c>
      <c r="L317" s="153" t="e">
        <f t="shared" ca="1" si="68"/>
        <v>#NAME?</v>
      </c>
    </row>
    <row r="318" spans="1:12" ht="14.25">
      <c r="A318" s="432" t="s">
        <v>339</v>
      </c>
      <c r="B318" s="433"/>
      <c r="C318" s="433"/>
      <c r="D318" s="433"/>
      <c r="E318" s="433"/>
      <c r="F318" s="148">
        <v>20</v>
      </c>
      <c r="G318" s="149">
        <v>19</v>
      </c>
      <c r="H318" s="149">
        <v>18</v>
      </c>
      <c r="I318" s="150">
        <v>17</v>
      </c>
      <c r="J318" s="151" t="e">
        <f t="shared" ca="1" si="66"/>
        <v>#NAME?</v>
      </c>
      <c r="K318" s="152" t="e">
        <f t="shared" ca="1" si="67"/>
        <v>#NAME?</v>
      </c>
      <c r="L318" s="153" t="e">
        <f t="shared" ca="1" si="68"/>
        <v>#NAME?</v>
      </c>
    </row>
    <row r="319" spans="1:12" ht="14.25">
      <c r="A319" s="432" t="s">
        <v>340</v>
      </c>
      <c r="B319" s="433"/>
      <c r="C319" s="433"/>
      <c r="D319" s="433"/>
      <c r="E319" s="433"/>
      <c r="F319" s="148">
        <v>-115</v>
      </c>
      <c r="G319" s="149">
        <v>-89</v>
      </c>
      <c r="H319" s="149">
        <v>-74</v>
      </c>
      <c r="I319" s="150">
        <v>-65</v>
      </c>
      <c r="J319" s="151" t="e">
        <f t="shared" ca="1" si="66"/>
        <v>#NAME?</v>
      </c>
      <c r="K319" s="152" t="e">
        <f t="shared" ca="1" si="67"/>
        <v>#NAME?</v>
      </c>
      <c r="L319" s="153" t="e">
        <f t="shared" ca="1" si="68"/>
        <v>#NAME?</v>
      </c>
    </row>
    <row r="320" spans="1:12" ht="14.25">
      <c r="A320" s="432" t="s">
        <v>341</v>
      </c>
      <c r="B320" s="433"/>
      <c r="C320" s="433"/>
      <c r="D320" s="433"/>
      <c r="E320" s="433"/>
      <c r="F320" s="148">
        <v>31</v>
      </c>
      <c r="G320" s="149">
        <v>26</v>
      </c>
      <c r="H320" s="149">
        <v>22</v>
      </c>
      <c r="I320" s="150">
        <v>19</v>
      </c>
      <c r="J320" s="151" t="e">
        <f t="shared" ca="1" si="66"/>
        <v>#NAME?</v>
      </c>
      <c r="K320" s="152" t="e">
        <f t="shared" ca="1" si="67"/>
        <v>#NAME?</v>
      </c>
      <c r="L320" s="153" t="e">
        <f t="shared" ca="1" si="68"/>
        <v>#NAME?</v>
      </c>
    </row>
    <row r="321" spans="1:12" ht="14.25">
      <c r="A321" s="432" t="s">
        <v>342</v>
      </c>
      <c r="B321" s="433"/>
      <c r="C321" s="433"/>
      <c r="D321" s="433"/>
      <c r="E321" s="433"/>
      <c r="F321" s="148">
        <v>228</v>
      </c>
      <c r="G321" s="149">
        <v>183</v>
      </c>
      <c r="H321" s="149">
        <v>152</v>
      </c>
      <c r="I321" s="150">
        <v>132</v>
      </c>
      <c r="J321" s="151" t="e">
        <f t="shared" ca="1" si="66"/>
        <v>#NAME?</v>
      </c>
      <c r="K321" s="152" t="e">
        <f t="shared" ca="1" si="67"/>
        <v>#NAME?</v>
      </c>
      <c r="L321" s="153" t="e">
        <f t="shared" ca="1" si="68"/>
        <v>#NAME?</v>
      </c>
    </row>
    <row r="322" spans="1:12" ht="14.25">
      <c r="A322" s="432" t="s">
        <v>343</v>
      </c>
      <c r="B322" s="433"/>
      <c r="C322" s="433"/>
      <c r="D322" s="433"/>
      <c r="E322" s="433"/>
      <c r="F322" s="148">
        <v>-11</v>
      </c>
      <c r="G322" s="149">
        <v>-9</v>
      </c>
      <c r="H322" s="149">
        <v>-7.6</v>
      </c>
      <c r="I322" s="150">
        <v>-6.5</v>
      </c>
      <c r="J322" s="151" t="e">
        <f t="shared" ca="1" si="66"/>
        <v>#NAME?</v>
      </c>
      <c r="K322" s="152" t="e">
        <f t="shared" ca="1" si="67"/>
        <v>#NAME?</v>
      </c>
      <c r="L322" s="153" t="e">
        <f t="shared" ca="1" si="68"/>
        <v>#NAME?</v>
      </c>
    </row>
    <row r="323" spans="1:12" ht="14.25">
      <c r="A323" s="432" t="s">
        <v>344</v>
      </c>
      <c r="B323" s="433"/>
      <c r="C323" s="433"/>
      <c r="D323" s="433"/>
      <c r="E323" s="433"/>
      <c r="F323" s="148">
        <v>0.82</v>
      </c>
      <c r="G323" s="149">
        <v>0.49</v>
      </c>
      <c r="H323" s="149">
        <v>0.18</v>
      </c>
      <c r="I323" s="150">
        <v>0.03</v>
      </c>
      <c r="J323" s="154" t="e">
        <f t="shared" ca="1" si="66"/>
        <v>#NAME?</v>
      </c>
      <c r="K323" s="155" t="e">
        <f t="shared" ca="1" si="67"/>
        <v>#NAME?</v>
      </c>
      <c r="L323" s="156" t="e">
        <f t="shared" ca="1" si="68"/>
        <v>#NAME?</v>
      </c>
    </row>
    <row r="324" spans="1:12" ht="15" thickBot="1">
      <c r="A324" s="445" t="s">
        <v>345</v>
      </c>
      <c r="B324" s="446"/>
      <c r="C324" s="446"/>
      <c r="D324" s="446"/>
      <c r="E324" s="446"/>
      <c r="F324" s="157">
        <v>43</v>
      </c>
      <c r="G324" s="158">
        <v>29</v>
      </c>
      <c r="H324" s="158">
        <v>24</v>
      </c>
      <c r="I324" s="159">
        <v>22</v>
      </c>
      <c r="J324" s="160" t="e">
        <f t="shared" ca="1" si="66"/>
        <v>#NAME?</v>
      </c>
      <c r="K324" s="161" t="e">
        <f t="shared" ca="1" si="67"/>
        <v>#NAME?</v>
      </c>
      <c r="L324" s="162" t="e">
        <f t="shared" ca="1" si="68"/>
        <v>#NAME?</v>
      </c>
    </row>
    <row r="326" spans="1:12" ht="15.75" thickBot="1">
      <c r="A326" s="164" t="s">
        <v>350</v>
      </c>
      <c r="B326" s="119"/>
      <c r="C326" s="119"/>
      <c r="D326" s="119"/>
      <c r="E326" s="119"/>
      <c r="F326" s="130"/>
      <c r="G326" s="130"/>
      <c r="H326" s="130"/>
      <c r="I326" s="130"/>
      <c r="J326" s="163"/>
      <c r="K326" s="163"/>
      <c r="L326" s="163"/>
    </row>
    <row r="327" spans="1:12" ht="14.25">
      <c r="A327" s="276" t="s">
        <v>313</v>
      </c>
      <c r="B327" s="277"/>
      <c r="C327" s="277"/>
      <c r="D327" s="277"/>
      <c r="E327" s="278"/>
      <c r="F327" s="131" t="s">
        <v>314</v>
      </c>
      <c r="G327" s="132" t="s">
        <v>315</v>
      </c>
      <c r="H327" s="132" t="s">
        <v>316</v>
      </c>
      <c r="I327" s="133" t="s">
        <v>317</v>
      </c>
      <c r="J327" s="134" t="s">
        <v>318</v>
      </c>
      <c r="K327" s="132" t="s">
        <v>319</v>
      </c>
      <c r="L327" s="135" t="s">
        <v>320</v>
      </c>
    </row>
    <row r="328" spans="1:12" ht="14.25">
      <c r="A328" s="428" t="s">
        <v>336</v>
      </c>
      <c r="B328" s="429"/>
      <c r="C328" s="429"/>
      <c r="D328" s="429"/>
      <c r="E328" s="429"/>
      <c r="F328" s="142">
        <v>37</v>
      </c>
      <c r="G328" s="143">
        <v>38</v>
      </c>
      <c r="H328" s="143">
        <v>36</v>
      </c>
      <c r="I328" s="144">
        <v>35</v>
      </c>
      <c r="J328" s="145" t="e">
        <f t="shared" ref="J328:J337" ca="1" si="69">(1.5*K328-0.5*L328)</f>
        <v>#NAME?</v>
      </c>
      <c r="K328" s="146" t="e">
        <f t="shared" ref="K328:K337" ca="1" si="70">lagrange($K$28,$F$28,$G$28,$H$28,$I$28,F328,G328,H328,I328)</f>
        <v>#NAME?</v>
      </c>
      <c r="L328" s="147" t="e">
        <f t="shared" ref="L328:L337" ca="1" si="71">lagrange($L$28,$F$28,$G$28,$H$28,$I$28,F328,G328,H328,I328)</f>
        <v>#NAME?</v>
      </c>
    </row>
    <row r="329" spans="1:12" ht="14.25">
      <c r="A329" s="432" t="s">
        <v>337</v>
      </c>
      <c r="B329" s="433"/>
      <c r="C329" s="433"/>
      <c r="D329" s="433"/>
      <c r="E329" s="433"/>
      <c r="F329" s="148">
        <v>-39</v>
      </c>
      <c r="G329" s="149">
        <v>-40</v>
      </c>
      <c r="H329" s="149">
        <v>-38</v>
      </c>
      <c r="I329" s="150">
        <v>-36</v>
      </c>
      <c r="J329" s="151" t="e">
        <f t="shared" ca="1" si="69"/>
        <v>#NAME?</v>
      </c>
      <c r="K329" s="152" t="e">
        <f t="shared" ca="1" si="70"/>
        <v>#NAME?</v>
      </c>
      <c r="L329" s="153" t="e">
        <f t="shared" ca="1" si="71"/>
        <v>#NAME?</v>
      </c>
    </row>
    <row r="330" spans="1:12" ht="14.25">
      <c r="A330" s="432" t="s">
        <v>338</v>
      </c>
      <c r="B330" s="433"/>
      <c r="C330" s="433"/>
      <c r="D330" s="433"/>
      <c r="E330" s="433"/>
      <c r="F330" s="148">
        <v>29</v>
      </c>
      <c r="G330" s="149">
        <v>27</v>
      </c>
      <c r="H330" s="149">
        <v>26</v>
      </c>
      <c r="I330" s="150">
        <v>24</v>
      </c>
      <c r="J330" s="151" t="e">
        <f t="shared" ca="1" si="69"/>
        <v>#NAME?</v>
      </c>
      <c r="K330" s="152" t="e">
        <f t="shared" ca="1" si="70"/>
        <v>#NAME?</v>
      </c>
      <c r="L330" s="153" t="e">
        <f t="shared" ca="1" si="71"/>
        <v>#NAME?</v>
      </c>
    </row>
    <row r="331" spans="1:12" ht="14.25">
      <c r="A331" s="432" t="s">
        <v>339</v>
      </c>
      <c r="B331" s="433"/>
      <c r="C331" s="433"/>
      <c r="D331" s="433"/>
      <c r="E331" s="433"/>
      <c r="F331" s="148">
        <v>20</v>
      </c>
      <c r="G331" s="149">
        <v>19</v>
      </c>
      <c r="H331" s="149">
        <v>18</v>
      </c>
      <c r="I331" s="150">
        <v>17</v>
      </c>
      <c r="J331" s="151" t="e">
        <f t="shared" ca="1" si="69"/>
        <v>#NAME?</v>
      </c>
      <c r="K331" s="152" t="e">
        <f t="shared" ca="1" si="70"/>
        <v>#NAME?</v>
      </c>
      <c r="L331" s="153" t="e">
        <f t="shared" ca="1" si="71"/>
        <v>#NAME?</v>
      </c>
    </row>
    <row r="332" spans="1:12" ht="14.25">
      <c r="A332" s="432" t="s">
        <v>340</v>
      </c>
      <c r="B332" s="433"/>
      <c r="C332" s="433"/>
      <c r="D332" s="433"/>
      <c r="E332" s="433"/>
      <c r="F332" s="148">
        <v>-115</v>
      </c>
      <c r="G332" s="149">
        <v>-89</v>
      </c>
      <c r="H332" s="149">
        <v>-74</v>
      </c>
      <c r="I332" s="150">
        <v>-65</v>
      </c>
      <c r="J332" s="151" t="e">
        <f t="shared" ca="1" si="69"/>
        <v>#NAME?</v>
      </c>
      <c r="K332" s="152" t="e">
        <f t="shared" ca="1" si="70"/>
        <v>#NAME?</v>
      </c>
      <c r="L332" s="153" t="e">
        <f t="shared" ca="1" si="71"/>
        <v>#NAME?</v>
      </c>
    </row>
    <row r="333" spans="1:12" ht="14.25">
      <c r="A333" s="432" t="s">
        <v>341</v>
      </c>
      <c r="B333" s="433"/>
      <c r="C333" s="433"/>
      <c r="D333" s="433"/>
      <c r="E333" s="433"/>
      <c r="F333" s="148">
        <v>31</v>
      </c>
      <c r="G333" s="149">
        <v>26</v>
      </c>
      <c r="H333" s="149">
        <v>22</v>
      </c>
      <c r="I333" s="150">
        <v>19</v>
      </c>
      <c r="J333" s="151" t="e">
        <f t="shared" ca="1" si="69"/>
        <v>#NAME?</v>
      </c>
      <c r="K333" s="152" t="e">
        <f t="shared" ca="1" si="70"/>
        <v>#NAME?</v>
      </c>
      <c r="L333" s="153" t="e">
        <f t="shared" ca="1" si="71"/>
        <v>#NAME?</v>
      </c>
    </row>
    <row r="334" spans="1:12" ht="14.25">
      <c r="A334" s="432" t="s">
        <v>342</v>
      </c>
      <c r="B334" s="433"/>
      <c r="C334" s="433"/>
      <c r="D334" s="433"/>
      <c r="E334" s="433"/>
      <c r="F334" s="148">
        <v>228</v>
      </c>
      <c r="G334" s="149">
        <v>183</v>
      </c>
      <c r="H334" s="149">
        <v>152</v>
      </c>
      <c r="I334" s="150">
        <v>132</v>
      </c>
      <c r="J334" s="151" t="e">
        <f t="shared" ca="1" si="69"/>
        <v>#NAME?</v>
      </c>
      <c r="K334" s="152" t="e">
        <f t="shared" ca="1" si="70"/>
        <v>#NAME?</v>
      </c>
      <c r="L334" s="153" t="e">
        <f t="shared" ca="1" si="71"/>
        <v>#NAME?</v>
      </c>
    </row>
    <row r="335" spans="1:12" ht="14.25">
      <c r="A335" s="432" t="s">
        <v>343</v>
      </c>
      <c r="B335" s="433"/>
      <c r="C335" s="433"/>
      <c r="D335" s="433"/>
      <c r="E335" s="433"/>
      <c r="F335" s="148">
        <v>-11</v>
      </c>
      <c r="G335" s="149">
        <v>-9</v>
      </c>
      <c r="H335" s="149">
        <v>-7.6</v>
      </c>
      <c r="I335" s="150">
        <v>-6.5</v>
      </c>
      <c r="J335" s="151" t="e">
        <f t="shared" ca="1" si="69"/>
        <v>#NAME?</v>
      </c>
      <c r="K335" s="152" t="e">
        <f t="shared" ca="1" si="70"/>
        <v>#NAME?</v>
      </c>
      <c r="L335" s="153" t="e">
        <f t="shared" ca="1" si="71"/>
        <v>#NAME?</v>
      </c>
    </row>
    <row r="336" spans="1:12" ht="14.25">
      <c r="A336" s="432" t="s">
        <v>344</v>
      </c>
      <c r="B336" s="433"/>
      <c r="C336" s="433"/>
      <c r="D336" s="433"/>
      <c r="E336" s="433"/>
      <c r="F336" s="148">
        <v>0.82</v>
      </c>
      <c r="G336" s="149">
        <v>0.49</v>
      </c>
      <c r="H336" s="149">
        <v>0.18</v>
      </c>
      <c r="I336" s="150">
        <v>0.03</v>
      </c>
      <c r="J336" s="154" t="e">
        <f t="shared" ca="1" si="69"/>
        <v>#NAME?</v>
      </c>
      <c r="K336" s="155" t="e">
        <f t="shared" ca="1" si="70"/>
        <v>#NAME?</v>
      </c>
      <c r="L336" s="156" t="e">
        <f t="shared" ca="1" si="71"/>
        <v>#NAME?</v>
      </c>
    </row>
    <row r="337" spans="1:12" ht="15" thickBot="1">
      <c r="A337" s="445" t="s">
        <v>345</v>
      </c>
      <c r="B337" s="446"/>
      <c r="C337" s="446"/>
      <c r="D337" s="446"/>
      <c r="E337" s="446"/>
      <c r="F337" s="157">
        <v>43</v>
      </c>
      <c r="G337" s="158">
        <v>29</v>
      </c>
      <c r="H337" s="158">
        <v>24</v>
      </c>
      <c r="I337" s="159">
        <v>22</v>
      </c>
      <c r="J337" s="160" t="e">
        <f t="shared" ca="1" si="69"/>
        <v>#NAME?</v>
      </c>
      <c r="K337" s="161" t="e">
        <f t="shared" ca="1" si="70"/>
        <v>#NAME?</v>
      </c>
      <c r="L337" s="162" t="e">
        <f t="shared" ca="1" si="71"/>
        <v>#NAME?</v>
      </c>
    </row>
  </sheetData>
  <mergeCells count="264">
    <mergeCell ref="A44:E44"/>
    <mergeCell ref="A36:E36"/>
    <mergeCell ref="A27:E28"/>
    <mergeCell ref="A42:E42"/>
    <mergeCell ref="A43:E43"/>
    <mergeCell ref="A29:E29"/>
    <mergeCell ref="A30:E30"/>
    <mergeCell ref="A31:E31"/>
    <mergeCell ref="A32:E32"/>
    <mergeCell ref="A37:E37"/>
    <mergeCell ref="A38:E38"/>
    <mergeCell ref="A33:E33"/>
    <mergeCell ref="A34:E34"/>
    <mergeCell ref="A35:E35"/>
    <mergeCell ref="A55:E55"/>
    <mergeCell ref="A56:E56"/>
    <mergeCell ref="A57:E57"/>
    <mergeCell ref="A58:E58"/>
    <mergeCell ref="A49:E49"/>
    <mergeCell ref="A50:E50"/>
    <mergeCell ref="A51:E51"/>
    <mergeCell ref="A54:E54"/>
    <mergeCell ref="A45:E45"/>
    <mergeCell ref="A46:E46"/>
    <mergeCell ref="A47:E47"/>
    <mergeCell ref="A48:E48"/>
    <mergeCell ref="A69:E69"/>
    <mergeCell ref="A70:E70"/>
    <mergeCell ref="A71:E71"/>
    <mergeCell ref="A72:E72"/>
    <mergeCell ref="A63:E63"/>
    <mergeCell ref="A64:E64"/>
    <mergeCell ref="A67:E67"/>
    <mergeCell ref="A68:E68"/>
    <mergeCell ref="A59:E59"/>
    <mergeCell ref="A60:E60"/>
    <mergeCell ref="A61:E61"/>
    <mergeCell ref="A62:E62"/>
    <mergeCell ref="A83:E83"/>
    <mergeCell ref="A84:E84"/>
    <mergeCell ref="A85:E85"/>
    <mergeCell ref="A86:E86"/>
    <mergeCell ref="A77:E77"/>
    <mergeCell ref="A80:E80"/>
    <mergeCell ref="A81:E81"/>
    <mergeCell ref="A82:E82"/>
    <mergeCell ref="A73:E73"/>
    <mergeCell ref="A74:E74"/>
    <mergeCell ref="A75:E75"/>
    <mergeCell ref="A76:E76"/>
    <mergeCell ref="A97:E97"/>
    <mergeCell ref="A98:E98"/>
    <mergeCell ref="A99:E99"/>
    <mergeCell ref="A100:E100"/>
    <mergeCell ref="A93:E93"/>
    <mergeCell ref="A94:E94"/>
    <mergeCell ref="A95:E95"/>
    <mergeCell ref="A96:E96"/>
    <mergeCell ref="A87:E87"/>
    <mergeCell ref="A88:E88"/>
    <mergeCell ref="A89:E89"/>
    <mergeCell ref="A90:E90"/>
    <mergeCell ref="A111:E111"/>
    <mergeCell ref="A112:E112"/>
    <mergeCell ref="A113:E113"/>
    <mergeCell ref="A114:E114"/>
    <mergeCell ref="A107:E107"/>
    <mergeCell ref="A108:E108"/>
    <mergeCell ref="A109:E109"/>
    <mergeCell ref="A110:E110"/>
    <mergeCell ref="A101:E101"/>
    <mergeCell ref="A102:E102"/>
    <mergeCell ref="A103:E103"/>
    <mergeCell ref="A106:E106"/>
    <mergeCell ref="A125:E125"/>
    <mergeCell ref="A126:E126"/>
    <mergeCell ref="A127:E127"/>
    <mergeCell ref="A128:E128"/>
    <mergeCell ref="A121:E121"/>
    <mergeCell ref="A122:E122"/>
    <mergeCell ref="A123:E123"/>
    <mergeCell ref="A124:E124"/>
    <mergeCell ref="A115:E115"/>
    <mergeCell ref="A116:E116"/>
    <mergeCell ref="A119:E119"/>
    <mergeCell ref="A120:E120"/>
    <mergeCell ref="A139:E139"/>
    <mergeCell ref="A140:E140"/>
    <mergeCell ref="A141:E141"/>
    <mergeCell ref="A142:E142"/>
    <mergeCell ref="A135:E135"/>
    <mergeCell ref="A136:E136"/>
    <mergeCell ref="A137:E137"/>
    <mergeCell ref="A138:E138"/>
    <mergeCell ref="A129:E129"/>
    <mergeCell ref="A132:E132"/>
    <mergeCell ref="A133:E133"/>
    <mergeCell ref="A134:E134"/>
    <mergeCell ref="A153:E153"/>
    <mergeCell ref="A154:E154"/>
    <mergeCell ref="A155:E155"/>
    <mergeCell ref="A158:E158"/>
    <mergeCell ref="A149:E149"/>
    <mergeCell ref="A150:E150"/>
    <mergeCell ref="A151:E151"/>
    <mergeCell ref="A152:E152"/>
    <mergeCell ref="A145:E145"/>
    <mergeCell ref="A146:E146"/>
    <mergeCell ref="A147:E147"/>
    <mergeCell ref="A148:E148"/>
    <mergeCell ref="A167:E167"/>
    <mergeCell ref="A168:E168"/>
    <mergeCell ref="A171:E171"/>
    <mergeCell ref="A172:E172"/>
    <mergeCell ref="A163:E163"/>
    <mergeCell ref="A164:E164"/>
    <mergeCell ref="A165:E165"/>
    <mergeCell ref="A166:E166"/>
    <mergeCell ref="A159:E159"/>
    <mergeCell ref="A160:E160"/>
    <mergeCell ref="A161:E161"/>
    <mergeCell ref="A162:E162"/>
    <mergeCell ref="A181:E181"/>
    <mergeCell ref="A184:E184"/>
    <mergeCell ref="A185:E185"/>
    <mergeCell ref="A186:E186"/>
    <mergeCell ref="A177:E177"/>
    <mergeCell ref="A178:E178"/>
    <mergeCell ref="A179:E179"/>
    <mergeCell ref="A180:E180"/>
    <mergeCell ref="A173:E173"/>
    <mergeCell ref="A174:E174"/>
    <mergeCell ref="A175:E175"/>
    <mergeCell ref="A176:E176"/>
    <mergeCell ref="A197:E197"/>
    <mergeCell ref="A198:E198"/>
    <mergeCell ref="A199:E199"/>
    <mergeCell ref="A200:E200"/>
    <mergeCell ref="A191:E191"/>
    <mergeCell ref="A192:E192"/>
    <mergeCell ref="A193:E193"/>
    <mergeCell ref="A194:E194"/>
    <mergeCell ref="A187:E187"/>
    <mergeCell ref="A188:E188"/>
    <mergeCell ref="A189:E189"/>
    <mergeCell ref="A190:E190"/>
    <mergeCell ref="A211:E211"/>
    <mergeCell ref="A212:E212"/>
    <mergeCell ref="A213:E213"/>
    <mergeCell ref="A214:E214"/>
    <mergeCell ref="A205:E205"/>
    <mergeCell ref="A206:E206"/>
    <mergeCell ref="A207:E207"/>
    <mergeCell ref="A210:E210"/>
    <mergeCell ref="A201:E201"/>
    <mergeCell ref="A202:E202"/>
    <mergeCell ref="A203:E203"/>
    <mergeCell ref="A204:E204"/>
    <mergeCell ref="A225:E225"/>
    <mergeCell ref="A226:E226"/>
    <mergeCell ref="A227:E227"/>
    <mergeCell ref="A228:E228"/>
    <mergeCell ref="A219:E219"/>
    <mergeCell ref="A220:E220"/>
    <mergeCell ref="A223:E223"/>
    <mergeCell ref="A224:E224"/>
    <mergeCell ref="A215:E215"/>
    <mergeCell ref="A216:E216"/>
    <mergeCell ref="A217:E217"/>
    <mergeCell ref="A218:E218"/>
    <mergeCell ref="A239:E239"/>
    <mergeCell ref="A240:E240"/>
    <mergeCell ref="A241:E241"/>
    <mergeCell ref="A242:E242"/>
    <mergeCell ref="A233:E233"/>
    <mergeCell ref="A236:E236"/>
    <mergeCell ref="A237:E237"/>
    <mergeCell ref="A238:E238"/>
    <mergeCell ref="A229:E229"/>
    <mergeCell ref="A230:E230"/>
    <mergeCell ref="A231:E231"/>
    <mergeCell ref="A232:E232"/>
    <mergeCell ref="A253:E253"/>
    <mergeCell ref="A254:E254"/>
    <mergeCell ref="A255:E255"/>
    <mergeCell ref="A256:E256"/>
    <mergeCell ref="A249:E249"/>
    <mergeCell ref="A250:E250"/>
    <mergeCell ref="A251:E251"/>
    <mergeCell ref="A252:E252"/>
    <mergeCell ref="A243:E243"/>
    <mergeCell ref="A244:E244"/>
    <mergeCell ref="A245:E245"/>
    <mergeCell ref="A246:E246"/>
    <mergeCell ref="A267:E267"/>
    <mergeCell ref="A268:E268"/>
    <mergeCell ref="A269:E269"/>
    <mergeCell ref="A270:E270"/>
    <mergeCell ref="A263:E263"/>
    <mergeCell ref="A264:E264"/>
    <mergeCell ref="A265:E265"/>
    <mergeCell ref="A266:E266"/>
    <mergeCell ref="A257:E257"/>
    <mergeCell ref="A258:E258"/>
    <mergeCell ref="A259:E259"/>
    <mergeCell ref="A262:E262"/>
    <mergeCell ref="A281:E281"/>
    <mergeCell ref="A282:E282"/>
    <mergeCell ref="A283:E283"/>
    <mergeCell ref="A284:E284"/>
    <mergeCell ref="A277:E277"/>
    <mergeCell ref="A278:E278"/>
    <mergeCell ref="A279:E279"/>
    <mergeCell ref="A280:E280"/>
    <mergeCell ref="A271:E271"/>
    <mergeCell ref="A272:E272"/>
    <mergeCell ref="A275:E275"/>
    <mergeCell ref="A276:E276"/>
    <mergeCell ref="A295:E295"/>
    <mergeCell ref="A296:E296"/>
    <mergeCell ref="A297:E297"/>
    <mergeCell ref="A298:E298"/>
    <mergeCell ref="A291:E291"/>
    <mergeCell ref="A292:E292"/>
    <mergeCell ref="A293:E293"/>
    <mergeCell ref="A294:E294"/>
    <mergeCell ref="A285:E285"/>
    <mergeCell ref="A288:E288"/>
    <mergeCell ref="A289:E289"/>
    <mergeCell ref="A290:E290"/>
    <mergeCell ref="A311:E311"/>
    <mergeCell ref="A314:E314"/>
    <mergeCell ref="A305:E305"/>
    <mergeCell ref="A306:E306"/>
    <mergeCell ref="A307:E307"/>
    <mergeCell ref="A308:E308"/>
    <mergeCell ref="A301:E301"/>
    <mergeCell ref="A302:E302"/>
    <mergeCell ref="A303:E303"/>
    <mergeCell ref="A304:E304"/>
    <mergeCell ref="A336:E336"/>
    <mergeCell ref="A337:E337"/>
    <mergeCell ref="A41:E41"/>
    <mergeCell ref="A332:E332"/>
    <mergeCell ref="A333:E333"/>
    <mergeCell ref="A334:E334"/>
    <mergeCell ref="A335:E335"/>
    <mergeCell ref="A328:E328"/>
    <mergeCell ref="A329:E329"/>
    <mergeCell ref="A330:E330"/>
    <mergeCell ref="A319:E319"/>
    <mergeCell ref="A320:E320"/>
    <mergeCell ref="A321:E321"/>
    <mergeCell ref="A331:E331"/>
    <mergeCell ref="A322:E322"/>
    <mergeCell ref="A323:E323"/>
    <mergeCell ref="A324:E324"/>
    <mergeCell ref="A327:E327"/>
    <mergeCell ref="A315:E315"/>
    <mergeCell ref="A316:E316"/>
    <mergeCell ref="A317:E317"/>
    <mergeCell ref="A318:E318"/>
    <mergeCell ref="A309:E309"/>
    <mergeCell ref="A310:E310"/>
  </mergeCells>
  <phoneticPr fontId="3" type="noConversion"/>
  <pageMargins left="0.74803149606299213" right="0.43307086614173229" top="0.78740157480314965" bottom="0.51181102362204722" header="0.51181102362204722" footer="0.27559055118110237"/>
  <pageSetup paperSize="9" orientation="landscape" horizontalDpi="4294967293" verticalDpi="4294967293" r:id="rId1"/>
  <headerFooter alignWithMargins="0"/>
  <rowBreaks count="12" manualBreakCount="12">
    <brk id="25" max="16383" man="1"/>
    <brk id="52" max="16383" man="1"/>
    <brk id="78" max="16383" man="1"/>
    <brk id="104" max="16383" man="1"/>
    <brk id="130" max="16383" man="1"/>
    <brk id="156" max="16383" man="1"/>
    <brk id="182" max="16383" man="1"/>
    <brk id="208" max="16383" man="1"/>
    <brk id="234" max="16383" man="1"/>
    <brk id="260" max="16383" man="1"/>
    <brk id="286" max="16383" man="1"/>
    <brk id="312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31455-C67D-4A03-8906-D0A8B9F59449}">
  <sheetPr codeName="Sheet5"/>
  <dimension ref="A1:N132"/>
  <sheetViews>
    <sheetView showGridLines="0" topLeftCell="A21" workbookViewId="0">
      <selection activeCell="C39" sqref="C39:D39"/>
    </sheetView>
  </sheetViews>
  <sheetFormatPr defaultColWidth="10.83203125" defaultRowHeight="12.75"/>
  <cols>
    <col min="1" max="1" width="5.33203125" customWidth="1"/>
  </cols>
  <sheetData>
    <row r="1" spans="2:13" ht="25.5">
      <c r="B1" s="42" t="s">
        <v>361</v>
      </c>
    </row>
    <row r="2" spans="2:13">
      <c r="B2" s="115"/>
    </row>
    <row r="3" spans="2:13" ht="14.25">
      <c r="B3" s="80" t="s">
        <v>362</v>
      </c>
    </row>
    <row r="4" spans="2:13">
      <c r="B4" t="s">
        <v>363</v>
      </c>
      <c r="E4" s="19" t="s">
        <v>364</v>
      </c>
      <c r="F4" s="165">
        <v>169.459</v>
      </c>
      <c r="G4" s="19" t="s">
        <v>365</v>
      </c>
      <c r="K4" s="26"/>
    </row>
    <row r="5" spans="2:13">
      <c r="B5" t="s">
        <v>366</v>
      </c>
      <c r="E5" s="19" t="s">
        <v>367</v>
      </c>
      <c r="F5" s="165">
        <v>32</v>
      </c>
      <c r="G5" s="19" t="s">
        <v>365</v>
      </c>
    </row>
    <row r="6" spans="2:13">
      <c r="B6" t="s">
        <v>368</v>
      </c>
      <c r="E6" s="19" t="s">
        <v>255</v>
      </c>
      <c r="F6" s="165">
        <v>16.2</v>
      </c>
      <c r="G6" s="19" t="s">
        <v>365</v>
      </c>
      <c r="H6" s="73"/>
      <c r="I6" s="19"/>
    </row>
    <row r="7" spans="2:13">
      <c r="B7" t="s">
        <v>369</v>
      </c>
      <c r="E7" s="19" t="s">
        <v>370</v>
      </c>
      <c r="F7" s="165">
        <v>0.83</v>
      </c>
      <c r="G7" s="19"/>
      <c r="H7" s="73"/>
      <c r="I7" s="19"/>
    </row>
    <row r="8" spans="2:13">
      <c r="B8" t="s">
        <v>371</v>
      </c>
      <c r="E8" s="19" t="s">
        <v>372</v>
      </c>
      <c r="F8" s="165">
        <v>9.5</v>
      </c>
      <c r="G8" s="19" t="s">
        <v>365</v>
      </c>
      <c r="H8" s="73"/>
      <c r="I8" s="19"/>
    </row>
    <row r="9" spans="2:13">
      <c r="B9" t="s">
        <v>373</v>
      </c>
      <c r="E9" s="19" t="s">
        <v>374</v>
      </c>
      <c r="F9" s="165">
        <v>6.8150000000000004</v>
      </c>
      <c r="G9" s="19" t="s">
        <v>365</v>
      </c>
      <c r="H9" s="73"/>
      <c r="I9" s="19"/>
    </row>
    <row r="10" spans="2:13">
      <c r="B10" t="s">
        <v>375</v>
      </c>
      <c r="E10" s="19" t="s">
        <v>376</v>
      </c>
      <c r="F10" s="55">
        <f>10.75-((300-F4)/100)^1.5</f>
        <v>9.258509804279484</v>
      </c>
      <c r="H10" s="73"/>
      <c r="I10" s="19"/>
    </row>
    <row r="11" spans="2:13">
      <c r="B11" t="s">
        <v>377</v>
      </c>
      <c r="E11" s="19" t="s">
        <v>378</v>
      </c>
      <c r="F11" s="55">
        <f>2.21-0.54*LOG10(F4)</f>
        <v>1.0063050948054448</v>
      </c>
      <c r="H11" s="73"/>
      <c r="I11" s="19"/>
    </row>
    <row r="12" spans="2:13">
      <c r="F12" s="21"/>
      <c r="G12" s="19"/>
      <c r="H12" s="73"/>
      <c r="I12" s="19"/>
    </row>
    <row r="13" spans="2:13" ht="15.75">
      <c r="B13" s="81" t="s">
        <v>379</v>
      </c>
      <c r="F13" s="21"/>
      <c r="G13" s="19"/>
      <c r="H13" s="73"/>
      <c r="I13" s="19"/>
    </row>
    <row r="14" spans="2:13">
      <c r="B14" t="s">
        <v>380</v>
      </c>
      <c r="C14" s="19"/>
      <c r="L14" s="21"/>
      <c r="M14" s="19"/>
    </row>
    <row r="15" spans="2:13">
      <c r="B15" s="22" t="s">
        <v>381</v>
      </c>
      <c r="C15" s="22" t="s">
        <v>382</v>
      </c>
      <c r="D15" s="22" t="s">
        <v>383</v>
      </c>
    </row>
    <row r="16" spans="2:13">
      <c r="B16" s="166">
        <v>30.1</v>
      </c>
      <c r="C16" s="166">
        <v>11.84</v>
      </c>
      <c r="D16" s="166">
        <v>5.7069999999999999</v>
      </c>
      <c r="L16" s="21"/>
    </row>
    <row r="17" spans="2:12">
      <c r="L17" s="21"/>
    </row>
    <row r="18" spans="2:12">
      <c r="B18" t="s">
        <v>384</v>
      </c>
      <c r="C18" s="19"/>
      <c r="D18" s="19"/>
      <c r="E18" s="19"/>
    </row>
    <row r="19" spans="2:12">
      <c r="B19" s="22" t="s">
        <v>385</v>
      </c>
      <c r="C19" s="22" t="s">
        <v>386</v>
      </c>
      <c r="D19" s="22" t="s">
        <v>387</v>
      </c>
      <c r="E19" s="22" t="s">
        <v>388</v>
      </c>
      <c r="F19" s="22" t="s">
        <v>389</v>
      </c>
      <c r="G19" s="31" t="s">
        <v>390</v>
      </c>
      <c r="H19" s="31" t="s">
        <v>391</v>
      </c>
      <c r="I19" s="31" t="s">
        <v>392</v>
      </c>
    </row>
    <row r="20" spans="2:12">
      <c r="B20" s="53">
        <v>27</v>
      </c>
      <c r="C20" s="53">
        <v>-29</v>
      </c>
      <c r="D20" s="22">
        <f>ABS(B20)+ABS(C20)</f>
        <v>56</v>
      </c>
      <c r="E20" s="53">
        <f>28.5*2</f>
        <v>57</v>
      </c>
      <c r="F20" s="53">
        <f>21*2</f>
        <v>42</v>
      </c>
      <c r="G20" s="22">
        <v>0.1</v>
      </c>
      <c r="H20" s="24">
        <f>SQRT(D20^2+E20^2-2*G20*D20*E20)</f>
        <v>75.806332189336274</v>
      </c>
      <c r="I20" s="24">
        <f>SQRT(D20^2+F20^2-2*G20*D20*F20)</f>
        <v>66.555240214426391</v>
      </c>
    </row>
    <row r="22" spans="2:12">
      <c r="B22" t="s">
        <v>393</v>
      </c>
      <c r="C22" s="19"/>
      <c r="D22" s="19"/>
      <c r="E22" s="19"/>
      <c r="F22" s="19"/>
      <c r="G22" s="19"/>
      <c r="H22" s="19"/>
      <c r="I22" s="19"/>
      <c r="J22" s="19"/>
    </row>
    <row r="23" spans="2:12">
      <c r="B23" s="28"/>
      <c r="C23" s="301" t="s">
        <v>394</v>
      </c>
      <c r="D23" s="301"/>
      <c r="E23" s="301" t="s">
        <v>395</v>
      </c>
      <c r="F23" s="301"/>
    </row>
    <row r="24" spans="2:12">
      <c r="B24" s="22" t="s">
        <v>396</v>
      </c>
      <c r="C24" s="297">
        <f>F8</f>
        <v>9.5</v>
      </c>
      <c r="D24" s="302"/>
      <c r="E24" s="297">
        <f>F9</f>
        <v>6.8150000000000004</v>
      </c>
      <c r="F24" s="302"/>
    </row>
    <row r="25" spans="2:12">
      <c r="B25" s="31" t="s">
        <v>397</v>
      </c>
      <c r="C25" s="53">
        <v>45</v>
      </c>
      <c r="D25" s="53">
        <v>696</v>
      </c>
      <c r="E25" s="53">
        <v>-9</v>
      </c>
      <c r="F25" s="53">
        <v>-2</v>
      </c>
    </row>
    <row r="26" spans="2:12">
      <c r="B26" s="31" t="s">
        <v>398</v>
      </c>
      <c r="C26" s="300">
        <f>0.5-MIN($D$16,C24)/(10*C24)+ABS($B$16)/(4*$F$4)+ABS($C$16)/(4*$F$5)-ABS($B$16)*MIN($D$16,C24)/(5*$F$4*C24)</f>
        <v>0.55549127079644478</v>
      </c>
      <c r="D26" s="298"/>
      <c r="E26" s="300">
        <f>0.5-MIN($D$16,E24)/(10*E24)+ABS($B$16)/(4*$F$4)+ABS($C$16)/(4*$F$5)-ABS($B$16)*MIN($D$16,E24)/(5*$F$4*E24)</f>
        <v>0.52341517311768615</v>
      </c>
      <c r="F26" s="298"/>
    </row>
    <row r="27" spans="2:12">
      <c r="B27" s="22" t="s">
        <v>399</v>
      </c>
      <c r="C27" s="303">
        <v>50</v>
      </c>
      <c r="D27" s="304"/>
      <c r="E27" s="303">
        <f>SQRT(E25^2+F25^2+2*E26*E25*F25)</f>
        <v>10.190335923424541</v>
      </c>
      <c r="F27" s="304"/>
    </row>
    <row r="28" spans="2:12">
      <c r="B28" s="49"/>
      <c r="C28" s="44"/>
      <c r="D28" s="44"/>
      <c r="E28" s="44"/>
      <c r="F28" s="44"/>
    </row>
    <row r="29" spans="2:12">
      <c r="B29" t="s">
        <v>400</v>
      </c>
      <c r="C29" s="47"/>
      <c r="D29" s="47"/>
      <c r="E29" s="47"/>
      <c r="F29" s="47"/>
    </row>
    <row r="30" spans="2:12">
      <c r="B30" s="22" t="s">
        <v>401</v>
      </c>
      <c r="C30" s="305">
        <v>0.8</v>
      </c>
      <c r="D30" s="306"/>
      <c r="E30" s="305">
        <v>0.8</v>
      </c>
      <c r="F30" s="306"/>
    </row>
    <row r="31" spans="2:12">
      <c r="B31" s="31" t="s">
        <v>402</v>
      </c>
      <c r="C31" s="303">
        <f>C30*MAX($H$20+0.6*C27,0.6*$H$20+C27)</f>
        <v>84.645065751469019</v>
      </c>
      <c r="D31" s="304"/>
      <c r="E31" s="303">
        <f>E30*MAX($I$20+0.6*E27,0.6*$HI20+E27)</f>
        <v>58.135553414784901</v>
      </c>
      <c r="F31" s="304"/>
    </row>
    <row r="32" spans="2:12">
      <c r="B32" s="43"/>
      <c r="C32" s="44"/>
      <c r="D32" s="44"/>
      <c r="E32" s="44"/>
      <c r="F32" s="44"/>
    </row>
    <row r="33" spans="2:14">
      <c r="B33" s="30" t="s">
        <v>403</v>
      </c>
    </row>
    <row r="34" spans="2:14">
      <c r="B34" s="31" t="s">
        <v>404</v>
      </c>
      <c r="C34" s="313">
        <v>169</v>
      </c>
      <c r="D34" s="314"/>
      <c r="E34" s="313">
        <v>12</v>
      </c>
      <c r="F34" s="314"/>
    </row>
    <row r="35" spans="2:14">
      <c r="B35" s="22" t="s">
        <v>405</v>
      </c>
      <c r="C35" s="300">
        <f>IF(C34&lt;=-C31/2,0.7,IF(C34&gt;=C31/2,1,interp(-C31/2,C34,C31/2,0.7,1)))</f>
        <v>1</v>
      </c>
      <c r="D35" s="298"/>
      <c r="E35" s="300" t="e">
        <f ca="1">IF(E34&lt;=-E31/2,0.7,IF(E34&gt;=E31/2,1,interp(-E31/2,E34,E31/2,0.7,1)))</f>
        <v>#NAME?</v>
      </c>
      <c r="F35" s="298"/>
    </row>
    <row r="36" spans="2:14">
      <c r="B36" s="31" t="s">
        <v>406</v>
      </c>
      <c r="C36" s="303">
        <f>C35*C31</f>
        <v>84.645065751469019</v>
      </c>
      <c r="D36" s="304"/>
      <c r="E36" s="303" t="e">
        <f ca="1">E35*E31</f>
        <v>#NAME?</v>
      </c>
      <c r="F36" s="304"/>
    </row>
    <row r="38" spans="2:14" ht="15.75">
      <c r="B38" s="50" t="s">
        <v>407</v>
      </c>
      <c r="C38" s="47"/>
      <c r="D38" s="47"/>
      <c r="E38" s="47"/>
      <c r="F38" s="47"/>
    </row>
    <row r="39" spans="2:14">
      <c r="B39" s="22" t="s">
        <v>408</v>
      </c>
      <c r="C39" s="307">
        <v>1.5</v>
      </c>
      <c r="D39" s="308"/>
      <c r="E39" s="307">
        <v>1.5</v>
      </c>
      <c r="F39" s="308"/>
    </row>
    <row r="40" spans="2:14">
      <c r="B40" s="31" t="s">
        <v>409</v>
      </c>
      <c r="C40" s="303">
        <f>C39*C36</f>
        <v>126.96759862720353</v>
      </c>
      <c r="D40" s="304"/>
      <c r="E40" s="303" t="e">
        <f ca="1">E39*E36</f>
        <v>#NAME?</v>
      </c>
      <c r="F40" s="304"/>
      <c r="K40" s="214"/>
      <c r="L40" s="214"/>
    </row>
    <row r="41" spans="2:14">
      <c r="K41" s="214"/>
      <c r="L41" s="214"/>
    </row>
    <row r="42" spans="2:14">
      <c r="K42" s="214"/>
      <c r="L42" s="214"/>
    </row>
    <row r="43" spans="2:14">
      <c r="B43" s="45"/>
      <c r="C43" s="46"/>
      <c r="D43" s="46"/>
      <c r="K43" s="214"/>
      <c r="L43" s="214"/>
    </row>
    <row r="44" spans="2:14" ht="15.75">
      <c r="B44" s="82" t="s">
        <v>410</v>
      </c>
      <c r="K44" s="214"/>
      <c r="L44" s="214"/>
    </row>
    <row r="45" spans="2:14">
      <c r="K45" s="214"/>
      <c r="L45" s="214"/>
      <c r="N45" s="27"/>
    </row>
    <row r="46" spans="2:14">
      <c r="B46" t="s">
        <v>411</v>
      </c>
      <c r="F46" s="166">
        <v>20</v>
      </c>
      <c r="K46" s="214"/>
      <c r="L46" s="214"/>
      <c r="N46" s="27"/>
    </row>
    <row r="47" spans="2:14">
      <c r="B47" t="s">
        <v>412</v>
      </c>
      <c r="F47" s="109">
        <f>F46*365*24*3600</f>
        <v>630720000</v>
      </c>
    </row>
    <row r="48" spans="2:14">
      <c r="B48" t="s">
        <v>413</v>
      </c>
      <c r="F48" s="23">
        <f>1/(4*LOG(F4))</f>
        <v>0.11215466595181754</v>
      </c>
      <c r="H48" s="30"/>
    </row>
    <row r="49" spans="2:14">
      <c r="B49" t="s">
        <v>414</v>
      </c>
      <c r="F49" s="110">
        <f>F48*F47</f>
        <v>70738190.909130365</v>
      </c>
      <c r="H49" s="30"/>
      <c r="N49" s="27"/>
    </row>
    <row r="50" spans="2:14" ht="18" customHeight="1">
      <c r="B50" t="s">
        <v>415</v>
      </c>
      <c r="F50" s="107">
        <v>4</v>
      </c>
      <c r="H50" s="30"/>
      <c r="N50" s="27"/>
    </row>
    <row r="51" spans="2:14" ht="20.100000000000001" customHeight="1">
      <c r="B51" s="20" t="s">
        <v>416</v>
      </c>
      <c r="F51">
        <v>31</v>
      </c>
      <c r="N51" s="27"/>
    </row>
    <row r="52" spans="2:14" ht="12.75" customHeight="1">
      <c r="B52" s="20" t="s">
        <v>417</v>
      </c>
      <c r="F52" s="29">
        <v>14</v>
      </c>
      <c r="N52" s="27"/>
    </row>
    <row r="53" spans="2:14" ht="13.5" thickBot="1">
      <c r="B53" s="48"/>
      <c r="N53" s="27"/>
    </row>
    <row r="54" spans="2:14">
      <c r="B54" s="91"/>
      <c r="C54" s="309" t="s">
        <v>418</v>
      </c>
      <c r="D54" s="310"/>
      <c r="E54" s="310"/>
      <c r="F54" s="311"/>
      <c r="G54" s="322" t="s">
        <v>419</v>
      </c>
      <c r="H54" s="323"/>
      <c r="I54" s="19"/>
      <c r="J54" s="19"/>
    </row>
    <row r="55" spans="2:14">
      <c r="B55" s="93" t="s">
        <v>420</v>
      </c>
      <c r="C55" s="295" t="s">
        <v>421</v>
      </c>
      <c r="D55" s="302"/>
      <c r="E55" s="297" t="s">
        <v>395</v>
      </c>
      <c r="F55" s="296"/>
      <c r="G55" s="87" t="s">
        <v>421</v>
      </c>
      <c r="H55" s="88" t="s">
        <v>395</v>
      </c>
    </row>
    <row r="56" spans="2:14">
      <c r="B56" s="93" t="s">
        <v>422</v>
      </c>
      <c r="C56" s="293">
        <v>0.45</v>
      </c>
      <c r="D56" s="302"/>
      <c r="E56" s="300">
        <v>0.4</v>
      </c>
      <c r="F56" s="294"/>
      <c r="G56" s="87">
        <v>0.45</v>
      </c>
      <c r="H56" s="88">
        <v>0.4</v>
      </c>
    </row>
    <row r="57" spans="2:14">
      <c r="B57" s="93" t="s">
        <v>423</v>
      </c>
      <c r="C57" s="293">
        <f>F11+0.05</f>
        <v>1.0563050948054449</v>
      </c>
      <c r="D57" s="298"/>
      <c r="E57" s="300">
        <f>F11+0.05</f>
        <v>1.0563050948054449</v>
      </c>
      <c r="F57" s="294"/>
      <c r="G57" s="92">
        <f>C57</f>
        <v>1.0563050948054449</v>
      </c>
      <c r="H57" s="89">
        <f>E57</f>
        <v>1.0563050948054449</v>
      </c>
    </row>
    <row r="58" spans="2:14">
      <c r="B58" s="93" t="s">
        <v>424</v>
      </c>
      <c r="C58" s="289">
        <f>C40/(LN(10^4))^(1/C57)</f>
        <v>15.517323037717759</v>
      </c>
      <c r="D58" s="299"/>
      <c r="E58" s="315" t="e">
        <f ca="1">E40/(LN(10^4))^(1/E57)</f>
        <v>#NAME?</v>
      </c>
      <c r="F58" s="290"/>
      <c r="G58" s="86">
        <f>C58</f>
        <v>15.517323037717759</v>
      </c>
      <c r="H58" s="98" t="e">
        <f ca="1">E58</f>
        <v>#NAME?</v>
      </c>
    </row>
    <row r="59" spans="2:14">
      <c r="B59" s="93" t="s">
        <v>14</v>
      </c>
      <c r="C59" s="101">
        <f>VLOOKUP(F51,DesignSN!A71:M172,6,FALSE)</f>
        <v>3</v>
      </c>
      <c r="D59" s="29">
        <f>VLOOKUP(F51,DesignSN!A71:M172,9,FALSE)</f>
        <v>5</v>
      </c>
      <c r="E59" s="29">
        <f>C59</f>
        <v>3</v>
      </c>
      <c r="F59" s="98">
        <f>D59</f>
        <v>5</v>
      </c>
      <c r="G59" s="289">
        <f>C59</f>
        <v>3</v>
      </c>
      <c r="H59" s="290"/>
    </row>
    <row r="60" spans="2:14">
      <c r="B60" s="93" t="s">
        <v>425</v>
      </c>
      <c r="C60" s="108">
        <f>VLOOKUP(F51,DesignSN!A71:M172,5,FALSE)-2*VLOOKUP(F51,DesignSN!A71:M172,10,FALSE)-IF(F52&lt;25,0,C59/4*LOG(F52/25))</f>
        <v>12.91339</v>
      </c>
      <c r="D60" s="77">
        <f>D59*(C60-LOG(VLOOKUP(F51,DesignSN!A71:M172,11,FALSE)))/C59+LOG(VLOOKUP(F51,DesignSN!A71:M172,11,FALSE))-IF(F52&lt;25,0,D59/4*LOG(F52/25))</f>
        <v>17.056336663775987</v>
      </c>
      <c r="E60" s="77">
        <f>C60</f>
        <v>12.91339</v>
      </c>
      <c r="F60" s="100">
        <f>D60</f>
        <v>17.056336663775987</v>
      </c>
      <c r="G60" s="291">
        <f>C60</f>
        <v>12.91339</v>
      </c>
      <c r="H60" s="292"/>
    </row>
    <row r="61" spans="2:14">
      <c r="B61" s="93" t="s">
        <v>426</v>
      </c>
      <c r="C61" s="101">
        <f>10^((C60-7)/C59)</f>
        <v>93.568571670983474</v>
      </c>
      <c r="D61" s="29">
        <f>10^((D60-7)/D59)</f>
        <v>102.62834672308166</v>
      </c>
      <c r="E61" s="29">
        <f>10^((E60-7)/E59)</f>
        <v>93.568571670983474</v>
      </c>
      <c r="F61" s="98">
        <f>10^((F60-7)/F59)</f>
        <v>102.62834672308166</v>
      </c>
      <c r="G61" s="295" t="s">
        <v>63</v>
      </c>
      <c r="H61" s="296"/>
    </row>
    <row r="62" spans="2:14">
      <c r="B62" s="93" t="s">
        <v>427</v>
      </c>
      <c r="C62" s="92">
        <f>(C61/C58)^C57</f>
        <v>6.6718889226996838</v>
      </c>
      <c r="D62" s="23">
        <f>(D61/C58)^C57</f>
        <v>7.3560737786182973</v>
      </c>
      <c r="E62" s="23" t="e">
        <f ca="1">(E61/E58)^E57</f>
        <v>#NAME?</v>
      </c>
      <c r="F62" s="89" t="e">
        <f ca="1">(F61/E58)^E57</f>
        <v>#NAME?</v>
      </c>
      <c r="G62" s="295" t="s">
        <v>63</v>
      </c>
      <c r="H62" s="296"/>
    </row>
    <row r="63" spans="2:14">
      <c r="B63" s="94" t="s">
        <v>428</v>
      </c>
      <c r="C63" s="92">
        <f>1+C59/C57</f>
        <v>3.8400885452063012</v>
      </c>
      <c r="D63" s="23">
        <f>1+D59/C57</f>
        <v>5.7334809086771683</v>
      </c>
      <c r="E63" s="23">
        <f>1+E59/E57</f>
        <v>3.8400885452063012</v>
      </c>
      <c r="F63" s="89">
        <f>1+F59/E57</f>
        <v>5.7334809086771683</v>
      </c>
      <c r="G63" s="295" t="s">
        <v>63</v>
      </c>
      <c r="H63" s="296"/>
    </row>
    <row r="64" spans="2:14">
      <c r="B64" s="94" t="s">
        <v>429</v>
      </c>
      <c r="C64" s="196">
        <f>EXP(GAMMALN(1+C59/$C$57))</f>
        <v>4.926242786938964</v>
      </c>
      <c r="D64" s="23">
        <f>EXP(GAMMALN(1+D59/C57))</f>
        <v>76.655759068380661</v>
      </c>
      <c r="E64" s="23">
        <f>EXP(GAMMALN(1+E59/E57))</f>
        <v>4.926242786938964</v>
      </c>
      <c r="F64" s="89">
        <f>EXP(GAMMALN(1+F59/E57))</f>
        <v>76.655759068380661</v>
      </c>
      <c r="G64" s="293">
        <f>EXP(GAMMALN(1+G59/$C$57))</f>
        <v>4.926242786938964</v>
      </c>
      <c r="H64" s="294"/>
    </row>
    <row r="65" spans="2:11">
      <c r="B65" s="94" t="s">
        <v>430</v>
      </c>
      <c r="C65" s="92">
        <f>GAMMADIST(C62,C63,1,TRUE)*EXP(GAMMALN(C63))</f>
        <v>4.4939091588436755</v>
      </c>
      <c r="D65" s="23">
        <f>GAMMADIST(D62,D63,1,TRUE)*EXP(GAMMALN(D63))</f>
        <v>59.498132953180587</v>
      </c>
      <c r="E65" s="23" t="e">
        <f ca="1">GAMMADIST(E62,E63,1,TRUE)*EXP(GAMMALN(E63))</f>
        <v>#NAME?</v>
      </c>
      <c r="F65" s="89" t="e">
        <f ca="1">GAMMADIST(F62,F63,1,TRUE)*EXP(GAMMALN(F63))</f>
        <v>#NAME?</v>
      </c>
      <c r="G65" s="295" t="s">
        <v>63</v>
      </c>
      <c r="H65" s="296"/>
      <c r="K65" s="48"/>
    </row>
    <row r="66" spans="2:11">
      <c r="B66" s="94" t="s">
        <v>431</v>
      </c>
      <c r="C66" s="92">
        <f>EXP(GAMMALN(C63))-C65</f>
        <v>0.43233362809528852</v>
      </c>
      <c r="D66" s="23">
        <f>EXP(GAMMALN(D63))-D65</f>
        <v>17.157626115200074</v>
      </c>
      <c r="E66" s="23" t="e">
        <f ca="1">EXP(GAMMALN(E63))-E65</f>
        <v>#NAME?</v>
      </c>
      <c r="F66" s="89" t="e">
        <f ca="1">EXP(GAMMALN(F63))-F65</f>
        <v>#NAME?</v>
      </c>
      <c r="G66" s="295" t="s">
        <v>63</v>
      </c>
      <c r="H66" s="296"/>
    </row>
    <row r="67" spans="2:11" ht="14.25">
      <c r="B67" s="95" t="s">
        <v>432</v>
      </c>
      <c r="C67" s="92">
        <f>$F$49*C56*(C58^C59/10^C60)*C66</f>
        <v>6.276909744073942E-3</v>
      </c>
      <c r="D67" s="23">
        <f>$F$49*C56*(C58^D59/10^D60)*D65</f>
        <v>1.4966392933201915E-2</v>
      </c>
      <c r="E67" s="23" t="e">
        <f ca="1">$F$49*E56*(E58^E59/10^E60)*E66</f>
        <v>#NAME?</v>
      </c>
      <c r="F67" s="89" t="e">
        <f ca="1">$F$49*E56*(E58^F59/10^F60)*F65</f>
        <v>#NAME?</v>
      </c>
      <c r="G67" s="295" t="s">
        <v>63</v>
      </c>
      <c r="H67" s="296"/>
    </row>
    <row r="68" spans="2:11" ht="14.25">
      <c r="B68" s="95" t="s">
        <v>433</v>
      </c>
      <c r="C68" s="293">
        <f>C67+D67</f>
        <v>2.1243302677275859E-2</v>
      </c>
      <c r="D68" s="298"/>
      <c r="E68" s="300" t="e">
        <f ca="1">E67+F67</f>
        <v>#NAME?</v>
      </c>
      <c r="F68" s="294"/>
      <c r="G68" s="92">
        <f>$F$49*G56*(G58^G59/10^G60)*G64</f>
        <v>7.1522498694447809E-2</v>
      </c>
      <c r="H68" s="89" t="e">
        <f ca="1">$F$49*H56*(H58^G59/10^G60)*G64</f>
        <v>#NAME?</v>
      </c>
    </row>
    <row r="69" spans="2:11" ht="14.25">
      <c r="B69" s="95" t="s">
        <v>434</v>
      </c>
      <c r="C69" s="319" t="e">
        <f ca="1">C68+E68</f>
        <v>#NAME?</v>
      </c>
      <c r="D69" s="320"/>
      <c r="E69" s="320"/>
      <c r="F69" s="321"/>
      <c r="G69" s="285" t="e">
        <f ca="1">G68+H68</f>
        <v>#NAME?</v>
      </c>
      <c r="H69" s="286"/>
    </row>
    <row r="70" spans="2:11" ht="13.5" thickBot="1">
      <c r="B70" s="96" t="s">
        <v>435</v>
      </c>
      <c r="C70" s="316" t="e">
        <f ca="1">F46/C69</f>
        <v>#NAME?</v>
      </c>
      <c r="D70" s="317"/>
      <c r="E70" s="317"/>
      <c r="F70" s="318"/>
      <c r="G70" s="287" t="e">
        <f ca="1">F46/G69</f>
        <v>#NAME?</v>
      </c>
      <c r="H70" s="288"/>
    </row>
    <row r="72" spans="2:11">
      <c r="C72" s="76"/>
    </row>
    <row r="73" spans="2:11">
      <c r="B73" s="111" t="s">
        <v>415</v>
      </c>
      <c r="C73" s="85"/>
    </row>
    <row r="75" spans="2:11">
      <c r="B75" t="s">
        <v>436</v>
      </c>
    </row>
    <row r="76" spans="2:11" ht="12.75" customHeight="1">
      <c r="B76" s="114" t="s">
        <v>437</v>
      </c>
      <c r="F76" s="312"/>
      <c r="G76" s="312"/>
      <c r="H76" s="312"/>
    </row>
    <row r="77" spans="2:11">
      <c r="B77" t="s">
        <v>438</v>
      </c>
    </row>
    <row r="78" spans="2:11">
      <c r="B78" t="s">
        <v>439</v>
      </c>
    </row>
    <row r="80" spans="2:11">
      <c r="B80" t="s">
        <v>440</v>
      </c>
    </row>
    <row r="85" spans="1:6" ht="15.75">
      <c r="A85" s="81" t="s">
        <v>441</v>
      </c>
    </row>
    <row r="87" spans="1:6" ht="15.75">
      <c r="B87" s="81" t="s">
        <v>442</v>
      </c>
      <c r="D87" s="19"/>
    </row>
    <row r="88" spans="1:6">
      <c r="D88" s="19"/>
      <c r="E88" s="22" t="s">
        <v>382</v>
      </c>
      <c r="F88" s="22" t="s">
        <v>383</v>
      </c>
    </row>
    <row r="89" spans="1:6">
      <c r="D89" s="19"/>
      <c r="E89" s="53">
        <v>11.84</v>
      </c>
      <c r="F89" s="53">
        <v>5.7069999999999999</v>
      </c>
    </row>
    <row r="90" spans="1:6">
      <c r="D90" s="19"/>
      <c r="E90" s="19"/>
      <c r="F90" s="19"/>
    </row>
    <row r="91" spans="1:6" ht="15.75">
      <c r="B91" s="81" t="s">
        <v>443</v>
      </c>
    </row>
    <row r="92" spans="1:6">
      <c r="E92" s="22" t="s">
        <v>444</v>
      </c>
      <c r="F92" s="28">
        <v>8.2785799999999998</v>
      </c>
    </row>
    <row r="93" spans="1:6">
      <c r="E93" s="22" t="s">
        <v>445</v>
      </c>
      <c r="F93" s="28">
        <v>66.151375000000002</v>
      </c>
    </row>
    <row r="94" spans="1:6">
      <c r="E94" s="22" t="s">
        <v>446</v>
      </c>
      <c r="F94" s="28">
        <v>178.628342</v>
      </c>
    </row>
    <row r="95" spans="1:6">
      <c r="E95" s="22" t="s">
        <v>447</v>
      </c>
      <c r="F95" s="55">
        <f>F93/ABS(F89-F92)</f>
        <v>25.724019863274719</v>
      </c>
    </row>
    <row r="96" spans="1:6">
      <c r="E96" s="22" t="s">
        <v>448</v>
      </c>
      <c r="F96" s="55">
        <f>F94/ABS(E89)</f>
        <v>15.086853209459459</v>
      </c>
    </row>
    <row r="98" spans="2:7" ht="15.75">
      <c r="B98" s="81" t="s">
        <v>449</v>
      </c>
    </row>
    <row r="99" spans="2:7">
      <c r="B99" t="s">
        <v>450</v>
      </c>
      <c r="E99" s="28" t="s">
        <v>451</v>
      </c>
      <c r="F99" s="54">
        <f>0.5^(1/F11)</f>
        <v>0.5021762101000361</v>
      </c>
    </row>
    <row r="100" spans="2:7">
      <c r="B100" t="s">
        <v>452</v>
      </c>
      <c r="E100" s="28" t="s">
        <v>453</v>
      </c>
      <c r="F100" s="51">
        <v>-441450</v>
      </c>
      <c r="G100" s="19" t="s">
        <v>454</v>
      </c>
    </row>
    <row r="101" spans="2:7">
      <c r="B101" t="s">
        <v>455</v>
      </c>
      <c r="E101" s="28" t="s">
        <v>456</v>
      </c>
      <c r="F101" s="51">
        <v>740655</v>
      </c>
      <c r="G101" s="19" t="s">
        <v>454</v>
      </c>
    </row>
    <row r="102" spans="2:7">
      <c r="B102" t="s">
        <v>457</v>
      </c>
      <c r="E102" s="28" t="s">
        <v>458</v>
      </c>
      <c r="F102" s="56">
        <f>-0.11*F99*F10*F4^2*F5*(F7+0.7)</f>
        <v>-719052.49633596407</v>
      </c>
      <c r="G102" s="19" t="s">
        <v>454</v>
      </c>
    </row>
    <row r="103" spans="2:7">
      <c r="B103" t="s">
        <v>459</v>
      </c>
      <c r="E103" s="28" t="s">
        <v>460</v>
      </c>
      <c r="F103" s="56">
        <f>0.19*F99*F10*F4^2*F5*F7</f>
        <v>673764.57915734733</v>
      </c>
      <c r="G103" s="19" t="s">
        <v>454</v>
      </c>
    </row>
    <row r="104" spans="2:7">
      <c r="B104" t="s">
        <v>461</v>
      </c>
      <c r="E104" s="28" t="s">
        <v>462</v>
      </c>
      <c r="F104" s="56">
        <f>0.22*F99*F4^(9/4)*(F8+0.3*F5)*F7*(1-COS(2*3.14*0.5*F4/F4))</f>
        <v>362923.7868537191</v>
      </c>
      <c r="G104" s="19" t="s">
        <v>454</v>
      </c>
    </row>
    <row r="105" spans="2:7">
      <c r="B105" t="s">
        <v>463</v>
      </c>
      <c r="E105" s="28" t="s">
        <v>464</v>
      </c>
      <c r="F105" s="56">
        <f>0.22*F99*F4^(9/4)*(F9+0.3*F5)*F7*(1-COS(2*3.14*0.5*F4/F4))</f>
        <v>311905.44299496326</v>
      </c>
      <c r="G105" s="19" t="s">
        <v>454</v>
      </c>
    </row>
    <row r="107" spans="2:7" ht="15.75">
      <c r="B107" s="81" t="s">
        <v>465</v>
      </c>
    </row>
    <row r="108" spans="2:7" ht="15.75">
      <c r="E108" s="28" t="s">
        <v>453</v>
      </c>
      <c r="F108" s="29">
        <f>F100/($F$95*1000)</f>
        <v>-17.161003697957902</v>
      </c>
      <c r="G108" s="19" t="s">
        <v>466</v>
      </c>
    </row>
    <row r="109" spans="2:7" ht="15.75">
      <c r="E109" s="28" t="s">
        <v>456</v>
      </c>
      <c r="F109" s="29">
        <f>F101/($F$95*1000)</f>
        <v>28.792350648796035</v>
      </c>
      <c r="G109" s="19" t="s">
        <v>466</v>
      </c>
    </row>
    <row r="110" spans="2:7" ht="15.75">
      <c r="E110" s="28" t="s">
        <v>458</v>
      </c>
      <c r="F110" s="29">
        <f>F102/($F$95*1000)</f>
        <v>-27.952571182800636</v>
      </c>
      <c r="G110" s="19" t="s">
        <v>466</v>
      </c>
    </row>
    <row r="111" spans="2:7" ht="15.75">
      <c r="E111" s="28" t="s">
        <v>460</v>
      </c>
      <c r="F111" s="29">
        <f>F103/($F$95*1000)</f>
        <v>26.192040852808443</v>
      </c>
      <c r="G111" s="19" t="s">
        <v>466</v>
      </c>
    </row>
    <row r="112" spans="2:7" ht="15.75">
      <c r="E112" s="28" t="s">
        <v>462</v>
      </c>
      <c r="F112" s="29">
        <f>F104/($F$96*1000)</f>
        <v>24.055631868027046</v>
      </c>
      <c r="G112" s="19" t="s">
        <v>466</v>
      </c>
    </row>
    <row r="113" spans="2:8" ht="15.75">
      <c r="E113" s="28" t="s">
        <v>464</v>
      </c>
      <c r="F113" s="29">
        <f>F105/($F$96*1000)</f>
        <v>20.67398937767874</v>
      </c>
      <c r="G113" s="19" t="s">
        <v>466</v>
      </c>
    </row>
    <row r="116" spans="2:8" ht="14.25">
      <c r="B116" s="80" t="s">
        <v>467</v>
      </c>
    </row>
    <row r="118" spans="2:8">
      <c r="B118" t="s">
        <v>468</v>
      </c>
    </row>
    <row r="119" spans="2:8">
      <c r="B119" t="s">
        <v>469</v>
      </c>
      <c r="C119" t="s">
        <v>470</v>
      </c>
      <c r="E119" s="19" t="s">
        <v>471</v>
      </c>
      <c r="F119" s="19" t="s">
        <v>472</v>
      </c>
    </row>
    <row r="120" spans="2:8">
      <c r="C120" t="s">
        <v>473</v>
      </c>
      <c r="E120" s="19">
        <v>45</v>
      </c>
      <c r="F120" s="48">
        <f>0.9+0.9*(TAN(RADIANS(E120))^0.25)</f>
        <v>1.8</v>
      </c>
      <c r="G120" s="20">
        <f>1.202*F120</f>
        <v>2.1636000000000002</v>
      </c>
    </row>
    <row r="121" spans="2:8">
      <c r="B121" t="s">
        <v>474</v>
      </c>
      <c r="C121" t="s">
        <v>475</v>
      </c>
      <c r="E121" s="19" t="s">
        <v>471</v>
      </c>
      <c r="F121" s="19" t="s">
        <v>472</v>
      </c>
    </row>
    <row r="122" spans="2:8">
      <c r="C122" t="s">
        <v>476</v>
      </c>
      <c r="E122" s="19">
        <v>45</v>
      </c>
      <c r="F122" s="48">
        <f>0.9+0.9*(TAN(RADIANS(E122))^0.25)</f>
        <v>1.8</v>
      </c>
    </row>
    <row r="123" spans="2:8">
      <c r="B123" t="s">
        <v>477</v>
      </c>
      <c r="C123" t="s">
        <v>478</v>
      </c>
      <c r="E123" s="19" t="s">
        <v>471</v>
      </c>
      <c r="F123" s="19" t="s">
        <v>472</v>
      </c>
    </row>
    <row r="124" spans="2:8">
      <c r="C124" t="s">
        <v>473</v>
      </c>
      <c r="E124" s="19">
        <v>45</v>
      </c>
      <c r="F124" s="48">
        <f>1.2+1.3*(TAN(RADIANS(E124)))^0.25</f>
        <v>2.5</v>
      </c>
      <c r="G124" s="20">
        <f>1.202*F124</f>
        <v>3.0049999999999999</v>
      </c>
    </row>
    <row r="125" spans="2:8">
      <c r="E125" s="19"/>
      <c r="F125" s="48"/>
    </row>
    <row r="126" spans="2:8">
      <c r="B126" t="s">
        <v>479</v>
      </c>
      <c r="E126" s="19"/>
      <c r="F126" s="48"/>
    </row>
    <row r="127" spans="2:8">
      <c r="B127" t="s">
        <v>480</v>
      </c>
      <c r="C127" t="s">
        <v>481</v>
      </c>
      <c r="E127" s="19" t="s">
        <v>471</v>
      </c>
      <c r="F127" s="19" t="s">
        <v>193</v>
      </c>
      <c r="G127" s="19" t="s">
        <v>482</v>
      </c>
      <c r="H127" s="19" t="s">
        <v>472</v>
      </c>
    </row>
    <row r="128" spans="2:8">
      <c r="C128" t="s">
        <v>473</v>
      </c>
      <c r="E128" s="19">
        <v>45</v>
      </c>
      <c r="F128" s="19">
        <v>15</v>
      </c>
      <c r="G128" s="19">
        <v>7.5</v>
      </c>
      <c r="H128" s="48">
        <f>1.8*F128/(G128/SQRT(2))</f>
        <v>5.0911688245431428</v>
      </c>
    </row>
    <row r="131" spans="2:9">
      <c r="E131" s="19" t="s">
        <v>471</v>
      </c>
      <c r="F131" s="19" t="s">
        <v>193</v>
      </c>
      <c r="G131" s="19" t="s">
        <v>483</v>
      </c>
      <c r="H131" s="19" t="s">
        <v>408</v>
      </c>
      <c r="I131" s="19"/>
    </row>
    <row r="132" spans="2:9">
      <c r="B132" t="s">
        <v>484</v>
      </c>
      <c r="E132" s="19">
        <v>45</v>
      </c>
      <c r="F132" s="19">
        <v>15</v>
      </c>
      <c r="G132" s="19">
        <v>1</v>
      </c>
      <c r="H132" s="48">
        <f>1+(0.27*TAN(RADIANS(E132))^(0.25)*(F132/G132)^0.25)</f>
        <v>1.5313572112416662</v>
      </c>
      <c r="I132" s="48">
        <f>H132*1.202</f>
        <v>1.8406913679124828</v>
      </c>
    </row>
  </sheetData>
  <mergeCells count="48">
    <mergeCell ref="F76:H76"/>
    <mergeCell ref="C34:D34"/>
    <mergeCell ref="E34:F34"/>
    <mergeCell ref="E58:F58"/>
    <mergeCell ref="C70:F70"/>
    <mergeCell ref="C68:D68"/>
    <mergeCell ref="E68:F68"/>
    <mergeCell ref="C69:F69"/>
    <mergeCell ref="G54:H54"/>
    <mergeCell ref="G67:H67"/>
    <mergeCell ref="E24:F24"/>
    <mergeCell ref="E31:F31"/>
    <mergeCell ref="E35:F35"/>
    <mergeCell ref="E36:F36"/>
    <mergeCell ref="C56:D56"/>
    <mergeCell ref="E56:F56"/>
    <mergeCell ref="C39:D39"/>
    <mergeCell ref="E39:F39"/>
    <mergeCell ref="C40:D40"/>
    <mergeCell ref="E40:F40"/>
    <mergeCell ref="C54:F54"/>
    <mergeCell ref="C55:D55"/>
    <mergeCell ref="E55:F55"/>
    <mergeCell ref="C57:D57"/>
    <mergeCell ref="C58:D58"/>
    <mergeCell ref="E57:F57"/>
    <mergeCell ref="C23:D23"/>
    <mergeCell ref="C24:D24"/>
    <mergeCell ref="C35:D35"/>
    <mergeCell ref="C36:D36"/>
    <mergeCell ref="C26:D26"/>
    <mergeCell ref="C27:D27"/>
    <mergeCell ref="C30:D30"/>
    <mergeCell ref="C31:D31"/>
    <mergeCell ref="E23:F23"/>
    <mergeCell ref="E26:F26"/>
    <mergeCell ref="E27:F27"/>
    <mergeCell ref="E30:F30"/>
    <mergeCell ref="G69:H69"/>
    <mergeCell ref="G70:H70"/>
    <mergeCell ref="G59:H59"/>
    <mergeCell ref="G60:H60"/>
    <mergeCell ref="G64:H64"/>
    <mergeCell ref="G61:H61"/>
    <mergeCell ref="G62:H62"/>
    <mergeCell ref="G63:H63"/>
    <mergeCell ref="G65:H65"/>
    <mergeCell ref="G66:H66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rowBreaks count="2" manualBreakCount="2">
    <brk id="43" max="16383" man="1"/>
    <brk id="8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86" r:id="rId4" name="Drop Down 86">
              <controlPr defaultSize="0" autoLine="0" autoPict="0">
                <anchor moveWithCells="1">
                  <from>
                    <xdr:col>3</xdr:col>
                    <xdr:colOff>495300</xdr:colOff>
                    <xdr:row>50</xdr:row>
                    <xdr:rowOff>38100</xdr:rowOff>
                  </from>
                  <to>
                    <xdr:col>6</xdr:col>
                    <xdr:colOff>114300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5" name="Drop Down 87">
              <controlPr defaultSize="0" autoLine="0" autoPict="0" macro="[0]!Sheet5.Weibull_Change">
                <anchor moveWithCells="1">
                  <from>
                    <xdr:col>3</xdr:col>
                    <xdr:colOff>495300</xdr:colOff>
                    <xdr:row>49</xdr:row>
                    <xdr:rowOff>66675</xdr:rowOff>
                  </from>
                  <to>
                    <xdr:col>7</xdr:col>
                    <xdr:colOff>219075</xdr:colOff>
                    <xdr:row>50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80A2-2887-4EEF-BC7F-BFD05445BAAE}">
  <sheetPr codeName="Sheet51"/>
  <dimension ref="B1:Q90"/>
  <sheetViews>
    <sheetView showGridLines="0" workbookViewId="0">
      <selection activeCell="I10" sqref="I10"/>
    </sheetView>
  </sheetViews>
  <sheetFormatPr defaultColWidth="10.83203125" defaultRowHeight="12.75"/>
  <cols>
    <col min="1" max="1" width="5.33203125" customWidth="1"/>
  </cols>
  <sheetData>
    <row r="1" spans="2:17" ht="25.5">
      <c r="B1" s="42" t="s">
        <v>485</v>
      </c>
    </row>
    <row r="3" spans="2:17" ht="14.25">
      <c r="B3" s="80" t="s">
        <v>486</v>
      </c>
      <c r="M3" s="30"/>
      <c r="N3" s="30"/>
      <c r="O3" s="30"/>
      <c r="P3" s="30"/>
      <c r="Q3" s="30"/>
    </row>
    <row r="4" spans="2:17">
      <c r="B4" t="s">
        <v>487</v>
      </c>
      <c r="E4" s="19" t="s">
        <v>488</v>
      </c>
      <c r="F4" s="74">
        <v>173.9</v>
      </c>
      <c r="G4" s="19" t="s">
        <v>489</v>
      </c>
      <c r="K4" s="26"/>
      <c r="M4" s="30"/>
      <c r="N4" s="30"/>
      <c r="O4" s="30"/>
      <c r="P4" s="30"/>
      <c r="Q4" s="30"/>
    </row>
    <row r="5" spans="2:17">
      <c r="B5" t="s">
        <v>490</v>
      </c>
      <c r="E5" s="19" t="s">
        <v>491</v>
      </c>
      <c r="F5" s="74">
        <v>32.24</v>
      </c>
      <c r="G5" s="19" t="s">
        <v>489</v>
      </c>
      <c r="M5" s="30"/>
      <c r="N5" s="30"/>
      <c r="O5" s="30"/>
      <c r="P5" s="30"/>
      <c r="Q5" s="30"/>
    </row>
    <row r="6" spans="2:17">
      <c r="B6" t="s">
        <v>492</v>
      </c>
      <c r="E6" s="19" t="s">
        <v>493</v>
      </c>
      <c r="F6" s="74">
        <v>20.399999999999999</v>
      </c>
      <c r="G6" s="19" t="s">
        <v>489</v>
      </c>
      <c r="H6" s="73"/>
      <c r="I6" s="19"/>
      <c r="M6" s="30"/>
      <c r="N6" s="30"/>
      <c r="O6" s="30"/>
      <c r="P6" s="30"/>
      <c r="Q6" s="30"/>
    </row>
    <row r="7" spans="2:17">
      <c r="B7" t="s">
        <v>494</v>
      </c>
      <c r="E7" s="19" t="s">
        <v>495</v>
      </c>
      <c r="F7" s="74">
        <v>0.86599999999999999</v>
      </c>
      <c r="G7" s="19"/>
      <c r="H7" s="73"/>
      <c r="I7" s="19"/>
      <c r="M7" s="30"/>
      <c r="N7" s="30"/>
      <c r="O7" s="30"/>
      <c r="P7" s="30"/>
      <c r="Q7" s="30"/>
    </row>
    <row r="8" spans="2:17">
      <c r="B8" t="s">
        <v>496</v>
      </c>
      <c r="E8" s="19" t="s">
        <v>497</v>
      </c>
      <c r="F8" s="74">
        <v>13.85</v>
      </c>
      <c r="G8" s="19" t="s">
        <v>489</v>
      </c>
      <c r="H8" s="73"/>
      <c r="I8" s="19"/>
      <c r="M8" s="30"/>
      <c r="N8" s="30"/>
      <c r="O8" s="30"/>
      <c r="P8" s="30"/>
      <c r="Q8" s="30"/>
    </row>
    <row r="9" spans="2:17">
      <c r="B9" t="s">
        <v>498</v>
      </c>
      <c r="E9" s="19" t="s">
        <v>499</v>
      </c>
      <c r="F9" s="74">
        <v>6.8150000000000004</v>
      </c>
      <c r="G9" s="19" t="s">
        <v>489</v>
      </c>
      <c r="H9" s="73"/>
      <c r="I9" s="19"/>
      <c r="M9" s="30"/>
      <c r="N9" s="30"/>
      <c r="O9" s="30"/>
      <c r="P9" s="30"/>
      <c r="Q9" s="30"/>
    </row>
    <row r="10" spans="2:17">
      <c r="B10" t="s">
        <v>500</v>
      </c>
      <c r="E10" s="19" t="s">
        <v>501</v>
      </c>
      <c r="F10" s="55">
        <f>10.75-((300-F4)/100)^1.5</f>
        <v>9.3339694279430265</v>
      </c>
      <c r="H10" s="73"/>
      <c r="I10" s="19"/>
      <c r="M10" s="30"/>
      <c r="N10" s="30"/>
      <c r="O10" s="30"/>
      <c r="P10" s="30"/>
      <c r="Q10" s="30"/>
    </row>
    <row r="11" spans="2:17">
      <c r="B11" t="s">
        <v>502</v>
      </c>
      <c r="E11" s="19" t="s">
        <v>503</v>
      </c>
      <c r="F11" s="55">
        <f>2.21-0.54*LOG10(F4)</f>
        <v>1.0002382257185352</v>
      </c>
      <c r="H11" s="73"/>
      <c r="I11" s="19"/>
      <c r="M11" s="30"/>
      <c r="N11" s="30"/>
      <c r="O11" s="30"/>
      <c r="P11" s="30"/>
      <c r="Q11" s="30"/>
    </row>
    <row r="12" spans="2:17">
      <c r="F12" s="21"/>
      <c r="G12" s="19"/>
      <c r="H12" s="73"/>
      <c r="I12" s="19"/>
      <c r="M12" s="30"/>
      <c r="N12" s="30"/>
      <c r="O12" s="30"/>
      <c r="P12" s="30"/>
      <c r="Q12" s="30"/>
    </row>
    <row r="13" spans="2:17" ht="15.75">
      <c r="B13" s="81" t="s">
        <v>504</v>
      </c>
      <c r="I13" s="19"/>
      <c r="M13" s="30"/>
      <c r="N13" s="30"/>
      <c r="O13" s="30"/>
      <c r="P13" s="30"/>
      <c r="Q13" s="30"/>
    </row>
    <row r="14" spans="2:17">
      <c r="B14" t="s">
        <v>505</v>
      </c>
      <c r="E14" s="28" t="s">
        <v>506</v>
      </c>
      <c r="F14" s="54">
        <f>0.5^(1/F11)</f>
        <v>0.50008254989242029</v>
      </c>
      <c r="H14" s="73"/>
      <c r="I14" s="19"/>
      <c r="M14" s="30"/>
      <c r="N14" s="30"/>
      <c r="O14" s="30"/>
      <c r="P14" s="30"/>
      <c r="Q14" s="30"/>
    </row>
    <row r="15" spans="2:17">
      <c r="B15" t="s">
        <v>507</v>
      </c>
      <c r="E15" s="28" t="s">
        <v>508</v>
      </c>
      <c r="F15" s="51">
        <v>-1532300</v>
      </c>
      <c r="G15" s="19" t="s">
        <v>509</v>
      </c>
      <c r="H15" s="73"/>
      <c r="I15" s="19"/>
      <c r="M15" s="30"/>
      <c r="N15" s="30"/>
      <c r="O15" s="30"/>
      <c r="P15" s="30"/>
      <c r="Q15" s="30"/>
    </row>
    <row r="16" spans="2:17">
      <c r="B16" t="s">
        <v>510</v>
      </c>
      <c r="E16" s="28" t="s">
        <v>511</v>
      </c>
      <c r="F16" s="51">
        <v>1648600</v>
      </c>
      <c r="G16" s="19" t="s">
        <v>509</v>
      </c>
      <c r="H16" s="73"/>
      <c r="M16" s="30"/>
      <c r="N16" s="30"/>
      <c r="O16" s="30"/>
      <c r="P16" s="30"/>
      <c r="Q16" s="30"/>
    </row>
    <row r="17" spans="2:17">
      <c r="B17" t="s">
        <v>512</v>
      </c>
      <c r="E17" s="28" t="s">
        <v>513</v>
      </c>
      <c r="F17" s="56">
        <f>-0.11*F14*F10*F4^2*F5*(F7+0.7)</f>
        <v>-783947.02156425873</v>
      </c>
      <c r="G17" s="19" t="s">
        <v>509</v>
      </c>
      <c r="H17" s="73"/>
      <c r="M17" s="30"/>
      <c r="N17" s="30"/>
      <c r="O17" s="30"/>
      <c r="P17" s="30"/>
      <c r="Q17" s="30"/>
    </row>
    <row r="18" spans="2:17">
      <c r="B18" t="s">
        <v>514</v>
      </c>
      <c r="E18" s="28" t="s">
        <v>515</v>
      </c>
      <c r="F18" s="56">
        <f>0.19*F14*F10*F4^2*F5*F7</f>
        <v>748813.67077779584</v>
      </c>
      <c r="G18" s="19" t="s">
        <v>509</v>
      </c>
      <c r="H18" s="73"/>
      <c r="I18" s="19"/>
      <c r="M18" s="30"/>
      <c r="N18" s="30"/>
      <c r="O18" s="30"/>
      <c r="P18" s="30"/>
      <c r="Q18" s="30"/>
    </row>
    <row r="19" spans="2:17">
      <c r="B19" t="s">
        <v>516</v>
      </c>
      <c r="E19" s="28" t="s">
        <v>517</v>
      </c>
      <c r="F19" s="56">
        <f>0.22*F14*F4^(9/4)*(F8+0.3*F5)*F7*(1-COS(2*3.14*0.5*F4/F4))</f>
        <v>492221.18155515991</v>
      </c>
      <c r="G19" s="19" t="s">
        <v>509</v>
      </c>
      <c r="H19" s="73"/>
      <c r="I19" s="19"/>
      <c r="M19" s="30"/>
      <c r="N19" s="30"/>
      <c r="O19" s="30"/>
      <c r="P19" s="30"/>
      <c r="Q19" s="30"/>
    </row>
    <row r="20" spans="2:17">
      <c r="B20" t="s">
        <v>518</v>
      </c>
      <c r="E20" s="28" t="s">
        <v>519</v>
      </c>
      <c r="F20" s="56">
        <f>0.22*F14*F4^(9/4)*(F9+0.3*F5)*F7*(1-COS(2*3.14*0.5*F4/F4))</f>
        <v>345006.82851372857</v>
      </c>
      <c r="G20" s="19" t="s">
        <v>509</v>
      </c>
      <c r="H20" s="73"/>
      <c r="I20" s="19"/>
      <c r="M20" s="30"/>
      <c r="N20" s="30"/>
      <c r="O20" s="30"/>
      <c r="P20" s="30"/>
      <c r="Q20" s="30"/>
    </row>
    <row r="21" spans="2:17">
      <c r="F21" s="21"/>
      <c r="G21" s="19"/>
      <c r="H21" s="73"/>
      <c r="I21" s="19"/>
      <c r="M21" s="30"/>
      <c r="N21" s="30"/>
      <c r="O21" s="30"/>
      <c r="P21" s="30"/>
      <c r="Q21" s="30"/>
    </row>
    <row r="22" spans="2:17" ht="15.75">
      <c r="B22" s="81" t="s">
        <v>520</v>
      </c>
      <c r="F22" s="21"/>
      <c r="G22" s="19"/>
      <c r="H22" s="73"/>
      <c r="I22" s="19"/>
      <c r="M22" s="30"/>
      <c r="N22" s="30"/>
      <c r="O22" s="30"/>
      <c r="P22" s="30"/>
      <c r="Q22" s="30"/>
    </row>
    <row r="23" spans="2:17">
      <c r="B23" t="s">
        <v>521</v>
      </c>
      <c r="C23" s="19"/>
      <c r="L23" s="21"/>
      <c r="M23" s="30"/>
      <c r="N23" s="30"/>
      <c r="O23" s="30"/>
      <c r="P23" s="30"/>
      <c r="Q23" s="30"/>
    </row>
    <row r="24" spans="2:17">
      <c r="B24" s="22" t="s">
        <v>522</v>
      </c>
      <c r="C24" s="22" t="s">
        <v>523</v>
      </c>
      <c r="D24" s="22" t="s">
        <v>524</v>
      </c>
      <c r="M24" s="30"/>
      <c r="N24" s="30"/>
      <c r="O24" s="30"/>
      <c r="P24" s="30"/>
      <c r="Q24" s="30"/>
    </row>
    <row r="25" spans="2:17">
      <c r="B25" s="53">
        <v>-7.73</v>
      </c>
      <c r="C25" s="53">
        <v>14.04</v>
      </c>
      <c r="D25" s="53">
        <v>13.17</v>
      </c>
      <c r="L25" s="21"/>
      <c r="M25" s="30"/>
      <c r="N25" s="30"/>
      <c r="O25" s="30"/>
      <c r="P25" s="30"/>
      <c r="Q25" s="30"/>
    </row>
    <row r="26" spans="2:17">
      <c r="L26" s="21"/>
      <c r="M26" s="30"/>
      <c r="N26" s="30"/>
      <c r="O26" s="30"/>
      <c r="P26" s="30"/>
      <c r="Q26" s="30"/>
    </row>
    <row r="27" spans="2:17">
      <c r="B27" t="s">
        <v>525</v>
      </c>
      <c r="C27" s="19"/>
      <c r="D27" s="19"/>
      <c r="E27" s="19"/>
      <c r="M27" s="30"/>
      <c r="N27" s="30"/>
      <c r="O27" s="30"/>
      <c r="P27" s="30"/>
      <c r="Q27" s="30"/>
    </row>
    <row r="28" spans="2:17">
      <c r="B28" s="22" t="s">
        <v>526</v>
      </c>
      <c r="C28" s="22" t="s">
        <v>527</v>
      </c>
      <c r="D28" s="22" t="s">
        <v>528</v>
      </c>
      <c r="E28" s="22" t="s">
        <v>529</v>
      </c>
      <c r="F28" s="22" t="s">
        <v>530</v>
      </c>
      <c r="G28" s="31" t="s">
        <v>390</v>
      </c>
      <c r="H28" s="31" t="s">
        <v>391</v>
      </c>
      <c r="I28" s="31" t="s">
        <v>392</v>
      </c>
      <c r="M28" s="30"/>
      <c r="N28" s="30"/>
      <c r="O28" s="30"/>
      <c r="P28" s="30"/>
      <c r="Q28" s="30"/>
    </row>
    <row r="29" spans="2:17">
      <c r="B29" s="53">
        <v>0</v>
      </c>
      <c r="C29" s="53">
        <v>0</v>
      </c>
      <c r="D29" s="22">
        <f>ABS(B29)+ABS(C29)</f>
        <v>0</v>
      </c>
      <c r="E29" s="53">
        <v>0</v>
      </c>
      <c r="F29" s="53">
        <v>0</v>
      </c>
      <c r="G29" s="22">
        <v>0.1</v>
      </c>
      <c r="H29" s="24">
        <f>SQRT(D29^2+E29^2-2*G29*D29*E29)</f>
        <v>0</v>
      </c>
      <c r="I29" s="24">
        <f>SQRT(D29^2+F29^2-2*G29*D29*F29)</f>
        <v>0</v>
      </c>
      <c r="M29" s="30"/>
      <c r="N29" s="30"/>
      <c r="O29" s="30"/>
      <c r="P29" s="30"/>
      <c r="Q29" s="30"/>
    </row>
    <row r="30" spans="2:17">
      <c r="M30" s="30"/>
      <c r="N30" s="30"/>
      <c r="O30" s="30"/>
      <c r="P30" s="30"/>
      <c r="Q30" s="30"/>
    </row>
    <row r="31" spans="2:17">
      <c r="B31" t="s">
        <v>531</v>
      </c>
      <c r="C31" s="19"/>
      <c r="D31" s="19"/>
      <c r="E31" s="19"/>
      <c r="F31" s="19"/>
      <c r="G31" s="19"/>
      <c r="H31" s="19"/>
      <c r="I31" s="19"/>
      <c r="J31" s="19"/>
      <c r="M31" s="30"/>
      <c r="N31" s="30"/>
      <c r="O31" s="30"/>
      <c r="P31" s="30"/>
      <c r="Q31" s="30"/>
    </row>
    <row r="32" spans="2:17">
      <c r="B32" s="28"/>
      <c r="C32" s="301" t="s">
        <v>532</v>
      </c>
      <c r="D32" s="301"/>
      <c r="E32" s="301" t="s">
        <v>533</v>
      </c>
      <c r="F32" s="301"/>
      <c r="M32" s="30"/>
      <c r="N32" s="30"/>
      <c r="O32" s="30"/>
      <c r="P32" s="30"/>
      <c r="Q32" s="30"/>
    </row>
    <row r="33" spans="2:17">
      <c r="B33" s="22" t="s">
        <v>534</v>
      </c>
      <c r="C33" s="297">
        <f>F8</f>
        <v>13.85</v>
      </c>
      <c r="D33" s="302"/>
      <c r="E33" s="297">
        <f>F9</f>
        <v>6.8150000000000004</v>
      </c>
      <c r="F33" s="302"/>
      <c r="M33" s="30"/>
      <c r="N33" s="30"/>
      <c r="O33" s="30"/>
      <c r="P33" s="30"/>
      <c r="Q33" s="30"/>
    </row>
    <row r="34" spans="2:17">
      <c r="B34" s="31" t="s">
        <v>397</v>
      </c>
      <c r="C34" s="53">
        <v>-324</v>
      </c>
      <c r="D34" s="53">
        <v>102</v>
      </c>
      <c r="E34" s="53">
        <v>-56</v>
      </c>
      <c r="F34" s="53">
        <v>2</v>
      </c>
      <c r="M34" s="30"/>
      <c r="N34" s="30"/>
      <c r="O34" s="30"/>
      <c r="P34" s="30"/>
      <c r="Q34" s="30"/>
    </row>
    <row r="35" spans="2:17">
      <c r="B35" s="31" t="s">
        <v>398</v>
      </c>
      <c r="C35" s="300">
        <f>0.5-MIN($D$25,C33)/(10*C33)+ABS($B$25)/(4*$F$4)+ABS($C$25)/(4*$F$5)-ABS($B$25)*MIN($D$25,C33)/(5*$F$4*C33)</f>
        <v>0.51643974144689475</v>
      </c>
      <c r="D35" s="298"/>
      <c r="E35" s="300">
        <f>0.5-MIN($D$25,E33)/(10*E33)+ABS($B$25)/(4*$F$4)+ABS($C$25)/(4*$F$5)-ABS($B$25)*MIN($D$25,E33)/(5*$F$4*E33)</f>
        <v>0.51109350943256227</v>
      </c>
      <c r="F35" s="298"/>
      <c r="M35" s="30"/>
      <c r="N35" s="30"/>
      <c r="O35" s="30"/>
      <c r="P35" s="30"/>
      <c r="Q35" s="30"/>
    </row>
    <row r="36" spans="2:17">
      <c r="B36" s="22" t="s">
        <v>535</v>
      </c>
      <c r="C36" s="303">
        <f>SQRT(C34^2+D34^2+2*C35*C34*D34)</f>
        <v>285.0357852083244</v>
      </c>
      <c r="D36" s="304"/>
      <c r="E36" s="303">
        <f>SQRT(E34^2+F34^2+2*E35*E34*F34)</f>
        <v>55.0046821087724</v>
      </c>
      <c r="F36" s="304"/>
      <c r="M36" s="30"/>
      <c r="N36" s="30"/>
      <c r="O36" s="30"/>
      <c r="P36" s="30"/>
      <c r="Q36" s="30"/>
    </row>
    <row r="37" spans="2:17">
      <c r="B37" s="49"/>
      <c r="C37" s="44"/>
      <c r="D37" s="44"/>
      <c r="E37" s="44"/>
      <c r="F37" s="44"/>
      <c r="M37" s="30"/>
      <c r="N37" s="30"/>
      <c r="O37" s="30"/>
      <c r="P37" s="30"/>
      <c r="Q37" s="30"/>
    </row>
    <row r="38" spans="2:17">
      <c r="B38" t="s">
        <v>536</v>
      </c>
      <c r="C38" s="47"/>
      <c r="D38" s="47"/>
      <c r="E38" s="47"/>
      <c r="F38" s="47"/>
    </row>
    <row r="39" spans="2:17">
      <c r="B39" s="22" t="s">
        <v>537</v>
      </c>
      <c r="C39" s="313">
        <v>0.8</v>
      </c>
      <c r="D39" s="314"/>
      <c r="E39" s="313">
        <v>0.8</v>
      </c>
      <c r="F39" s="314"/>
    </row>
    <row r="40" spans="2:17">
      <c r="B40" s="31" t="s">
        <v>402</v>
      </c>
      <c r="C40" s="303">
        <f>C39*MAX($H$29+0.6*C36,0.6*$H$29+C36)</f>
        <v>228.02862816665953</v>
      </c>
      <c r="D40" s="304"/>
      <c r="E40" s="303">
        <f>E39*MAX($I$29+0.6*E36,0.6*$HB29+E36)</f>
        <v>44.003745687017926</v>
      </c>
      <c r="F40" s="304"/>
    </row>
    <row r="41" spans="2:17">
      <c r="B41" s="43"/>
      <c r="C41" s="44"/>
      <c r="D41" s="44"/>
      <c r="E41" s="44"/>
      <c r="F41" s="44"/>
    </row>
    <row r="42" spans="2:17">
      <c r="B42" s="50" t="s">
        <v>538</v>
      </c>
      <c r="C42" s="47"/>
      <c r="D42" s="47"/>
      <c r="E42" s="47"/>
      <c r="F42" s="47"/>
    </row>
    <row r="43" spans="2:17">
      <c r="B43" s="22" t="s">
        <v>539</v>
      </c>
      <c r="C43" s="313">
        <v>0.85</v>
      </c>
      <c r="D43" s="314"/>
      <c r="E43" s="313">
        <v>0.85</v>
      </c>
      <c r="F43" s="314"/>
    </row>
    <row r="44" spans="2:17">
      <c r="B44" s="31" t="s">
        <v>406</v>
      </c>
      <c r="C44" s="303">
        <f>C43*C40</f>
        <v>193.8243339416606</v>
      </c>
      <c r="D44" s="304"/>
      <c r="E44" s="303">
        <f>E43*E40</f>
        <v>37.403183833965237</v>
      </c>
      <c r="F44" s="304"/>
    </row>
    <row r="45" spans="2:17">
      <c r="B45" s="43"/>
      <c r="C45" s="44"/>
      <c r="D45" s="44"/>
      <c r="E45" s="44"/>
      <c r="F45" s="44"/>
    </row>
    <row r="46" spans="2:17">
      <c r="B46" s="50" t="s">
        <v>540</v>
      </c>
      <c r="C46" s="47"/>
      <c r="D46" s="47"/>
      <c r="E46" s="47"/>
      <c r="F46" s="47"/>
    </row>
    <row r="47" spans="2:17">
      <c r="B47" s="22" t="s">
        <v>541</v>
      </c>
      <c r="C47" s="325">
        <v>1.5</v>
      </c>
      <c r="D47" s="326"/>
      <c r="E47" s="325">
        <v>1.5</v>
      </c>
      <c r="F47" s="326"/>
    </row>
    <row r="48" spans="2:17">
      <c r="B48" s="31" t="s">
        <v>409</v>
      </c>
      <c r="C48" s="303">
        <f>C47*C44</f>
        <v>290.7365009124909</v>
      </c>
      <c r="D48" s="304"/>
      <c r="E48" s="303">
        <f>E47*E44</f>
        <v>56.104775750947852</v>
      </c>
      <c r="F48" s="304"/>
    </row>
    <row r="49" spans="2:10">
      <c r="B49" s="45"/>
      <c r="C49" s="46"/>
      <c r="D49" s="46"/>
    </row>
    <row r="50" spans="2:10">
      <c r="B50" s="45"/>
      <c r="C50" s="46"/>
      <c r="D50" s="46"/>
    </row>
    <row r="51" spans="2:10">
      <c r="B51" s="45"/>
      <c r="C51" s="46"/>
      <c r="D51" s="46"/>
    </row>
    <row r="52" spans="2:10">
      <c r="B52" s="45"/>
      <c r="C52" s="46"/>
      <c r="D52" s="46"/>
    </row>
    <row r="53" spans="2:10" ht="15.75">
      <c r="B53" s="82" t="s">
        <v>542</v>
      </c>
    </row>
    <row r="55" spans="2:10">
      <c r="B55" t="s">
        <v>543</v>
      </c>
      <c r="F55" s="19">
        <v>20</v>
      </c>
    </row>
    <row r="56" spans="2:10">
      <c r="B56" t="s">
        <v>544</v>
      </c>
      <c r="F56" s="78">
        <f>F55*365*24*3600</f>
        <v>630720000</v>
      </c>
    </row>
    <row r="57" spans="2:10">
      <c r="B57" t="s">
        <v>545</v>
      </c>
      <c r="F57" s="48">
        <f>1/(4*LOG(F4))</f>
        <v>0.11159221829453402</v>
      </c>
    </row>
    <row r="58" spans="2:10">
      <c r="B58" t="s">
        <v>546</v>
      </c>
      <c r="F58" s="79">
        <f>F57*F56</f>
        <v>70383443.922728494</v>
      </c>
    </row>
    <row r="59" spans="2:10">
      <c r="F59" s="79"/>
    </row>
    <row r="60" spans="2:10">
      <c r="C60">
        <v>2</v>
      </c>
      <c r="F60" s="79"/>
    </row>
    <row r="61" spans="2:10">
      <c r="B61" s="30" t="s">
        <v>547</v>
      </c>
      <c r="C61" s="30">
        <f>IF(C60=2,0.8,1)</f>
        <v>0.8</v>
      </c>
      <c r="D61" s="30"/>
      <c r="E61" s="30"/>
      <c r="F61" s="79"/>
    </row>
    <row r="62" spans="2:10">
      <c r="B62" s="30" t="s">
        <v>548</v>
      </c>
      <c r="C62" s="105">
        <f>IF(AND(F4&gt;150,F4&lt;=190),1.4-0.2*C61*F4^0.2,IF(AND(F4&gt;190,F4&lt;=305),1.4-0.036*C61*F4^0.5,IF(F4&gt;305,1.54-0.044*C61^0.8*F4^0.5)))</f>
        <v>0.95106868646388998</v>
      </c>
      <c r="D62" s="30"/>
      <c r="E62" s="30"/>
      <c r="F62" s="79"/>
    </row>
    <row r="63" spans="2:10" ht="13.5" thickBot="1">
      <c r="C63" s="105"/>
      <c r="D63" s="30"/>
      <c r="E63" s="30"/>
      <c r="F63" s="79"/>
    </row>
    <row r="64" spans="2:10">
      <c r="B64" s="91"/>
      <c r="C64" s="309" t="s">
        <v>549</v>
      </c>
      <c r="D64" s="310"/>
      <c r="E64" s="310"/>
      <c r="F64" s="311"/>
      <c r="G64" s="324" t="s">
        <v>550</v>
      </c>
      <c r="H64" s="323"/>
      <c r="I64" s="19"/>
      <c r="J64" s="19"/>
    </row>
    <row r="65" spans="2:11">
      <c r="B65" s="93" t="s">
        <v>551</v>
      </c>
      <c r="C65" s="329" t="s">
        <v>552</v>
      </c>
      <c r="D65" s="301"/>
      <c r="E65" s="301" t="s">
        <v>533</v>
      </c>
      <c r="F65" s="330"/>
      <c r="G65" s="84" t="s">
        <v>552</v>
      </c>
      <c r="H65" s="88" t="s">
        <v>533</v>
      </c>
    </row>
    <row r="66" spans="2:11">
      <c r="B66" s="93" t="s">
        <v>553</v>
      </c>
      <c r="C66" s="329">
        <v>0.45</v>
      </c>
      <c r="D66" s="301"/>
      <c r="E66" s="301">
        <v>0.4</v>
      </c>
      <c r="F66" s="330"/>
      <c r="G66" s="84">
        <v>0.45</v>
      </c>
      <c r="H66" s="88">
        <v>0.4</v>
      </c>
    </row>
    <row r="67" spans="2:11">
      <c r="B67" s="93" t="s">
        <v>554</v>
      </c>
      <c r="C67" s="285">
        <f>C62</f>
        <v>0.95106868646388998</v>
      </c>
      <c r="D67" s="328"/>
      <c r="E67" s="328">
        <f>C62</f>
        <v>0.95106868646388998</v>
      </c>
      <c r="F67" s="286"/>
      <c r="G67" s="334">
        <f>C62</f>
        <v>0.95106868646388998</v>
      </c>
      <c r="H67" s="294"/>
    </row>
    <row r="68" spans="2:11">
      <c r="B68" s="93" t="s">
        <v>555</v>
      </c>
      <c r="C68" s="331">
        <f>C48/(LN(10^4))^(1/$C$67)</f>
        <v>28.158731203743216</v>
      </c>
      <c r="D68" s="332"/>
      <c r="E68" s="332">
        <f>E48/(LN(10^4))^(1/$C$67)</f>
        <v>5.4339214190816323</v>
      </c>
      <c r="F68" s="333"/>
      <c r="G68" s="86">
        <f>C48/(LN(10^4))^(1/$G$67)</f>
        <v>28.158731203743216</v>
      </c>
      <c r="H68" s="98">
        <f>E48/(LN(10^4))^(1/$G$67)</f>
        <v>5.4339214190816323</v>
      </c>
    </row>
    <row r="69" spans="2:11">
      <c r="B69" s="93" t="s">
        <v>20</v>
      </c>
      <c r="C69" s="97">
        <v>3</v>
      </c>
      <c r="D69" s="52">
        <v>5</v>
      </c>
      <c r="E69" s="29">
        <f>C69</f>
        <v>3</v>
      </c>
      <c r="F69" s="98">
        <f>D69</f>
        <v>5</v>
      </c>
      <c r="G69" s="336">
        <v>3</v>
      </c>
      <c r="H69" s="337"/>
    </row>
    <row r="70" spans="2:11">
      <c r="B70" s="93" t="s">
        <v>556</v>
      </c>
      <c r="C70" s="99">
        <v>12.65</v>
      </c>
      <c r="D70" s="75">
        <v>16.416599999999999</v>
      </c>
      <c r="E70" s="77">
        <f>C70</f>
        <v>12.65</v>
      </c>
      <c r="F70" s="100">
        <f>D70</f>
        <v>16.416599999999999</v>
      </c>
      <c r="G70" s="338">
        <v>12.946999999999999</v>
      </c>
      <c r="H70" s="339"/>
    </row>
    <row r="71" spans="2:11">
      <c r="B71" s="93" t="s">
        <v>557</v>
      </c>
      <c r="C71" s="101">
        <f>10^((C70-7)/C69)</f>
        <v>76.442227425260114</v>
      </c>
      <c r="D71" s="29">
        <f>10^((D70-7)/D69)</f>
        <v>76.439880598174099</v>
      </c>
      <c r="E71" s="29">
        <f>10^((E70-7)/E69)</f>
        <v>76.442227425260114</v>
      </c>
      <c r="F71" s="98">
        <f>10^((F70-7)/F69)</f>
        <v>76.439880598174099</v>
      </c>
      <c r="G71" s="340" t="s">
        <v>558</v>
      </c>
      <c r="H71" s="296"/>
    </row>
    <row r="72" spans="2:11">
      <c r="B72" s="94" t="s">
        <v>559</v>
      </c>
      <c r="C72" s="92">
        <f>(C71/C68)^C67</f>
        <v>2.5852214434501035</v>
      </c>
      <c r="D72" s="23">
        <f>(D71/C68)^C67</f>
        <v>2.5851459589614496</v>
      </c>
      <c r="E72" s="23">
        <f>(E71/E68)^E67</f>
        <v>12.36050082085854</v>
      </c>
      <c r="F72" s="89">
        <f>(F71/E68)^E67</f>
        <v>12.360139913251835</v>
      </c>
      <c r="G72" s="340" t="s">
        <v>558</v>
      </c>
      <c r="H72" s="296"/>
    </row>
    <row r="73" spans="2:11">
      <c r="B73" s="94" t="s">
        <v>560</v>
      </c>
      <c r="C73" s="92">
        <f>1+C69/C67</f>
        <v>4.1543463082084173</v>
      </c>
      <c r="D73" s="23">
        <f>1+D69/C67</f>
        <v>6.2572438470140286</v>
      </c>
      <c r="E73" s="23">
        <f>1+E69/E67</f>
        <v>4.1543463082084173</v>
      </c>
      <c r="F73" s="89">
        <f>1+F69/E67</f>
        <v>6.2572438470140286</v>
      </c>
      <c r="G73" s="340" t="s">
        <v>558</v>
      </c>
      <c r="H73" s="296"/>
    </row>
    <row r="74" spans="2:11">
      <c r="B74" s="94" t="s">
        <v>429</v>
      </c>
      <c r="C74" s="92">
        <f>EXP(GAMMALN(1+C69/$C$67))</f>
        <v>7.3079975567681812</v>
      </c>
      <c r="D74" s="23">
        <f>EXP(GAMMALN(1+D69/C67))</f>
        <v>187.22077850272086</v>
      </c>
      <c r="E74" s="23">
        <f>EXP(GAMMALN(1+E69/E67))</f>
        <v>7.3079975567681812</v>
      </c>
      <c r="F74" s="89">
        <f>EXP(GAMMALN(1+F69/E67))</f>
        <v>187.22077850272086</v>
      </c>
      <c r="G74" s="334">
        <f>EXP(GAMMALN(1+G69/$G$67))</f>
        <v>7.3079975567681812</v>
      </c>
      <c r="H74" s="294"/>
    </row>
    <row r="75" spans="2:11">
      <c r="B75" s="94" t="s">
        <v>430</v>
      </c>
      <c r="C75" s="92">
        <f>GAMMADIST(C72,C73,1,TRUE)*EXP(GAMMALN(C73))</f>
        <v>1.7094492297067276</v>
      </c>
      <c r="D75" s="23">
        <f>GAMMADIST(D72,D73,1,TRUE)*EXP(GAMMALN(D73))</f>
        <v>6.9280719185000024</v>
      </c>
      <c r="E75" s="23">
        <f>GAMMADIST(E72,E73,1,TRUE)*EXP(GAMMALN(E73))</f>
        <v>7.2924450898871322</v>
      </c>
      <c r="F75" s="89">
        <f>GAMMADIST(F72,F73,1,TRUE)*EXP(GAMMALN(F73))</f>
        <v>183.40017091848895</v>
      </c>
      <c r="G75" s="340" t="s">
        <v>558</v>
      </c>
      <c r="H75" s="296"/>
      <c r="K75" s="48"/>
    </row>
    <row r="76" spans="2:11">
      <c r="B76" s="94" t="s">
        <v>14</v>
      </c>
      <c r="C76" s="285">
        <f>1-(C75-C72^((C69-D69)/C67)*D75)/C74</f>
        <v>0.89472438707670354</v>
      </c>
      <c r="D76" s="328"/>
      <c r="E76" s="328">
        <f>1-(E75-E72^((E69-F69)/E67)*F75)/E74</f>
        <v>0.12894044455861342</v>
      </c>
      <c r="F76" s="286"/>
      <c r="G76" s="104"/>
      <c r="H76" s="90"/>
    </row>
    <row r="77" spans="2:11" ht="14.25">
      <c r="B77" s="95" t="s">
        <v>561</v>
      </c>
      <c r="C77" s="285">
        <f>($F$58/10^C70)*C66*C68^C69*C74*C76</f>
        <v>1.0351658637974515</v>
      </c>
      <c r="D77" s="328"/>
      <c r="E77" s="328">
        <f>($F$58/10^E70)*E66*E68^E69*E74*E76</f>
        <v>9.5292368743169669E-4</v>
      </c>
      <c r="F77" s="286"/>
      <c r="G77" s="83">
        <f>$F$58*G66*(G68^G69/10^G70)*G74</f>
        <v>0.58387605788228936</v>
      </c>
      <c r="H77" s="89">
        <f>$F$58*H66*(H68^G69/10^G70)*G74</f>
        <v>3.7296575657430348E-3</v>
      </c>
    </row>
    <row r="78" spans="2:11" ht="14.25">
      <c r="B78" s="95" t="s">
        <v>434</v>
      </c>
      <c r="C78" s="319">
        <f>C77+E77</f>
        <v>1.0361187874848832</v>
      </c>
      <c r="D78" s="320"/>
      <c r="E78" s="320"/>
      <c r="F78" s="321"/>
      <c r="G78" s="298">
        <f>G77+H77</f>
        <v>0.58760571544803242</v>
      </c>
      <c r="H78" s="286"/>
    </row>
    <row r="79" spans="2:11" ht="13.5" thickBot="1">
      <c r="B79" s="96" t="s">
        <v>562</v>
      </c>
      <c r="C79" s="287">
        <f>F55/C78</f>
        <v>19.302806050403557</v>
      </c>
      <c r="D79" s="327"/>
      <c r="E79" s="327"/>
      <c r="F79" s="288"/>
      <c r="G79" s="335">
        <f>F55/G78</f>
        <v>34.036428636080537</v>
      </c>
      <c r="H79" s="288"/>
    </row>
    <row r="81" spans="2:3">
      <c r="B81" s="30" t="s">
        <v>563</v>
      </c>
      <c r="C81" s="48"/>
    </row>
    <row r="82" spans="2:3">
      <c r="B82" s="57" t="s">
        <v>564</v>
      </c>
      <c r="C82" s="85"/>
    </row>
    <row r="83" spans="2:3">
      <c r="B83" s="57" t="s">
        <v>565</v>
      </c>
      <c r="C83" s="85"/>
    </row>
    <row r="84" spans="2:3">
      <c r="B84" s="30" t="s">
        <v>566</v>
      </c>
      <c r="C84" s="102"/>
    </row>
    <row r="85" spans="2:3">
      <c r="B85" s="30" t="s">
        <v>567</v>
      </c>
      <c r="C85" s="102"/>
    </row>
    <row r="86" spans="2:3">
      <c r="B86" s="30" t="s">
        <v>568</v>
      </c>
    </row>
    <row r="87" spans="2:3">
      <c r="B87" s="30" t="s">
        <v>569</v>
      </c>
    </row>
    <row r="88" spans="2:3">
      <c r="B88" s="30" t="s">
        <v>570</v>
      </c>
    </row>
    <row r="89" spans="2:3">
      <c r="B89" s="57" t="s">
        <v>571</v>
      </c>
    </row>
    <row r="90" spans="2:3">
      <c r="B90" s="30" t="s">
        <v>572</v>
      </c>
    </row>
  </sheetData>
  <mergeCells count="46">
    <mergeCell ref="G67:H67"/>
    <mergeCell ref="G78:H78"/>
    <mergeCell ref="G79:H79"/>
    <mergeCell ref="G69:H69"/>
    <mergeCell ref="G70:H70"/>
    <mergeCell ref="G74:H74"/>
    <mergeCell ref="G71:H71"/>
    <mergeCell ref="G72:H72"/>
    <mergeCell ref="G73:H73"/>
    <mergeCell ref="G75:H75"/>
    <mergeCell ref="E66:F66"/>
    <mergeCell ref="E68:F68"/>
    <mergeCell ref="C77:D77"/>
    <mergeCell ref="E77:F77"/>
    <mergeCell ref="C78:F78"/>
    <mergeCell ref="E76:F76"/>
    <mergeCell ref="C79:F79"/>
    <mergeCell ref="C32:D32"/>
    <mergeCell ref="C33:D33"/>
    <mergeCell ref="C43:D43"/>
    <mergeCell ref="C44:D44"/>
    <mergeCell ref="C35:D35"/>
    <mergeCell ref="C36:D36"/>
    <mergeCell ref="C39:D39"/>
    <mergeCell ref="C40:D40"/>
    <mergeCell ref="C76:D76"/>
    <mergeCell ref="C65:D65"/>
    <mergeCell ref="E65:F65"/>
    <mergeCell ref="C67:D67"/>
    <mergeCell ref="C68:D68"/>
    <mergeCell ref="E67:F67"/>
    <mergeCell ref="C66:D66"/>
    <mergeCell ref="E32:F32"/>
    <mergeCell ref="E35:F35"/>
    <mergeCell ref="E36:F36"/>
    <mergeCell ref="E39:F39"/>
    <mergeCell ref="E33:F33"/>
    <mergeCell ref="E40:F40"/>
    <mergeCell ref="E43:F43"/>
    <mergeCell ref="E44:F44"/>
    <mergeCell ref="G64:H64"/>
    <mergeCell ref="C64:F64"/>
    <mergeCell ref="C47:D47"/>
    <mergeCell ref="E47:F47"/>
    <mergeCell ref="C48:D48"/>
    <mergeCell ref="E48:F48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34CDB-CC25-4546-9D3C-559C8C92338F}">
  <sheetPr codeName="Sheet511"/>
  <dimension ref="B1:Q80"/>
  <sheetViews>
    <sheetView showGridLines="0" topLeftCell="A22" workbookViewId="0">
      <selection activeCell="G80" sqref="G80:H80"/>
    </sheetView>
  </sheetViews>
  <sheetFormatPr defaultColWidth="10.83203125" defaultRowHeight="12.75"/>
  <cols>
    <col min="1" max="1" width="5.33203125" customWidth="1"/>
  </cols>
  <sheetData>
    <row r="1" spans="2:17" ht="25.5">
      <c r="B1" s="42" t="s">
        <v>573</v>
      </c>
    </row>
    <row r="3" spans="2:17" ht="14.25">
      <c r="B3" s="80" t="s">
        <v>486</v>
      </c>
      <c r="M3" s="30"/>
      <c r="N3" s="30"/>
      <c r="O3" s="30"/>
      <c r="P3" s="30"/>
      <c r="Q3" s="30"/>
    </row>
    <row r="4" spans="2:17">
      <c r="B4" t="s">
        <v>487</v>
      </c>
      <c r="E4" s="19" t="s">
        <v>488</v>
      </c>
      <c r="F4" s="74">
        <v>216.26</v>
      </c>
      <c r="G4" s="19" t="s">
        <v>489</v>
      </c>
      <c r="K4" s="26"/>
      <c r="M4" s="30"/>
      <c r="N4" s="30"/>
      <c r="O4" s="30"/>
      <c r="P4" s="30"/>
      <c r="Q4" s="30"/>
    </row>
    <row r="5" spans="2:17">
      <c r="B5" t="s">
        <v>490</v>
      </c>
      <c r="E5" s="19" t="s">
        <v>491</v>
      </c>
      <c r="F5" s="74">
        <v>32.24</v>
      </c>
      <c r="G5" s="19" t="s">
        <v>489</v>
      </c>
      <c r="M5" s="30"/>
      <c r="N5" s="30"/>
      <c r="O5" s="30"/>
      <c r="P5" s="30"/>
      <c r="Q5" s="30"/>
    </row>
    <row r="6" spans="2:17">
      <c r="B6" t="s">
        <v>492</v>
      </c>
      <c r="E6" s="19" t="s">
        <v>493</v>
      </c>
      <c r="F6" s="74">
        <v>20.399999999999999</v>
      </c>
      <c r="G6" s="19" t="s">
        <v>489</v>
      </c>
      <c r="H6" s="73"/>
      <c r="I6" s="19"/>
      <c r="M6" s="30"/>
      <c r="N6" s="30"/>
      <c r="O6" s="30"/>
      <c r="P6" s="30"/>
      <c r="Q6" s="30"/>
    </row>
    <row r="7" spans="2:17">
      <c r="B7" t="s">
        <v>494</v>
      </c>
      <c r="E7" s="19" t="s">
        <v>495</v>
      </c>
      <c r="F7" s="74">
        <v>0.86599999999999999</v>
      </c>
      <c r="G7" s="19"/>
      <c r="H7" s="73"/>
      <c r="I7" s="19"/>
      <c r="M7" s="30"/>
      <c r="N7" s="30"/>
      <c r="O7" s="30"/>
      <c r="P7" s="30"/>
      <c r="Q7" s="30"/>
    </row>
    <row r="8" spans="2:17">
      <c r="B8" t="s">
        <v>496</v>
      </c>
      <c r="E8" s="19" t="s">
        <v>497</v>
      </c>
      <c r="F8" s="74">
        <v>13.85</v>
      </c>
      <c r="G8" s="19" t="s">
        <v>489</v>
      </c>
      <c r="H8" s="73"/>
      <c r="I8" s="19"/>
      <c r="M8" s="30"/>
      <c r="N8" s="30"/>
      <c r="O8" s="30"/>
      <c r="P8" s="30"/>
      <c r="Q8" s="30"/>
    </row>
    <row r="9" spans="2:17">
      <c r="B9" t="s">
        <v>498</v>
      </c>
      <c r="E9" s="19" t="s">
        <v>499</v>
      </c>
      <c r="F9" s="74">
        <v>6.8150000000000004</v>
      </c>
      <c r="G9" s="19" t="s">
        <v>489</v>
      </c>
      <c r="H9" s="73"/>
      <c r="I9" s="19"/>
      <c r="M9" s="30"/>
      <c r="N9" s="30"/>
      <c r="O9" s="30"/>
      <c r="P9" s="30"/>
      <c r="Q9" s="30"/>
    </row>
    <row r="10" spans="2:17">
      <c r="B10" t="s">
        <v>500</v>
      </c>
      <c r="E10" s="19" t="s">
        <v>501</v>
      </c>
      <c r="F10" s="55">
        <f>10.75-((300-F4)/100)^1.5</f>
        <v>9.9836989249492074</v>
      </c>
      <c r="H10" s="73"/>
      <c r="I10" s="19"/>
      <c r="M10" s="30"/>
      <c r="N10" s="30"/>
      <c r="O10" s="30"/>
      <c r="P10" s="30"/>
      <c r="Q10" s="30"/>
    </row>
    <row r="11" spans="2:17">
      <c r="B11" t="s">
        <v>502</v>
      </c>
      <c r="E11" s="19" t="s">
        <v>503</v>
      </c>
      <c r="F11" s="55">
        <f>2.21-0.54*LOG10(F4)</f>
        <v>0.94911285272665524</v>
      </c>
      <c r="H11" s="73"/>
      <c r="I11" s="19"/>
      <c r="M11" s="30"/>
      <c r="N11" s="30"/>
      <c r="O11" s="30"/>
      <c r="P11" s="30"/>
      <c r="Q11" s="30"/>
    </row>
    <row r="12" spans="2:17">
      <c r="F12" s="21"/>
      <c r="G12" s="19"/>
      <c r="H12" s="73"/>
      <c r="I12" s="19"/>
      <c r="M12" s="30"/>
      <c r="N12" s="30"/>
      <c r="O12" s="30"/>
      <c r="P12" s="30"/>
      <c r="Q12" s="30"/>
    </row>
    <row r="13" spans="2:17" ht="15.75">
      <c r="B13" s="81" t="s">
        <v>504</v>
      </c>
      <c r="I13" s="19"/>
      <c r="M13" s="30"/>
      <c r="N13" s="30"/>
      <c r="O13" s="30"/>
      <c r="P13" s="30"/>
      <c r="Q13" s="30"/>
    </row>
    <row r="14" spans="2:17">
      <c r="B14" t="s">
        <v>505</v>
      </c>
      <c r="E14" s="28" t="s">
        <v>506</v>
      </c>
      <c r="F14" s="54">
        <f>0.5^(1/F11)</f>
        <v>0.48175933056475473</v>
      </c>
      <c r="H14" s="73"/>
      <c r="I14" s="19"/>
      <c r="M14" s="30"/>
      <c r="N14" s="30"/>
      <c r="O14" s="30"/>
      <c r="P14" s="30"/>
      <c r="Q14" s="30"/>
    </row>
    <row r="15" spans="2:17">
      <c r="B15" t="s">
        <v>507</v>
      </c>
      <c r="E15" s="28" t="s">
        <v>508</v>
      </c>
      <c r="F15" s="51">
        <v>-1532300</v>
      </c>
      <c r="G15" s="19" t="s">
        <v>509</v>
      </c>
      <c r="H15" s="73"/>
      <c r="I15" s="19"/>
      <c r="M15" s="30"/>
      <c r="N15" s="30"/>
      <c r="O15" s="30"/>
      <c r="P15" s="30"/>
      <c r="Q15" s="30"/>
    </row>
    <row r="16" spans="2:17">
      <c r="B16" t="s">
        <v>510</v>
      </c>
      <c r="E16" s="28" t="s">
        <v>511</v>
      </c>
      <c r="F16" s="51">
        <v>1648600</v>
      </c>
      <c r="G16" s="19" t="s">
        <v>509</v>
      </c>
      <c r="H16" s="73"/>
      <c r="M16" s="30"/>
      <c r="N16" s="30"/>
      <c r="O16" s="30"/>
      <c r="P16" s="30"/>
      <c r="Q16" s="30"/>
    </row>
    <row r="17" spans="2:17">
      <c r="B17" t="s">
        <v>512</v>
      </c>
      <c r="E17" s="28" t="s">
        <v>513</v>
      </c>
      <c r="F17" s="56">
        <f>-0.11*F14*F10*F4^2*F5*(F7+0.7)</f>
        <v>-1249261.8672472269</v>
      </c>
      <c r="G17" s="19" t="s">
        <v>509</v>
      </c>
      <c r="H17" s="73"/>
      <c r="M17" s="30"/>
      <c r="N17" s="30"/>
      <c r="O17" s="30"/>
      <c r="P17" s="30"/>
      <c r="Q17" s="30"/>
    </row>
    <row r="18" spans="2:17">
      <c r="B18" t="s">
        <v>514</v>
      </c>
      <c r="E18" s="28" t="s">
        <v>515</v>
      </c>
      <c r="F18" s="56">
        <f>0.19*F14*F10*F4^2*F5*F7</f>
        <v>1193274.9775737766</v>
      </c>
      <c r="G18" s="19" t="s">
        <v>509</v>
      </c>
      <c r="H18" s="73"/>
      <c r="I18" s="19"/>
      <c r="M18" s="30"/>
      <c r="N18" s="30"/>
      <c r="O18" s="30"/>
      <c r="P18" s="30"/>
      <c r="Q18" s="30"/>
    </row>
    <row r="19" spans="2:17">
      <c r="B19" t="s">
        <v>516</v>
      </c>
      <c r="E19" s="28" t="s">
        <v>517</v>
      </c>
      <c r="F19" s="56">
        <f>0.22*F14*F4^(9/4)*(F8+0.3*F5)*F7*(1-COS(2*3.14*0.5*F4/F4))</f>
        <v>774410.29955838702</v>
      </c>
      <c r="G19" s="19" t="s">
        <v>509</v>
      </c>
      <c r="H19" s="73"/>
      <c r="I19" s="19"/>
      <c r="M19" s="30"/>
      <c r="N19" s="30"/>
      <c r="O19" s="30"/>
      <c r="P19" s="30"/>
      <c r="Q19" s="30"/>
    </row>
    <row r="20" spans="2:17">
      <c r="B20" t="s">
        <v>518</v>
      </c>
      <c r="E20" s="28" t="s">
        <v>519</v>
      </c>
      <c r="F20" s="56">
        <f>0.22*F14*F4^(9/4)*(F9+0.3*F5)*F7*(1-COS(2*3.14*0.5*F4/F4))</f>
        <v>542798.34235265409</v>
      </c>
      <c r="G20" s="19" t="s">
        <v>509</v>
      </c>
      <c r="H20" s="73"/>
      <c r="I20" s="19"/>
      <c r="M20" s="30"/>
      <c r="N20" s="30"/>
      <c r="O20" s="30"/>
      <c r="P20" s="30"/>
      <c r="Q20" s="30"/>
    </row>
    <row r="21" spans="2:17">
      <c r="F21" s="21"/>
      <c r="G21" s="19"/>
      <c r="H21" s="73"/>
      <c r="I21" s="19"/>
      <c r="M21" s="30"/>
      <c r="N21" s="30"/>
      <c r="O21" s="30"/>
      <c r="P21" s="30"/>
      <c r="Q21" s="30"/>
    </row>
    <row r="22" spans="2:17" ht="15.75">
      <c r="B22" s="81" t="s">
        <v>520</v>
      </c>
      <c r="F22" s="21"/>
      <c r="G22" s="19"/>
      <c r="H22" s="73"/>
      <c r="I22" s="19"/>
      <c r="M22" s="30"/>
      <c r="N22" s="30"/>
      <c r="O22" s="30"/>
      <c r="P22" s="30"/>
      <c r="Q22" s="30"/>
    </row>
    <row r="23" spans="2:17">
      <c r="B23" t="s">
        <v>521</v>
      </c>
      <c r="C23" s="19"/>
      <c r="L23" s="21"/>
      <c r="M23" s="30"/>
      <c r="N23" s="30"/>
      <c r="O23" s="30"/>
      <c r="P23" s="30"/>
      <c r="Q23" s="30"/>
    </row>
    <row r="24" spans="2:17">
      <c r="B24" s="22" t="s">
        <v>522</v>
      </c>
      <c r="C24" s="22" t="s">
        <v>523</v>
      </c>
      <c r="D24" s="22" t="s">
        <v>524</v>
      </c>
      <c r="M24" s="30"/>
      <c r="N24" s="30"/>
      <c r="O24" s="30"/>
      <c r="P24" s="30"/>
      <c r="Q24" s="30"/>
    </row>
    <row r="25" spans="2:17">
      <c r="B25" s="53">
        <v>-7.73</v>
      </c>
      <c r="C25" s="53">
        <v>14.04</v>
      </c>
      <c r="D25" s="53">
        <v>13.17</v>
      </c>
      <c r="L25" s="21"/>
      <c r="M25" s="30"/>
      <c r="N25" s="30"/>
      <c r="O25" s="30"/>
      <c r="P25" s="30"/>
      <c r="Q25" s="30"/>
    </row>
    <row r="26" spans="2:17">
      <c r="L26" s="21"/>
      <c r="M26" s="30"/>
      <c r="N26" s="30"/>
      <c r="O26" s="30"/>
      <c r="P26" s="30"/>
      <c r="Q26" s="30"/>
    </row>
    <row r="27" spans="2:17">
      <c r="B27" t="s">
        <v>525</v>
      </c>
      <c r="C27" s="19"/>
      <c r="D27" s="19"/>
      <c r="E27" s="19"/>
      <c r="M27" s="30"/>
      <c r="N27" s="30"/>
      <c r="O27" s="30"/>
      <c r="P27" s="30"/>
      <c r="Q27" s="30"/>
    </row>
    <row r="28" spans="2:17">
      <c r="B28" s="22" t="s">
        <v>526</v>
      </c>
      <c r="C28" s="22" t="s">
        <v>527</v>
      </c>
      <c r="D28" s="22" t="s">
        <v>528</v>
      </c>
      <c r="E28" s="22" t="s">
        <v>529</v>
      </c>
      <c r="F28" s="22" t="s">
        <v>530</v>
      </c>
      <c r="G28" s="31" t="s">
        <v>390</v>
      </c>
      <c r="H28" s="31" t="s">
        <v>391</v>
      </c>
      <c r="I28" s="31" t="s">
        <v>392</v>
      </c>
      <c r="M28" s="30"/>
      <c r="N28" s="30"/>
      <c r="O28" s="30"/>
      <c r="P28" s="30"/>
      <c r="Q28" s="30"/>
    </row>
    <row r="29" spans="2:17">
      <c r="B29" s="53">
        <v>45</v>
      </c>
      <c r="C29" s="53">
        <v>-47</v>
      </c>
      <c r="D29" s="22">
        <f>ABS(B29)+ABS(C29)</f>
        <v>92</v>
      </c>
      <c r="E29" s="53">
        <v>49</v>
      </c>
      <c r="F29" s="53">
        <v>35</v>
      </c>
      <c r="G29" s="22">
        <v>0.1</v>
      </c>
      <c r="H29" s="24">
        <f>SQRT(D29^2+E29^2-2*G29*D29*E29)</f>
        <v>99.816832247872895</v>
      </c>
      <c r="I29" s="24">
        <f>SQRT(D29^2+F29^2-2*G29*D29*F29)</f>
        <v>95.105204904884147</v>
      </c>
      <c r="M29" s="30"/>
      <c r="N29" s="30"/>
      <c r="O29" s="30"/>
      <c r="P29" s="30"/>
      <c r="Q29" s="30"/>
    </row>
    <row r="30" spans="2:17">
      <c r="M30" s="30"/>
      <c r="N30" s="30"/>
      <c r="O30" s="30"/>
      <c r="P30" s="30"/>
      <c r="Q30" s="30"/>
    </row>
    <row r="31" spans="2:17">
      <c r="B31" t="s">
        <v>531</v>
      </c>
      <c r="C31" s="19"/>
      <c r="D31" s="19"/>
      <c r="E31" s="19"/>
      <c r="F31" s="19"/>
      <c r="G31" s="19"/>
      <c r="H31" s="19"/>
      <c r="I31" s="19"/>
      <c r="J31" s="19"/>
      <c r="M31" s="30"/>
      <c r="N31" s="30"/>
      <c r="O31" s="30"/>
      <c r="P31" s="30"/>
      <c r="Q31" s="30"/>
    </row>
    <row r="32" spans="2:17">
      <c r="B32" s="28"/>
      <c r="C32" s="301" t="s">
        <v>532</v>
      </c>
      <c r="D32" s="301"/>
      <c r="E32" s="301" t="s">
        <v>533</v>
      </c>
      <c r="F32" s="301"/>
      <c r="M32" s="30"/>
      <c r="N32" s="30"/>
      <c r="O32" s="30"/>
      <c r="P32" s="30"/>
      <c r="Q32" s="30"/>
    </row>
    <row r="33" spans="2:17">
      <c r="B33" s="22" t="s">
        <v>534</v>
      </c>
      <c r="C33" s="297">
        <f>F8</f>
        <v>13.85</v>
      </c>
      <c r="D33" s="302"/>
      <c r="E33" s="297">
        <f>F9</f>
        <v>6.8150000000000004</v>
      </c>
      <c r="F33" s="302"/>
      <c r="M33" s="30"/>
      <c r="N33" s="30"/>
      <c r="O33" s="30"/>
      <c r="P33" s="30"/>
      <c r="Q33" s="30"/>
    </row>
    <row r="34" spans="2:17">
      <c r="B34" s="31" t="s">
        <v>397</v>
      </c>
      <c r="C34" s="53">
        <v>-324</v>
      </c>
      <c r="D34" s="53">
        <v>102</v>
      </c>
      <c r="E34" s="53">
        <v>-56</v>
      </c>
      <c r="F34" s="53">
        <v>2</v>
      </c>
      <c r="M34" s="30"/>
      <c r="N34" s="30"/>
      <c r="O34" s="30"/>
      <c r="P34" s="30"/>
      <c r="Q34" s="30"/>
    </row>
    <row r="35" spans="2:17">
      <c r="B35" s="31" t="s">
        <v>398</v>
      </c>
      <c r="C35" s="300">
        <f>0.5-MIN($D$25,C33)/(10*C33)+ABS($B$25)/(4*$F$4)+ABS($C$25)/(4*$F$5)-ABS($B$25)*MIN($D$25,C33)/(5*$F$4*C33)</f>
        <v>0.51591890375691407</v>
      </c>
      <c r="D35" s="298"/>
      <c r="E35" s="300">
        <f>0.5-MIN($D$25,E33)/(10*E33)+ABS($B$25)/(4*$F$4)+ABS($C$25)/(4*$F$5)-ABS($B$25)*MIN($D$25,E33)/(5*$F$4*E33)</f>
        <v>0.51065816833381561</v>
      </c>
      <c r="F35" s="298"/>
      <c r="M35" s="30"/>
      <c r="N35" s="30"/>
      <c r="O35" s="30"/>
      <c r="P35" s="30"/>
      <c r="Q35" s="30"/>
    </row>
    <row r="36" spans="2:17">
      <c r="B36" s="22" t="s">
        <v>535</v>
      </c>
      <c r="C36" s="303">
        <f>SQRT(C34^2+D34^2+2*C35*C34*D34)</f>
        <v>285.09616647244314</v>
      </c>
      <c r="D36" s="304"/>
      <c r="E36" s="303">
        <f>SQRT(E34^2+F34^2+2*E35*E34*F34)</f>
        <v>55.005568538950904</v>
      </c>
      <c r="F36" s="304"/>
      <c r="M36" s="30"/>
      <c r="N36" s="30"/>
      <c r="O36" s="30"/>
      <c r="P36" s="30"/>
      <c r="Q36" s="30"/>
    </row>
    <row r="37" spans="2:17">
      <c r="B37" s="49"/>
      <c r="C37" s="44"/>
      <c r="D37" s="44"/>
      <c r="E37" s="44"/>
      <c r="F37" s="44"/>
      <c r="M37" s="30"/>
      <c r="N37" s="30"/>
      <c r="O37" s="30"/>
      <c r="P37" s="30"/>
      <c r="Q37" s="30"/>
    </row>
    <row r="38" spans="2:17">
      <c r="B38" t="s">
        <v>536</v>
      </c>
      <c r="C38" s="47"/>
      <c r="D38" s="47"/>
      <c r="E38" s="47"/>
      <c r="F38" s="47"/>
    </row>
    <row r="39" spans="2:17">
      <c r="B39" s="22" t="s">
        <v>537</v>
      </c>
      <c r="C39" s="313">
        <v>0.8</v>
      </c>
      <c r="D39" s="314"/>
      <c r="E39" s="313">
        <v>0.8</v>
      </c>
      <c r="F39" s="314"/>
    </row>
    <row r="40" spans="2:17">
      <c r="B40" s="31" t="s">
        <v>402</v>
      </c>
      <c r="C40" s="303">
        <f>C39*MAX($H$29+0.6*C36,0.6*$H$29+C36)</f>
        <v>275.98901265693348</v>
      </c>
      <c r="D40" s="304"/>
      <c r="E40" s="303">
        <f>E39*MAX($I$29+0.6*E36,0.6*$HB29+E36)</f>
        <v>102.48683682260376</v>
      </c>
      <c r="F40" s="304"/>
    </row>
    <row r="41" spans="2:17">
      <c r="B41" s="43"/>
      <c r="C41" s="44"/>
      <c r="D41" s="44"/>
      <c r="E41" s="44"/>
      <c r="F41" s="44"/>
    </row>
    <row r="42" spans="2:17">
      <c r="B42" s="50" t="s">
        <v>538</v>
      </c>
      <c r="C42" s="47"/>
      <c r="D42" s="47"/>
      <c r="E42" s="47"/>
      <c r="F42" s="47"/>
    </row>
    <row r="43" spans="2:17">
      <c r="B43" s="22" t="s">
        <v>539</v>
      </c>
      <c r="C43" s="313">
        <v>0.85</v>
      </c>
      <c r="D43" s="314"/>
      <c r="E43" s="313">
        <v>0.85</v>
      </c>
      <c r="F43" s="314"/>
    </row>
    <row r="44" spans="2:17">
      <c r="B44" s="31" t="s">
        <v>406</v>
      </c>
      <c r="C44" s="303">
        <f>C43*C40</f>
        <v>234.59066075839345</v>
      </c>
      <c r="D44" s="304"/>
      <c r="E44" s="303">
        <f>E43*E40</f>
        <v>87.113811299213197</v>
      </c>
      <c r="F44" s="304"/>
    </row>
    <row r="45" spans="2:17">
      <c r="B45" s="43"/>
      <c r="C45" s="44"/>
      <c r="D45" s="44"/>
      <c r="E45" s="44"/>
      <c r="F45" s="44"/>
    </row>
    <row r="46" spans="2:17">
      <c r="B46" s="50" t="s">
        <v>540</v>
      </c>
      <c r="C46" s="47"/>
      <c r="D46" s="47"/>
      <c r="E46" s="47"/>
      <c r="F46" s="47"/>
    </row>
    <row r="47" spans="2:17">
      <c r="B47" s="22" t="s">
        <v>541</v>
      </c>
      <c r="C47" s="325">
        <v>1.5</v>
      </c>
      <c r="D47" s="326"/>
      <c r="E47" s="325">
        <v>1.5</v>
      </c>
      <c r="F47" s="326"/>
    </row>
    <row r="48" spans="2:17">
      <c r="B48" s="31" t="s">
        <v>409</v>
      </c>
      <c r="C48" s="303">
        <f>C47*C44</f>
        <v>351.88599113759017</v>
      </c>
      <c r="D48" s="304"/>
      <c r="E48" s="303">
        <f>E47*E44</f>
        <v>130.6707169488198</v>
      </c>
      <c r="F48" s="304"/>
    </row>
    <row r="49" spans="2:10">
      <c r="B49" s="45"/>
      <c r="C49" s="46"/>
      <c r="D49" s="46"/>
    </row>
    <row r="50" spans="2:10">
      <c r="B50" s="45"/>
      <c r="C50" s="46"/>
      <c r="D50" s="46"/>
    </row>
    <row r="51" spans="2:10">
      <c r="B51" s="45"/>
      <c r="C51" s="46"/>
      <c r="D51" s="46"/>
    </row>
    <row r="52" spans="2:10">
      <c r="B52" s="45"/>
      <c r="C52" s="46"/>
      <c r="D52" s="46"/>
    </row>
    <row r="53" spans="2:10" ht="15.75">
      <c r="B53" s="82" t="s">
        <v>542</v>
      </c>
    </row>
    <row r="55" spans="2:10">
      <c r="B55" t="s">
        <v>543</v>
      </c>
      <c r="F55" s="19">
        <v>20</v>
      </c>
    </row>
    <row r="56" spans="2:10">
      <c r="B56" t="s">
        <v>544</v>
      </c>
      <c r="F56" s="78">
        <f>F55*365*24*3600</f>
        <v>630720000</v>
      </c>
    </row>
    <row r="57" spans="2:10">
      <c r="B57" t="s">
        <v>545</v>
      </c>
      <c r="F57" s="48">
        <f>1/(4*LOG(F4))</f>
        <v>0.10706747252673333</v>
      </c>
    </row>
    <row r="58" spans="2:10">
      <c r="B58" t="s">
        <v>546</v>
      </c>
      <c r="F58" s="79">
        <f>F57*F56</f>
        <v>67529596.272061244</v>
      </c>
    </row>
    <row r="59" spans="2:10">
      <c r="B59" t="s">
        <v>574</v>
      </c>
      <c r="F59" s="105">
        <f>1.1-0.35*(F4-100)/300</f>
        <v>0.96436333333333346</v>
      </c>
    </row>
    <row r="60" spans="2:10" ht="13.5" thickBot="1">
      <c r="F60" s="79"/>
    </row>
    <row r="61" spans="2:10">
      <c r="B61" s="91"/>
      <c r="C61" s="309" t="s">
        <v>549</v>
      </c>
      <c r="D61" s="310"/>
      <c r="E61" s="310"/>
      <c r="F61" s="311"/>
      <c r="G61" s="324" t="s">
        <v>550</v>
      </c>
      <c r="H61" s="323"/>
      <c r="I61" s="19"/>
      <c r="J61" s="19"/>
    </row>
    <row r="62" spans="2:10">
      <c r="B62" s="93" t="s">
        <v>551</v>
      </c>
      <c r="C62" s="329" t="s">
        <v>552</v>
      </c>
      <c r="D62" s="301"/>
      <c r="E62" s="301" t="s">
        <v>533</v>
      </c>
      <c r="F62" s="330"/>
      <c r="G62" s="84" t="s">
        <v>552</v>
      </c>
      <c r="H62" s="88" t="s">
        <v>533</v>
      </c>
    </row>
    <row r="63" spans="2:10">
      <c r="B63" s="93" t="s">
        <v>553</v>
      </c>
      <c r="C63" s="329">
        <v>0.5</v>
      </c>
      <c r="D63" s="301"/>
      <c r="E63" s="301">
        <v>0.5</v>
      </c>
      <c r="F63" s="330"/>
      <c r="G63" s="84">
        <v>0.5</v>
      </c>
      <c r="H63" s="88">
        <v>0.5</v>
      </c>
    </row>
    <row r="64" spans="2:10">
      <c r="B64" s="93" t="s">
        <v>554</v>
      </c>
      <c r="C64" s="285">
        <f>1.1-0.35*(F4-100)/300</f>
        <v>0.96436333333333346</v>
      </c>
      <c r="D64" s="328"/>
      <c r="E64" s="328">
        <f>F59</f>
        <v>0.96436333333333346</v>
      </c>
      <c r="F64" s="286"/>
      <c r="G64" s="334">
        <f>F59</f>
        <v>0.96436333333333346</v>
      </c>
      <c r="H64" s="294"/>
    </row>
    <row r="65" spans="2:11">
      <c r="B65" s="93" t="s">
        <v>555</v>
      </c>
      <c r="C65" s="331">
        <f>C48/(LN(10^4))^(1/$C$64)</f>
        <v>35.195964418563207</v>
      </c>
      <c r="D65" s="332"/>
      <c r="E65" s="332">
        <f>E48/(LN(10^4))^(1/$C$64)</f>
        <v>13.069806755906146</v>
      </c>
      <c r="F65" s="333"/>
      <c r="G65" s="86">
        <f>C48/(LN(10^4))^(1/$G$64)</f>
        <v>35.195964418563207</v>
      </c>
      <c r="H65" s="98">
        <f>E48/(LN(10^4))^(1/$G$64)</f>
        <v>13.069806755906146</v>
      </c>
    </row>
    <row r="66" spans="2:11">
      <c r="B66" s="93" t="s">
        <v>20</v>
      </c>
      <c r="C66" s="97">
        <v>3</v>
      </c>
      <c r="D66" s="52">
        <v>5</v>
      </c>
      <c r="E66" s="29">
        <f>C66</f>
        <v>3</v>
      </c>
      <c r="F66" s="98">
        <f>D66</f>
        <v>5</v>
      </c>
      <c r="G66" s="336">
        <v>3</v>
      </c>
      <c r="H66" s="337"/>
    </row>
    <row r="67" spans="2:11">
      <c r="B67" s="93" t="s">
        <v>556</v>
      </c>
      <c r="C67" s="99">
        <v>12.010999999999999</v>
      </c>
      <c r="D67" s="75">
        <v>15.352</v>
      </c>
      <c r="E67" s="77">
        <f>C67</f>
        <v>12.010999999999999</v>
      </c>
      <c r="F67" s="100">
        <f>D67</f>
        <v>15.352</v>
      </c>
      <c r="G67" s="338">
        <v>12.946999999999999</v>
      </c>
      <c r="H67" s="339"/>
    </row>
    <row r="68" spans="2:11">
      <c r="B68" s="93" t="s">
        <v>557</v>
      </c>
      <c r="C68" s="101">
        <f>10^((C67-7)/C66)</f>
        <v>46.809427908172189</v>
      </c>
      <c r="D68" s="29">
        <f>10^((D67-7)/D66)</f>
        <v>46.816613972436464</v>
      </c>
      <c r="E68" s="29">
        <f>10^((E67-7)/E66)</f>
        <v>46.809427908172189</v>
      </c>
      <c r="F68" s="98">
        <f>10^((F67-7)/F66)</f>
        <v>46.816613972436464</v>
      </c>
      <c r="G68" s="340" t="s">
        <v>558</v>
      </c>
      <c r="H68" s="296"/>
    </row>
    <row r="69" spans="2:11">
      <c r="B69" s="94" t="s">
        <v>559</v>
      </c>
      <c r="C69" s="92">
        <f>(C68/C65)^C64</f>
        <v>1.316519214680149</v>
      </c>
      <c r="D69" s="23">
        <f>(D68/C65)^C64</f>
        <v>1.3167141203472792</v>
      </c>
      <c r="E69" s="23">
        <f>(E68/E65)^E64</f>
        <v>3.4223085867840286</v>
      </c>
      <c r="F69" s="89">
        <f>(F68/E65)^E64</f>
        <v>3.4228152465659716</v>
      </c>
      <c r="G69" s="340" t="s">
        <v>558</v>
      </c>
      <c r="H69" s="296"/>
    </row>
    <row r="70" spans="2:11">
      <c r="B70" s="94" t="s">
        <v>560</v>
      </c>
      <c r="C70" s="92">
        <f>1+C66/C64</f>
        <v>4.1108607060271192</v>
      </c>
      <c r="D70" s="23">
        <f>1+D66/C64</f>
        <v>6.1847678433785322</v>
      </c>
      <c r="E70" s="23">
        <f>1+E66/E64</f>
        <v>4.1108607060271192</v>
      </c>
      <c r="F70" s="89">
        <f>1+F66/E64</f>
        <v>6.1847678433785322</v>
      </c>
      <c r="G70" s="340" t="s">
        <v>558</v>
      </c>
      <c r="H70" s="296"/>
    </row>
    <row r="71" spans="2:11">
      <c r="B71" s="94" t="s">
        <v>429</v>
      </c>
      <c r="C71" s="92">
        <f>EXP(GAMMALN(1+C66/$C$64))</f>
        <v>6.9084117838057306</v>
      </c>
      <c r="D71" s="23">
        <f>EXP(GAMMALN(1+D66/C64))</f>
        <v>164.97412154634509</v>
      </c>
      <c r="E71" s="23">
        <f>EXP(GAMMALN(1+E66/E64))</f>
        <v>6.9084117838057306</v>
      </c>
      <c r="F71" s="89">
        <f>EXP(GAMMALN(1+F66/E64))</f>
        <v>164.97412154634509</v>
      </c>
      <c r="G71" s="334">
        <f>EXP(GAMMALN(1+G66/$G$64))</f>
        <v>6.9084117838057306</v>
      </c>
      <c r="H71" s="294"/>
    </row>
    <row r="72" spans="2:11">
      <c r="B72" s="94" t="s">
        <v>430</v>
      </c>
      <c r="C72" s="92">
        <f>GAMMADIST(C69,C70,1,TRUE)*EXP(GAMMALN(C70))</f>
        <v>0.26765491726664431</v>
      </c>
      <c r="D72" s="23">
        <f>GAMMADIST(D69,D70,1,TRUE)*EXP(GAMMALN(D70))</f>
        <v>0.28931030964424576</v>
      </c>
      <c r="E72" s="23">
        <f>GAMMADIST(E69,E70,1,TRUE)*EXP(GAMMALN(E70))</f>
        <v>2.9253944766251956</v>
      </c>
      <c r="F72" s="89">
        <f>GAMMADIST(F69,F70,1,TRUE)*EXP(GAMMALN(F70))</f>
        <v>19.007427290074848</v>
      </c>
      <c r="G72" s="340" t="s">
        <v>558</v>
      </c>
      <c r="H72" s="296"/>
      <c r="K72" s="48"/>
    </row>
    <row r="73" spans="2:11">
      <c r="B73" s="94" t="s">
        <v>20</v>
      </c>
      <c r="C73" s="285">
        <f>1-(C72-C69^((C66-D66)/C64)*D72)/C71</f>
        <v>0.98493246994173844</v>
      </c>
      <c r="D73" s="328"/>
      <c r="E73" s="328">
        <f>1-(E72-E69^((E66-F66)/E64)*F72)/E71</f>
        <v>0.79104082801755393</v>
      </c>
      <c r="F73" s="286"/>
      <c r="G73" s="104"/>
      <c r="H73" s="90"/>
    </row>
    <row r="74" spans="2:11" ht="14.25">
      <c r="B74" s="95" t="s">
        <v>561</v>
      </c>
      <c r="C74" s="285">
        <f>($F$58/10^C67)*C63*C65^C66*C71*C73</f>
        <v>9.7662410375440878</v>
      </c>
      <c r="D74" s="328"/>
      <c r="E74" s="328">
        <f>($F$58/10^E67)*E63*E65^E66*E71*E73</f>
        <v>0.40165092575428268</v>
      </c>
      <c r="F74" s="286"/>
      <c r="G74" s="83">
        <f>$F$58*G63*(G65^G66/10^G67)*G71</f>
        <v>1.1490025270187743</v>
      </c>
      <c r="H74" s="89">
        <f>$F$58*H63*(H65^G66/10^G67)*G71</f>
        <v>5.8836912250056106E-2</v>
      </c>
    </row>
    <row r="75" spans="2:11" ht="14.25">
      <c r="B75" s="95" t="s">
        <v>434</v>
      </c>
      <c r="C75" s="319">
        <f>C74+E74</f>
        <v>10.16789196329837</v>
      </c>
      <c r="D75" s="320"/>
      <c r="E75" s="320"/>
      <c r="F75" s="321"/>
      <c r="G75" s="298">
        <f>G74+H74</f>
        <v>1.2078394392688303</v>
      </c>
      <c r="H75" s="286"/>
    </row>
    <row r="76" spans="2:11" ht="13.5" thickBot="1">
      <c r="B76" s="96" t="s">
        <v>562</v>
      </c>
      <c r="C76" s="287">
        <f>F55/C75</f>
        <v>1.9669760528722402</v>
      </c>
      <c r="D76" s="327"/>
      <c r="E76" s="327"/>
      <c r="F76" s="288"/>
      <c r="G76" s="335">
        <f>F55/G75</f>
        <v>16.558492254655196</v>
      </c>
      <c r="H76" s="288"/>
    </row>
    <row r="78" spans="2:11">
      <c r="C78" s="48"/>
    </row>
    <row r="79" spans="2:11">
      <c r="C79" s="85"/>
    </row>
    <row r="80" spans="2:11">
      <c r="C80" s="102"/>
    </row>
  </sheetData>
  <mergeCells count="46">
    <mergeCell ref="E43:F43"/>
    <mergeCell ref="E44:F44"/>
    <mergeCell ref="G61:H61"/>
    <mergeCell ref="C61:F61"/>
    <mergeCell ref="C47:D47"/>
    <mergeCell ref="E47:F47"/>
    <mergeCell ref="C48:D48"/>
    <mergeCell ref="E48:F48"/>
    <mergeCell ref="C76:F76"/>
    <mergeCell ref="C32:D32"/>
    <mergeCell ref="C33:D33"/>
    <mergeCell ref="C43:D43"/>
    <mergeCell ref="C44:D44"/>
    <mergeCell ref="C35:D35"/>
    <mergeCell ref="C36:D36"/>
    <mergeCell ref="C39:D39"/>
    <mergeCell ref="C40:D40"/>
    <mergeCell ref="C73:D73"/>
    <mergeCell ref="E32:F32"/>
    <mergeCell ref="E35:F35"/>
    <mergeCell ref="E36:F36"/>
    <mergeCell ref="E39:F39"/>
    <mergeCell ref="E33:F33"/>
    <mergeCell ref="E40:F40"/>
    <mergeCell ref="C74:D74"/>
    <mergeCell ref="E74:F74"/>
    <mergeCell ref="C75:F75"/>
    <mergeCell ref="E73:F73"/>
    <mergeCell ref="C62:D62"/>
    <mergeCell ref="E62:F62"/>
    <mergeCell ref="C64:D64"/>
    <mergeCell ref="C65:D65"/>
    <mergeCell ref="E64:F64"/>
    <mergeCell ref="C63:D63"/>
    <mergeCell ref="E63:F63"/>
    <mergeCell ref="E65:F65"/>
    <mergeCell ref="G64:H64"/>
    <mergeCell ref="G75:H75"/>
    <mergeCell ref="G76:H76"/>
    <mergeCell ref="G66:H66"/>
    <mergeCell ref="G67:H67"/>
    <mergeCell ref="G71:H71"/>
    <mergeCell ref="G68:H68"/>
    <mergeCell ref="G69:H69"/>
    <mergeCell ref="G70:H70"/>
    <mergeCell ref="G72:H72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51475-2F9C-40FC-BA0D-A80B2EFF8415}">
  <sheetPr codeName="Sheet8"/>
  <dimension ref="A2:Y133"/>
  <sheetViews>
    <sheetView workbookViewId="0">
      <selection activeCell="I100" sqref="I100"/>
    </sheetView>
  </sheetViews>
  <sheetFormatPr defaultRowHeight="12.75"/>
  <cols>
    <col min="1" max="1" width="9.5" bestFit="1" customWidth="1"/>
    <col min="2" max="2" width="11" customWidth="1"/>
    <col min="3" max="3" width="11.83203125" customWidth="1"/>
    <col min="4" max="4" width="10.33203125" customWidth="1"/>
    <col min="5" max="5" width="11.6640625" bestFit="1" customWidth="1"/>
    <col min="6" max="6" width="12.33203125" customWidth="1"/>
    <col min="7" max="7" width="12.6640625" customWidth="1"/>
    <col min="8" max="8" width="11.6640625" bestFit="1" customWidth="1"/>
    <col min="10" max="10" width="10.5" bestFit="1" customWidth="1"/>
  </cols>
  <sheetData>
    <row r="2" spans="1:25">
      <c r="A2" t="s">
        <v>575</v>
      </c>
      <c r="D2" s="117">
        <f>10^8</f>
        <v>100000000</v>
      </c>
    </row>
    <row r="3" spans="1:25">
      <c r="A3" t="s">
        <v>576</v>
      </c>
      <c r="D3" s="117">
        <f>10^4</f>
        <v>10000</v>
      </c>
    </row>
    <row r="4" spans="1:25">
      <c r="A4" t="s">
        <v>577</v>
      </c>
      <c r="D4" s="116">
        <v>1</v>
      </c>
    </row>
    <row r="5" spans="1:25">
      <c r="A5" t="s">
        <v>578</v>
      </c>
      <c r="D5">
        <v>0.999</v>
      </c>
    </row>
    <row r="6" spans="1:25">
      <c r="A6" t="s">
        <v>579</v>
      </c>
      <c r="D6" s="116">
        <f>D4/(LN(D3)^(1/D5))</f>
        <v>0.10833257820896684</v>
      </c>
    </row>
    <row r="8" spans="1:25">
      <c r="A8" s="22"/>
      <c r="B8" s="22" t="s">
        <v>580</v>
      </c>
      <c r="C8" s="22" t="s">
        <v>581</v>
      </c>
      <c r="D8" s="22" t="s">
        <v>582</v>
      </c>
      <c r="W8" t="s">
        <v>583</v>
      </c>
      <c r="X8" t="s">
        <v>584</v>
      </c>
      <c r="Y8" t="s">
        <v>585</v>
      </c>
    </row>
    <row r="9" spans="1:25">
      <c r="A9" s="22">
        <v>0</v>
      </c>
      <c r="B9" s="23">
        <f>$B$59*A9/50</f>
        <v>0</v>
      </c>
      <c r="C9" s="22">
        <f>WEIBULL(B9,$D$5,$D$6,FALSE)</f>
        <v>0</v>
      </c>
      <c r="D9" s="109">
        <f t="shared" ref="D9:D31" si="0">1-WEIBULL(B9,$D$5,$D$6,TRUE)</f>
        <v>1</v>
      </c>
      <c r="W9">
        <v>0</v>
      </c>
      <c r="X9">
        <v>0</v>
      </c>
      <c r="Y9">
        <v>1</v>
      </c>
    </row>
    <row r="10" spans="1:25">
      <c r="A10" s="22">
        <v>1</v>
      </c>
      <c r="B10" s="23">
        <f>$B$59*A10/50</f>
        <v>4.0027763271397745E-2</v>
      </c>
      <c r="C10" s="22">
        <f>WEIBULL(B10,$D$5,$D$6,FALSE)</f>
        <v>6.3769301116662538</v>
      </c>
      <c r="D10" s="109">
        <f t="shared" si="0"/>
        <v>0.69083264281684365</v>
      </c>
      <c r="W10">
        <v>15.931049782016302</v>
      </c>
      <c r="X10">
        <v>1.6022437466498136E-2</v>
      </c>
      <c r="Y10">
        <v>0.69083264281684353</v>
      </c>
    </row>
    <row r="11" spans="1:25">
      <c r="A11" s="22">
        <v>2</v>
      </c>
      <c r="B11" s="23">
        <f t="shared" ref="B11:B58" si="1">$B$59*A11/50</f>
        <v>8.0055526542795491E-2</v>
      </c>
      <c r="C11" s="22">
        <f>WEIBULL(B11,$D$5,$D$6,FALSE)</f>
        <v>4.4045959700916955</v>
      </c>
      <c r="D11" s="109">
        <f t="shared" si="0"/>
        <v>0.47749441932504277</v>
      </c>
      <c r="W11">
        <v>31.862099564032604</v>
      </c>
      <c r="X11">
        <v>1.1066824045456523E-2</v>
      </c>
      <c r="Y11">
        <v>0.47749441932504277</v>
      </c>
    </row>
    <row r="12" spans="1:25">
      <c r="A12" s="22">
        <v>3</v>
      </c>
      <c r="B12" s="23">
        <f t="shared" si="1"/>
        <v>0.12008328981419325</v>
      </c>
      <c r="C12" s="22">
        <f t="shared" ref="C12:C58" si="2">WEIBULL(B12,$D$5,$D$6,FALSE)</f>
        <v>3.0437525827945104</v>
      </c>
      <c r="D12" s="109">
        <f t="shared" si="0"/>
        <v>0.3301016243596373</v>
      </c>
      <c r="W12">
        <v>47.793149346048907</v>
      </c>
      <c r="X12">
        <v>7.6476195547600786E-3</v>
      </c>
      <c r="Y12">
        <v>0.3301016243596373</v>
      </c>
    </row>
    <row r="13" spans="1:25">
      <c r="A13" s="22">
        <v>4</v>
      </c>
      <c r="B13" s="23">
        <f t="shared" si="1"/>
        <v>0.16011105308559098</v>
      </c>
      <c r="C13" s="22">
        <f t="shared" si="2"/>
        <v>2.1038667864686298</v>
      </c>
      <c r="D13" s="109">
        <f t="shared" si="0"/>
        <v>0.2282346037569134</v>
      </c>
      <c r="W13">
        <v>63.724199128065209</v>
      </c>
      <c r="X13">
        <v>5.2860974534387701E-3</v>
      </c>
      <c r="Y13">
        <v>0.2282346037569134</v>
      </c>
    </row>
    <row r="14" spans="1:25">
      <c r="A14" s="22">
        <v>5</v>
      </c>
      <c r="B14" s="23">
        <f t="shared" si="1"/>
        <v>0.20013881635698871</v>
      </c>
      <c r="C14" s="22">
        <f t="shared" si="2"/>
        <v>1.4544394523017796</v>
      </c>
      <c r="D14" s="109">
        <f t="shared" si="0"/>
        <v>0.15781773625039031</v>
      </c>
      <c r="W14">
        <v>79.655248910081525</v>
      </c>
      <c r="X14">
        <v>3.6543704831702994E-3</v>
      </c>
      <c r="Y14">
        <v>0.15781773625039031</v>
      </c>
    </row>
    <row r="15" spans="1:25">
      <c r="A15" s="22">
        <v>6</v>
      </c>
      <c r="B15" s="23">
        <f t="shared" si="1"/>
        <v>0.2401665796283865</v>
      </c>
      <c r="C15" s="22">
        <f t="shared" si="2"/>
        <v>1.0055948564843045</v>
      </c>
      <c r="D15" s="109">
        <f t="shared" si="0"/>
        <v>0.10913458156091005</v>
      </c>
      <c r="W15">
        <v>95.586298692097813</v>
      </c>
      <c r="X15">
        <v>2.5266202424228776E-3</v>
      </c>
      <c r="Y15">
        <v>0.10913458156091016</v>
      </c>
    </row>
    <row r="16" spans="1:25">
      <c r="A16" s="22">
        <v>7</v>
      </c>
      <c r="B16" s="23">
        <f t="shared" si="1"/>
        <v>0.28019434289978423</v>
      </c>
      <c r="C16" s="22">
        <f t="shared" si="2"/>
        <v>0.69532764472034703</v>
      </c>
      <c r="D16" s="109">
        <f t="shared" si="0"/>
        <v>7.5473725409064052E-2</v>
      </c>
      <c r="W16">
        <v>111.51734847411412</v>
      </c>
      <c r="X16">
        <v>1.747054383719466E-3</v>
      </c>
      <c r="Y16">
        <v>7.5473725409064052E-2</v>
      </c>
    </row>
    <row r="17" spans="1:25">
      <c r="A17" s="22">
        <v>8</v>
      </c>
      <c r="B17" s="23">
        <f t="shared" si="1"/>
        <v>0.32022210617118196</v>
      </c>
      <c r="C17" s="22">
        <f t="shared" si="2"/>
        <v>0.48082590977593626</v>
      </c>
      <c r="D17" s="109">
        <f t="shared" si="0"/>
        <v>5.2197793515525115E-2</v>
      </c>
      <c r="W17">
        <v>127.44839825613042</v>
      </c>
      <c r="X17">
        <v>1.2081053009445641E-3</v>
      </c>
      <c r="Y17">
        <v>5.2197793515525115E-2</v>
      </c>
    </row>
    <row r="18" spans="1:25">
      <c r="A18" s="22">
        <v>9</v>
      </c>
      <c r="B18" s="23">
        <f t="shared" si="1"/>
        <v>0.36024986944257975</v>
      </c>
      <c r="C18" s="22">
        <f t="shared" ref="C18:C26" si="3">WEIBULL(B18,$D$5,$D$6,FALSE)</f>
        <v>0.33251645079186321</v>
      </c>
      <c r="D18" s="109">
        <f t="shared" si="0"/>
        <v>3.6101776386013529E-2</v>
      </c>
      <c r="W18">
        <v>143.37944803814673</v>
      </c>
      <c r="X18">
        <v>8.3546846932628998E-4</v>
      </c>
      <c r="Y18">
        <v>3.6101776386013529E-2</v>
      </c>
    </row>
    <row r="19" spans="1:25">
      <c r="A19" s="22">
        <v>10</v>
      </c>
      <c r="B19" s="23">
        <f t="shared" si="1"/>
        <v>0.40027763271397743</v>
      </c>
      <c r="C19" s="22">
        <f t="shared" si="3"/>
        <v>0.2299649418744554</v>
      </c>
      <c r="D19" s="109">
        <f t="shared" si="0"/>
        <v>2.4970246291697862E-2</v>
      </c>
      <c r="W19">
        <v>159.31049782016305</v>
      </c>
      <c r="X19">
        <v>5.7780136149360628E-4</v>
      </c>
      <c r="Y19">
        <v>2.4970246291697862E-2</v>
      </c>
    </row>
    <row r="20" spans="1:25">
      <c r="A20" s="22">
        <v>11</v>
      </c>
      <c r="B20" s="23">
        <f t="shared" si="1"/>
        <v>0.44030539598537521</v>
      </c>
      <c r="C20" s="22">
        <f t="shared" si="3"/>
        <v>0.15904884913893716</v>
      </c>
      <c r="D20" s="109">
        <f t="shared" si="0"/>
        <v>1.7271621684588734E-2</v>
      </c>
      <c r="W20">
        <v>175.24154760217934</v>
      </c>
      <c r="X20">
        <v>3.9962022396717884E-4</v>
      </c>
      <c r="Y20">
        <v>1.7271621684588734E-2</v>
      </c>
    </row>
    <row r="21" spans="1:25">
      <c r="A21" s="22">
        <v>12</v>
      </c>
      <c r="B21" s="23">
        <f t="shared" si="1"/>
        <v>0.480333159256773</v>
      </c>
      <c r="C21" s="22">
        <f t="shared" si="3"/>
        <v>0.11000631228028616</v>
      </c>
      <c r="D21" s="109">
        <f t="shared" si="0"/>
        <v>1.1946975703516216E-2</v>
      </c>
      <c r="W21">
        <v>191.17259738419563</v>
      </c>
      <c r="X21">
        <v>2.7639776954845806E-4</v>
      </c>
      <c r="Y21">
        <v>1.1946975703516216E-2</v>
      </c>
    </row>
    <row r="22" spans="1:25">
      <c r="A22" s="22">
        <v>13</v>
      </c>
      <c r="B22" s="23">
        <f t="shared" si="1"/>
        <v>0.52036092252817068</v>
      </c>
      <c r="C22" s="22">
        <f t="shared" si="3"/>
        <v>7.6088857373979191E-2</v>
      </c>
      <c r="D22" s="109">
        <f t="shared" si="0"/>
        <v>8.2641120839690441E-3</v>
      </c>
      <c r="W22">
        <v>207.10364716621191</v>
      </c>
      <c r="X22">
        <v>1.9117803360296285E-4</v>
      </c>
      <c r="Y22">
        <v>8.2641120839690441E-3</v>
      </c>
    </row>
    <row r="23" spans="1:25">
      <c r="A23" s="22">
        <v>14</v>
      </c>
      <c r="B23" s="23">
        <f t="shared" si="1"/>
        <v>0.56038868579956846</v>
      </c>
      <c r="C23" s="22">
        <f t="shared" si="3"/>
        <v>5.2630733186680857E-2</v>
      </c>
      <c r="D23" s="109">
        <f t="shared" si="0"/>
        <v>5.7167176286972987E-3</v>
      </c>
      <c r="W23">
        <v>223.03469694822823</v>
      </c>
      <c r="X23">
        <v>1.3223802308211276E-4</v>
      </c>
      <c r="Y23">
        <v>5.7167176286972987E-3</v>
      </c>
    </row>
    <row r="24" spans="1:25">
      <c r="A24" s="22">
        <v>15</v>
      </c>
      <c r="B24" s="23">
        <f t="shared" si="1"/>
        <v>0.60041644907096614</v>
      </c>
      <c r="C24" s="22">
        <f t="shared" si="3"/>
        <v>3.6405872249017597E-2</v>
      </c>
      <c r="D24" s="109">
        <f t="shared" si="0"/>
        <v>3.9546561202533637E-3</v>
      </c>
      <c r="W24">
        <v>238.96574673024455</v>
      </c>
      <c r="X24">
        <v>9.1472040826677347E-5</v>
      </c>
      <c r="Y24">
        <v>3.9546561202533637E-3</v>
      </c>
    </row>
    <row r="25" spans="1:25">
      <c r="A25" s="22">
        <v>16</v>
      </c>
      <c r="B25" s="23">
        <f t="shared" si="1"/>
        <v>0.64044421234236393</v>
      </c>
      <c r="C25" s="22">
        <f t="shared" si="3"/>
        <v>2.5183499104071694E-2</v>
      </c>
      <c r="D25" s="109">
        <f t="shared" si="0"/>
        <v>2.7357813572754797E-3</v>
      </c>
      <c r="W25">
        <v>254.89679651226083</v>
      </c>
      <c r="X25">
        <v>6.327512337706458E-5</v>
      </c>
      <c r="Y25">
        <v>2.7357813572754797E-3</v>
      </c>
    </row>
    <row r="26" spans="1:25">
      <c r="A26" s="22">
        <v>17</v>
      </c>
      <c r="B26" s="23">
        <f t="shared" si="1"/>
        <v>0.6804719756137616</v>
      </c>
      <c r="C26" s="22">
        <f t="shared" si="3"/>
        <v>1.7420973188224727E-2</v>
      </c>
      <c r="D26" s="109">
        <f t="shared" si="0"/>
        <v>1.8926227420755781E-3</v>
      </c>
      <c r="W26">
        <v>270.82784629427715</v>
      </c>
      <c r="X26">
        <v>4.3771289417650041E-5</v>
      </c>
      <c r="Y26">
        <v>1.8926227420755781E-3</v>
      </c>
    </row>
    <row r="27" spans="1:25">
      <c r="A27" s="22">
        <v>18</v>
      </c>
      <c r="B27" s="23">
        <f t="shared" si="1"/>
        <v>0.7204997388851595</v>
      </c>
      <c r="C27" s="22">
        <f t="shared" si="2"/>
        <v>1.2051460323404631E-2</v>
      </c>
      <c r="D27" s="109">
        <f t="shared" si="0"/>
        <v>1.3093511707304994E-3</v>
      </c>
      <c r="W27">
        <v>286.75889607629347</v>
      </c>
      <c r="X27">
        <v>3.0280051063830747E-5</v>
      </c>
      <c r="Y27">
        <v>1.3093511707304994E-3</v>
      </c>
    </row>
    <row r="28" spans="1:25">
      <c r="A28" s="22">
        <v>19</v>
      </c>
      <c r="B28" s="23">
        <f t="shared" si="1"/>
        <v>0.76052750215655718</v>
      </c>
      <c r="C28" s="22">
        <f t="shared" si="2"/>
        <v>8.3371415358353615E-3</v>
      </c>
      <c r="D28" s="109">
        <f t="shared" si="0"/>
        <v>9.0585173618640269E-4</v>
      </c>
      <c r="W28">
        <v>302.68994585830978</v>
      </c>
      <c r="X28">
        <v>2.0947591798581315E-5</v>
      </c>
      <c r="Y28">
        <v>9.0585173618640269E-4</v>
      </c>
    </row>
    <row r="29" spans="1:25">
      <c r="A29" s="22">
        <v>20</v>
      </c>
      <c r="B29" s="23">
        <f t="shared" si="1"/>
        <v>0.80055526542795485</v>
      </c>
      <c r="C29" s="22">
        <f t="shared" si="2"/>
        <v>5.7677217782485897E-3</v>
      </c>
      <c r="D29" s="109">
        <f t="shared" si="0"/>
        <v>6.2670985771284826E-4</v>
      </c>
      <c r="W29">
        <v>318.6209956403261</v>
      </c>
      <c r="X29">
        <v>1.4491763261931096E-5</v>
      </c>
      <c r="Y29">
        <v>6.2670985771284826E-4</v>
      </c>
    </row>
    <row r="30" spans="1:25">
      <c r="A30" s="22">
        <v>21</v>
      </c>
      <c r="B30" s="23">
        <f t="shared" si="1"/>
        <v>0.84058302869935275</v>
      </c>
      <c r="C30" s="22">
        <f t="shared" si="2"/>
        <v>3.9902538111267725E-3</v>
      </c>
      <c r="D30" s="109">
        <f t="shared" si="0"/>
        <v>4.3359466847248118E-4</v>
      </c>
      <c r="W30">
        <v>334.55204542234236</v>
      </c>
      <c r="X30">
        <v>1.0025763344539633E-5</v>
      </c>
      <c r="Y30">
        <v>4.3359466847248118E-4</v>
      </c>
    </row>
    <row r="31" spans="1:25">
      <c r="A31" s="22">
        <v>22</v>
      </c>
      <c r="B31" s="23">
        <f t="shared" si="1"/>
        <v>0.88061079197075043</v>
      </c>
      <c r="C31" s="22">
        <f t="shared" si="2"/>
        <v>2.7606118388944952E-3</v>
      </c>
      <c r="D31" s="109">
        <f t="shared" si="0"/>
        <v>2.9999150852466627E-4</v>
      </c>
      <c r="W31">
        <v>350.48309520435868</v>
      </c>
      <c r="X31">
        <v>6.9362106504886847E-6</v>
      </c>
      <c r="Y31">
        <v>2.9999150852466627E-4</v>
      </c>
    </row>
    <row r="32" spans="1:25">
      <c r="A32" s="22">
        <v>23</v>
      </c>
      <c r="B32" s="23">
        <f t="shared" si="1"/>
        <v>0.9206385552421481</v>
      </c>
      <c r="C32" s="22">
        <f t="shared" si="2"/>
        <v>1.9099339269692342E-3</v>
      </c>
      <c r="D32" s="109">
        <f t="shared" ref="D32:D58" si="4">1-WEIBULL(B32,$D$5,$D$6,TRUE)</f>
        <v>2.0755885404999397E-4</v>
      </c>
      <c r="W32">
        <v>366.41414498637494</v>
      </c>
      <c r="X32">
        <v>4.7988289622342583E-6</v>
      </c>
      <c r="Y32">
        <v>2.0755885404999397E-4</v>
      </c>
    </row>
    <row r="33" spans="1:25">
      <c r="A33" s="22">
        <v>24</v>
      </c>
      <c r="B33" s="23">
        <f t="shared" si="1"/>
        <v>0.960666318513546</v>
      </c>
      <c r="C33" s="22">
        <f t="shared" si="2"/>
        <v>1.3214146564789785E-3</v>
      </c>
      <c r="D33" s="109">
        <f t="shared" si="4"/>
        <v>1.4360862492690529E-4</v>
      </c>
      <c r="W33">
        <v>382.34519476839125</v>
      </c>
      <c r="X33">
        <v>3.3201373278366307E-6</v>
      </c>
      <c r="Y33">
        <v>1.4360862492690529E-4</v>
      </c>
    </row>
    <row r="34" spans="1:25">
      <c r="A34" s="22">
        <v>25</v>
      </c>
      <c r="B34" s="23">
        <f t="shared" si="1"/>
        <v>1.0006940817849437</v>
      </c>
      <c r="C34" s="22">
        <f t="shared" si="2"/>
        <v>9.1425494300821544E-4</v>
      </c>
      <c r="D34" s="109">
        <f t="shared" si="4"/>
        <v>9.9363401475205393E-5</v>
      </c>
      <c r="W34">
        <v>398.27624455040757</v>
      </c>
      <c r="X34">
        <v>2.2971229723824514E-6</v>
      </c>
      <c r="Y34">
        <v>9.9363401475205393E-5</v>
      </c>
    </row>
    <row r="35" spans="1:25">
      <c r="A35" s="22">
        <v>26</v>
      </c>
      <c r="B35" s="23">
        <f t="shared" si="1"/>
        <v>1.0407218450563414</v>
      </c>
      <c r="C35" s="22">
        <f t="shared" si="2"/>
        <v>6.325612876345219E-4</v>
      </c>
      <c r="D35" s="109">
        <f t="shared" si="4"/>
        <v>6.875096149794313E-5</v>
      </c>
      <c r="W35">
        <v>414.20729433242383</v>
      </c>
      <c r="X35">
        <v>1.5893499689309599E-6</v>
      </c>
      <c r="Y35">
        <v>6.875096149794313E-5</v>
      </c>
    </row>
    <row r="36" spans="1:25">
      <c r="A36" s="22">
        <v>27</v>
      </c>
      <c r="B36" s="23">
        <f t="shared" si="1"/>
        <v>1.080749608327739</v>
      </c>
      <c r="C36" s="22">
        <f t="shared" si="2"/>
        <v>4.37667903584364E-4</v>
      </c>
      <c r="D36" s="109">
        <f t="shared" si="4"/>
        <v>4.7570449548062221E-5</v>
      </c>
      <c r="W36">
        <v>430.1383441144402</v>
      </c>
      <c r="X36">
        <v>1.0996680994582015E-6</v>
      </c>
      <c r="Y36">
        <v>4.7570449548062221E-5</v>
      </c>
    </row>
    <row r="37" spans="1:25">
      <c r="A37" s="22">
        <v>28</v>
      </c>
      <c r="B37" s="23">
        <f t="shared" si="1"/>
        <v>1.1207773715991369</v>
      </c>
      <c r="C37" s="22">
        <f t="shared" si="2"/>
        <v>3.0282610375285816E-4</v>
      </c>
      <c r="D37" s="109">
        <f t="shared" si="4"/>
        <v>3.291559120222054E-5</v>
      </c>
      <c r="W37">
        <v>446.06939389645646</v>
      </c>
      <c r="X37">
        <v>7.6086960741924178E-7</v>
      </c>
      <c r="Y37">
        <v>3.291559120222054E-5</v>
      </c>
    </row>
    <row r="38" spans="1:25">
      <c r="A38" s="22">
        <v>29</v>
      </c>
      <c r="B38" s="23">
        <f t="shared" si="1"/>
        <v>1.1608051348705346</v>
      </c>
      <c r="C38" s="22">
        <f t="shared" si="2"/>
        <v>2.0953095204898301E-4</v>
      </c>
      <c r="D38" s="109">
        <f t="shared" si="4"/>
        <v>2.2775702291477629E-5</v>
      </c>
      <c r="W38">
        <v>462.00044367847278</v>
      </c>
      <c r="X38">
        <v>5.2645967851503279E-7</v>
      </c>
      <c r="Y38">
        <v>2.2775702291477629E-5</v>
      </c>
    </row>
    <row r="39" spans="1:25">
      <c r="A39" s="22">
        <v>30</v>
      </c>
      <c r="B39" s="23">
        <f t="shared" si="1"/>
        <v>1.2008328981419323</v>
      </c>
      <c r="C39" s="22">
        <f t="shared" si="2"/>
        <v>1.4498033412839112E-4</v>
      </c>
      <c r="D39" s="109">
        <f t="shared" si="4"/>
        <v>1.5759680570992529E-5</v>
      </c>
      <c r="W39">
        <v>477.93149346048909</v>
      </c>
      <c r="X39">
        <v>3.6427219630249039E-7</v>
      </c>
      <c r="Y39">
        <v>1.5759680570992529E-5</v>
      </c>
    </row>
    <row r="40" spans="1:25">
      <c r="A40" s="22">
        <v>31</v>
      </c>
      <c r="B40" s="23">
        <f t="shared" si="1"/>
        <v>1.2408606614133302</v>
      </c>
      <c r="C40" s="22">
        <f t="shared" si="2"/>
        <v>1.0031729678163679E-4</v>
      </c>
      <c r="D40" s="109">
        <f t="shared" si="4"/>
        <v>1.0905067939437352E-5</v>
      </c>
      <c r="W40">
        <v>493.86254324250541</v>
      </c>
      <c r="X40">
        <v>2.5205350950160005E-7</v>
      </c>
      <c r="Y40">
        <v>1.0905067939437352E-5</v>
      </c>
    </row>
    <row r="41" spans="1:25">
      <c r="A41" s="22">
        <v>32</v>
      </c>
      <c r="B41" s="23">
        <f t="shared" si="1"/>
        <v>1.2808884246847279</v>
      </c>
      <c r="C41" s="22">
        <f t="shared" si="2"/>
        <v>6.9414173509159605E-5</v>
      </c>
      <c r="D41" s="109">
        <f t="shared" si="4"/>
        <v>7.5459600231697621E-6</v>
      </c>
      <c r="W41">
        <v>509.79359302452167</v>
      </c>
      <c r="X41">
        <v>1.744074711285418E-7</v>
      </c>
      <c r="Y41">
        <v>7.5459600231697621E-6</v>
      </c>
    </row>
    <row r="42" spans="1:25">
      <c r="A42" s="22">
        <v>33</v>
      </c>
      <c r="B42" s="23">
        <f t="shared" si="1"/>
        <v>1.3209161879561255</v>
      </c>
      <c r="C42" s="22">
        <f t="shared" si="2"/>
        <v>4.8031474112298793E-5</v>
      </c>
      <c r="D42" s="109">
        <f t="shared" si="4"/>
        <v>5.2216243217051428E-6</v>
      </c>
      <c r="W42">
        <v>525.72464280653799</v>
      </c>
      <c r="X42">
        <v>1.2068209575954476E-7</v>
      </c>
      <c r="Y42">
        <v>5.2216243217051428E-6</v>
      </c>
    </row>
    <row r="43" spans="1:25">
      <c r="A43" s="22">
        <v>34</v>
      </c>
      <c r="B43" s="23">
        <f t="shared" si="1"/>
        <v>1.3609439512275232</v>
      </c>
      <c r="C43" s="22">
        <f t="shared" si="2"/>
        <v>3.3236012949318048E-5</v>
      </c>
      <c r="D43" s="109">
        <f t="shared" si="4"/>
        <v>3.613279786263135E-6</v>
      </c>
      <c r="W43">
        <v>541.6556925885543</v>
      </c>
      <c r="X43">
        <v>8.3507570224416785E-8</v>
      </c>
      <c r="Y43">
        <v>3.613279786263135E-6</v>
      </c>
    </row>
    <row r="44" spans="1:25">
      <c r="A44" s="22">
        <v>35</v>
      </c>
      <c r="B44" s="23">
        <f t="shared" si="1"/>
        <v>1.4009717144989211</v>
      </c>
      <c r="C44" s="22">
        <f t="shared" si="2"/>
        <v>2.299836715546007E-5</v>
      </c>
      <c r="D44" s="109">
        <f t="shared" si="4"/>
        <v>2.5003583965510501E-6</v>
      </c>
      <c r="W44">
        <v>557.58674237057062</v>
      </c>
      <c r="X44">
        <v>5.7784842099145935E-8</v>
      </c>
      <c r="Y44">
        <v>2.5003583965510501E-6</v>
      </c>
    </row>
    <row r="45" spans="1:25">
      <c r="A45" s="22">
        <v>36</v>
      </c>
      <c r="B45" s="23">
        <f t="shared" si="1"/>
        <v>1.440999477770319</v>
      </c>
      <c r="C45" s="22">
        <f t="shared" si="2"/>
        <v>1.5914390492708244E-5</v>
      </c>
      <c r="D45" s="109">
        <f t="shared" si="4"/>
        <v>1.7302446129185967E-6</v>
      </c>
      <c r="W45">
        <v>573.51779215258694</v>
      </c>
      <c r="X45">
        <v>3.9985905760573493E-8</v>
      </c>
      <c r="Y45">
        <v>1.7302446129185967E-6</v>
      </c>
    </row>
    <row r="46" spans="1:25">
      <c r="A46" s="22">
        <v>37</v>
      </c>
      <c r="B46" s="23">
        <f t="shared" si="1"/>
        <v>1.4810272410417167</v>
      </c>
      <c r="C46" s="22">
        <f t="shared" si="2"/>
        <v>1.1012547500362215E-5</v>
      </c>
      <c r="D46" s="109">
        <f t="shared" si="4"/>
        <v>1.1973391675912382E-6</v>
      </c>
      <c r="W46">
        <v>589.44884193460314</v>
      </c>
      <c r="X46">
        <v>2.7669717337593512E-8</v>
      </c>
      <c r="Y46">
        <v>1.1973391675912382E-6</v>
      </c>
    </row>
    <row r="47" spans="1:25">
      <c r="A47" s="22">
        <v>38</v>
      </c>
      <c r="B47" s="23">
        <f t="shared" si="1"/>
        <v>1.5210550043131144</v>
      </c>
      <c r="C47" s="22">
        <f t="shared" si="2"/>
        <v>7.6206184581940648E-6</v>
      </c>
      <c r="D47" s="109">
        <f t="shared" si="4"/>
        <v>8.285737971291951E-7</v>
      </c>
      <c r="W47">
        <v>605.37989171661957</v>
      </c>
      <c r="X47">
        <v>1.914728255827655E-8</v>
      </c>
      <c r="Y47">
        <v>8.285737971291951E-7</v>
      </c>
    </row>
    <row r="48" spans="1:25">
      <c r="A48" s="22">
        <v>39</v>
      </c>
      <c r="B48" s="23">
        <f t="shared" si="1"/>
        <v>1.561082767584512</v>
      </c>
      <c r="C48" s="22">
        <f t="shared" si="2"/>
        <v>5.273478148949725E-6</v>
      </c>
      <c r="D48" s="109">
        <f t="shared" si="4"/>
        <v>5.733890678927267E-7</v>
      </c>
      <c r="W48">
        <v>621.31094149863577</v>
      </c>
      <c r="X48">
        <v>1.3249945097863636E-8</v>
      </c>
      <c r="Y48">
        <v>5.733890678927267E-7</v>
      </c>
    </row>
    <row r="49" spans="1:25">
      <c r="A49" s="22">
        <v>40</v>
      </c>
      <c r="B49" s="23">
        <f t="shared" si="1"/>
        <v>1.6011105308559097</v>
      </c>
      <c r="C49" s="22">
        <f t="shared" si="2"/>
        <v>3.6492907715710502E-6</v>
      </c>
      <c r="D49" s="109">
        <f t="shared" si="4"/>
        <v>3.9680005337050517E-7</v>
      </c>
      <c r="W49">
        <v>637.2419912806522</v>
      </c>
      <c r="X49">
        <v>9.1690722903795263E-9</v>
      </c>
      <c r="Y49">
        <v>3.9680005337050517E-7</v>
      </c>
    </row>
    <row r="50" spans="1:25">
      <c r="A50" s="22">
        <v>41</v>
      </c>
      <c r="B50" s="23">
        <f t="shared" si="1"/>
        <v>1.6411382941273076</v>
      </c>
      <c r="C50" s="22">
        <f t="shared" si="2"/>
        <v>2.525364410442315E-6</v>
      </c>
      <c r="D50" s="109">
        <f t="shared" si="4"/>
        <v>2.7459841911436911E-7</v>
      </c>
      <c r="W50">
        <v>653.1730410626684</v>
      </c>
      <c r="X50">
        <v>6.3451367096540601E-9</v>
      </c>
      <c r="Y50">
        <v>2.7459841911436911E-7</v>
      </c>
    </row>
    <row r="51" spans="1:25">
      <c r="A51" s="22">
        <v>42</v>
      </c>
      <c r="B51" s="23">
        <f t="shared" si="1"/>
        <v>1.6811660573987055</v>
      </c>
      <c r="C51" s="22">
        <f t="shared" si="2"/>
        <v>1.7476071011401899E-6</v>
      </c>
      <c r="D51" s="109">
        <f t="shared" si="4"/>
        <v>1.9003265805395131E-7</v>
      </c>
      <c r="W51">
        <v>669.10409084468472</v>
      </c>
      <c r="X51">
        <v>4.3909726159301277E-9</v>
      </c>
      <c r="Y51">
        <v>1.9003265805395131E-7</v>
      </c>
    </row>
    <row r="52" spans="1:25">
      <c r="A52" s="22">
        <v>43</v>
      </c>
      <c r="B52" s="23">
        <f t="shared" si="1"/>
        <v>1.7211938206701032</v>
      </c>
      <c r="C52" s="22">
        <f t="shared" si="2"/>
        <v>1.2093934126122791E-6</v>
      </c>
      <c r="D52" s="109">
        <f t="shared" si="4"/>
        <v>1.3151105460185164E-7</v>
      </c>
      <c r="W52">
        <v>685.03514062670104</v>
      </c>
      <c r="X52">
        <v>3.0386769161112548E-9</v>
      </c>
      <c r="Y52">
        <v>1.3151105460185164E-7</v>
      </c>
    </row>
    <row r="53" spans="1:25">
      <c r="A53" s="22">
        <v>44</v>
      </c>
      <c r="B53" s="23">
        <f t="shared" si="1"/>
        <v>1.7612215839415009</v>
      </c>
      <c r="C53" s="22">
        <f t="shared" si="2"/>
        <v>8.3694197557261544E-7</v>
      </c>
      <c r="D53" s="109">
        <f t="shared" si="4"/>
        <v>9.1012280267754875E-8</v>
      </c>
      <c r="W53">
        <v>700.96619040871735</v>
      </c>
      <c r="X53">
        <v>2.1028692853583311E-9</v>
      </c>
      <c r="Y53">
        <v>9.1012280267754875E-8</v>
      </c>
    </row>
    <row r="54" spans="1:25">
      <c r="A54" s="22">
        <v>45</v>
      </c>
      <c r="B54" s="23">
        <f t="shared" si="1"/>
        <v>1.8012493472128985</v>
      </c>
      <c r="C54" s="22">
        <f t="shared" si="2"/>
        <v>5.7919787355501708E-7</v>
      </c>
      <c r="D54" s="109">
        <f t="shared" si="4"/>
        <v>6.2985613613619762E-8</v>
      </c>
      <c r="W54">
        <v>716.89724019073356</v>
      </c>
      <c r="X54">
        <v>1.455271039082958E-9</v>
      </c>
      <c r="Y54">
        <v>6.2985613613619762E-8</v>
      </c>
    </row>
    <row r="55" spans="1:25">
      <c r="A55" s="22">
        <v>46</v>
      </c>
      <c r="B55" s="23">
        <f t="shared" si="1"/>
        <v>1.8412771104842962</v>
      </c>
      <c r="C55" s="22">
        <f t="shared" si="2"/>
        <v>4.0083195310141516E-7</v>
      </c>
      <c r="D55" s="109">
        <f t="shared" si="4"/>
        <v>4.3589941434163393E-8</v>
      </c>
      <c r="W55">
        <v>732.82828997274987</v>
      </c>
      <c r="X55">
        <v>1.0071154600538072E-9</v>
      </c>
      <c r="Y55">
        <v>4.3589941434163393E-8</v>
      </c>
    </row>
    <row r="56" spans="1:25">
      <c r="A56" s="22">
        <v>47</v>
      </c>
      <c r="B56" s="23">
        <f t="shared" si="1"/>
        <v>1.8813048737556941</v>
      </c>
      <c r="C56" s="22">
        <f t="shared" si="2"/>
        <v>2.7739676475404032E-7</v>
      </c>
      <c r="D56" s="109">
        <f t="shared" si="4"/>
        <v>3.0167177755835439E-8</v>
      </c>
      <c r="W56">
        <v>748.7593397547663</v>
      </c>
      <c r="X56">
        <v>6.9697679586442328E-10</v>
      </c>
      <c r="Y56">
        <v>3.0167177755835439E-8</v>
      </c>
    </row>
    <row r="57" spans="1:25">
      <c r="A57" s="22">
        <v>48</v>
      </c>
      <c r="B57" s="23">
        <f t="shared" si="1"/>
        <v>1.921332637027092</v>
      </c>
      <c r="C57" s="22">
        <f t="shared" si="2"/>
        <v>1.9197472156672245E-7</v>
      </c>
      <c r="D57" s="109">
        <f t="shared" si="4"/>
        <v>2.0877883977199474E-8</v>
      </c>
      <c r="W57">
        <v>764.6903895367825</v>
      </c>
      <c r="X57">
        <v>4.8234854665006002E-10</v>
      </c>
      <c r="Y57">
        <v>2.0877883977199474E-8</v>
      </c>
    </row>
    <row r="58" spans="1:25">
      <c r="A58" s="22">
        <v>49</v>
      </c>
      <c r="B58" s="23">
        <f t="shared" si="1"/>
        <v>1.9613604002984897</v>
      </c>
      <c r="C58" s="22">
        <f t="shared" si="2"/>
        <v>1.3285876772957877E-7</v>
      </c>
      <c r="D58" s="109">
        <f t="shared" si="4"/>
        <v>1.4449127005988771E-8</v>
      </c>
      <c r="W58">
        <v>780.62143931879882</v>
      </c>
      <c r="X58">
        <v>3.3381599932054987E-10</v>
      </c>
      <c r="Y58">
        <v>1.4449127005988771E-8</v>
      </c>
    </row>
    <row r="59" spans="1:25">
      <c r="A59" s="22">
        <v>50</v>
      </c>
      <c r="B59" s="23">
        <f>D4*(LOG(D2)/LOG(D3))^(1/D5)</f>
        <v>2.0013881635698874</v>
      </c>
      <c r="C59" s="22">
        <f>WEIBULL(B59,$D$5,$D$6,FALSE)</f>
        <v>9.1947481244139228E-8</v>
      </c>
      <c r="D59" s="109">
        <f>1-WEIBULL(B59,$D$5,$D$6,TRUE)</f>
        <v>1.0000000050247593E-8</v>
      </c>
      <c r="W59">
        <v>796.55248910081514</v>
      </c>
      <c r="X59">
        <v>2.3102382222145539E-10</v>
      </c>
      <c r="Y59">
        <v>1.0000000050247593E-8</v>
      </c>
    </row>
    <row r="60" spans="1:25">
      <c r="D60" s="27"/>
      <c r="F60" s="27"/>
    </row>
    <row r="61" spans="1:25">
      <c r="D61" s="27"/>
      <c r="F61" s="27"/>
    </row>
    <row r="62" spans="1:25">
      <c r="A62" s="22">
        <v>20</v>
      </c>
      <c r="B62" s="55">
        <v>1</v>
      </c>
      <c r="C62" s="55">
        <f>D4*(LOG(D2)/LOG(D3))^(1/D5)</f>
        <v>2.0013881635698874</v>
      </c>
      <c r="D62" s="176"/>
      <c r="E62" s="177">
        <f>1-WEIBULL(C62,$D$5,$D$6,TRUE)</f>
        <v>1.0000000050247593E-8</v>
      </c>
      <c r="F62" s="177">
        <f>E62*$D$2</f>
        <v>1.0000000050247593</v>
      </c>
      <c r="G62" s="177">
        <f>F62</f>
        <v>1.0000000050247593</v>
      </c>
      <c r="H62" s="178">
        <f>G62</f>
        <v>1.0000000050247593</v>
      </c>
      <c r="I62" s="20"/>
    </row>
    <row r="63" spans="1:25">
      <c r="A63" s="22">
        <v>1</v>
      </c>
      <c r="B63" s="55">
        <f>1-A63/$A$62</f>
        <v>0.95</v>
      </c>
      <c r="C63" s="55">
        <f>$C$62*B63</f>
        <v>1.9013187553913928</v>
      </c>
      <c r="D63" s="55">
        <f>(1-(A63/$A$62)+(1/($A$62*2)))*$C$62</f>
        <v>1.9513534594806401</v>
      </c>
      <c r="E63" s="177">
        <f>1-WEIBULL(C63,$D$5,$D$6,TRUE)</f>
        <v>2.5096326794482593E-8</v>
      </c>
      <c r="F63" s="177">
        <f>E63*$D$2</f>
        <v>2.5096326794482593</v>
      </c>
      <c r="G63" s="177">
        <f>F63-SUM($G$62:G62)</f>
        <v>1.5096326744235</v>
      </c>
      <c r="H63" s="178">
        <f t="shared" ref="H63:H82" si="5">G63</f>
        <v>1.5096326744235</v>
      </c>
      <c r="I63" s="20">
        <f>D4*(LOG(H63)/LOG(D3))^(1/D5)</f>
        <v>4.4578943378684871E-2</v>
      </c>
      <c r="K63" s="21"/>
    </row>
    <row r="64" spans="1:25">
      <c r="A64" s="22">
        <v>2</v>
      </c>
      <c r="B64" s="55">
        <f t="shared" ref="B64:B82" si="6">1-A64/$A$62</f>
        <v>0.9</v>
      </c>
      <c r="C64" s="55">
        <f>$C$62*B64</f>
        <v>1.8012493472128988</v>
      </c>
      <c r="D64" s="55">
        <f t="shared" ref="D64:D82" si="7">(1-(A64/$A$62)+(1/($A$62*2)))*$C$62</f>
        <v>1.8512840513021458</v>
      </c>
      <c r="E64" s="177">
        <f t="shared" ref="E64:E71" si="8">1-WEIBULL(C64,$D$5,$D$6,TRUE)</f>
        <v>6.2985613613619762E-8</v>
      </c>
      <c r="F64" s="177">
        <f>E64*$D$2</f>
        <v>6.2985613613619762</v>
      </c>
      <c r="G64" s="177">
        <f>F64-SUM($G$62:G63)</f>
        <v>3.7889286819137169</v>
      </c>
      <c r="H64" s="178">
        <f t="shared" si="5"/>
        <v>3.7889286819137169</v>
      </c>
      <c r="I64" s="20"/>
      <c r="K64" s="21"/>
    </row>
    <row r="65" spans="1:11">
      <c r="A65" s="22">
        <v>3</v>
      </c>
      <c r="B65" s="55">
        <f t="shared" si="6"/>
        <v>0.85</v>
      </c>
      <c r="C65" s="55">
        <f t="shared" ref="C65:C82" si="9">$C$62*B65</f>
        <v>1.7011799390344042</v>
      </c>
      <c r="D65" s="55">
        <f t="shared" si="7"/>
        <v>1.7512146431236515</v>
      </c>
      <c r="E65" s="177">
        <f t="shared" si="8"/>
        <v>1.5808649889148541E-7</v>
      </c>
      <c r="F65" s="177">
        <f t="shared" ref="F65:F80" si="10">E65*$D$2</f>
        <v>15.808649889148541</v>
      </c>
      <c r="G65" s="177">
        <f>F65-SUM($G$62:G64)</f>
        <v>9.5100885277865643</v>
      </c>
      <c r="H65" s="178">
        <f t="shared" si="5"/>
        <v>9.5100885277865643</v>
      </c>
      <c r="I65" s="20"/>
      <c r="K65" s="21"/>
    </row>
    <row r="66" spans="1:11">
      <c r="A66" s="22">
        <v>4</v>
      </c>
      <c r="B66" s="55">
        <f t="shared" si="6"/>
        <v>0.8</v>
      </c>
      <c r="C66" s="55">
        <f t="shared" si="9"/>
        <v>1.6011105308559099</v>
      </c>
      <c r="D66" s="55">
        <f t="shared" si="7"/>
        <v>1.6511452349451572</v>
      </c>
      <c r="E66" s="177">
        <f t="shared" si="8"/>
        <v>3.9680005337050517E-7</v>
      </c>
      <c r="F66" s="177">
        <f t="shared" si="10"/>
        <v>39.680005337050517</v>
      </c>
      <c r="G66" s="177">
        <f>F66-SUM($G$62:G65)</f>
        <v>23.871355447901976</v>
      </c>
      <c r="H66" s="178">
        <f t="shared" si="5"/>
        <v>23.871355447901976</v>
      </c>
      <c r="I66" s="20"/>
      <c r="K66" s="21"/>
    </row>
    <row r="67" spans="1:11">
      <c r="A67" s="22">
        <v>5</v>
      </c>
      <c r="B67" s="55">
        <f t="shared" si="6"/>
        <v>0.75</v>
      </c>
      <c r="C67" s="55">
        <f t="shared" si="9"/>
        <v>1.5010411226774156</v>
      </c>
      <c r="D67" s="55">
        <f t="shared" si="7"/>
        <v>1.5510758267666627</v>
      </c>
      <c r="E67" s="177">
        <f t="shared" si="8"/>
        <v>9.9603284353655397E-7</v>
      </c>
      <c r="F67" s="177">
        <f t="shared" ref="F67:F72" si="11">E67*$D$2</f>
        <v>99.603284353655397</v>
      </c>
      <c r="G67" s="177">
        <f>F67-SUM($G$62:G66)</f>
        <v>59.92327901660488</v>
      </c>
      <c r="H67" s="178">
        <f t="shared" si="5"/>
        <v>59.92327901660488</v>
      </c>
      <c r="I67" s="20"/>
      <c r="K67" s="21"/>
    </row>
    <row r="68" spans="1:11">
      <c r="A68" s="22">
        <v>6</v>
      </c>
      <c r="B68" s="55">
        <f t="shared" si="6"/>
        <v>0.7</v>
      </c>
      <c r="C68" s="55">
        <f t="shared" si="9"/>
        <v>1.4009717144989211</v>
      </c>
      <c r="D68" s="55">
        <f t="shared" si="7"/>
        <v>1.4510064185881684</v>
      </c>
      <c r="E68" s="177">
        <f t="shared" si="8"/>
        <v>2.5003583965510501E-6</v>
      </c>
      <c r="F68" s="177">
        <f t="shared" si="11"/>
        <v>250.03583965510501</v>
      </c>
      <c r="G68" s="177">
        <f>F68-SUM($G$62:G67)</f>
        <v>150.43255530144961</v>
      </c>
      <c r="H68" s="178">
        <f t="shared" si="5"/>
        <v>150.43255530144961</v>
      </c>
      <c r="I68" s="20"/>
      <c r="K68" s="21"/>
    </row>
    <row r="69" spans="1:11">
      <c r="A69" s="22">
        <v>7</v>
      </c>
      <c r="B69" s="55">
        <f t="shared" si="6"/>
        <v>0.65</v>
      </c>
      <c r="C69" s="55">
        <f t="shared" si="9"/>
        <v>1.3009023063204268</v>
      </c>
      <c r="D69" s="55">
        <f t="shared" si="7"/>
        <v>1.3509370104096741</v>
      </c>
      <c r="E69" s="177">
        <f t="shared" si="8"/>
        <v>6.2771057649513295E-6</v>
      </c>
      <c r="F69" s="177">
        <f t="shared" si="11"/>
        <v>627.71057649513295</v>
      </c>
      <c r="G69" s="177">
        <f>F69-SUM($G$62:G68)</f>
        <v>377.67473684002795</v>
      </c>
      <c r="H69" s="178">
        <f t="shared" si="5"/>
        <v>377.67473684002795</v>
      </c>
      <c r="I69" s="20"/>
      <c r="K69" s="21"/>
    </row>
    <row r="70" spans="1:11">
      <c r="A70" s="22">
        <v>8</v>
      </c>
      <c r="B70" s="55">
        <f t="shared" si="6"/>
        <v>0.6</v>
      </c>
      <c r="C70" s="55">
        <f t="shared" si="9"/>
        <v>1.2008328981419323</v>
      </c>
      <c r="D70" s="55">
        <f t="shared" si="7"/>
        <v>1.2508676022311795</v>
      </c>
      <c r="E70" s="177">
        <f t="shared" si="8"/>
        <v>1.5759680570992529E-5</v>
      </c>
      <c r="F70" s="177">
        <f t="shared" si="11"/>
        <v>1575.968057099253</v>
      </c>
      <c r="G70" s="177">
        <f>F70-SUM($G$62:G69)</f>
        <v>948.25748060412002</v>
      </c>
      <c r="H70" s="178">
        <f t="shared" si="5"/>
        <v>948.25748060412002</v>
      </c>
      <c r="I70" s="20"/>
      <c r="K70" s="21"/>
    </row>
    <row r="71" spans="1:11">
      <c r="A71" s="22">
        <v>9</v>
      </c>
      <c r="B71" s="55">
        <f t="shared" si="6"/>
        <v>0.55000000000000004</v>
      </c>
      <c r="C71" s="55">
        <f t="shared" si="9"/>
        <v>1.1007634899634382</v>
      </c>
      <c r="D71" s="55">
        <f t="shared" si="7"/>
        <v>1.1507981940526855</v>
      </c>
      <c r="E71" s="177">
        <f t="shared" si="8"/>
        <v>3.9570244227515872E-5</v>
      </c>
      <c r="F71" s="177">
        <f t="shared" si="11"/>
        <v>3957.0244227515873</v>
      </c>
      <c r="G71" s="177">
        <f>F71-SUM($G$62:G70)</f>
        <v>2381.0563656523345</v>
      </c>
      <c r="H71" s="178">
        <f t="shared" si="5"/>
        <v>2381.0563656523345</v>
      </c>
      <c r="I71" s="20"/>
      <c r="K71" s="21"/>
    </row>
    <row r="72" spans="1:11">
      <c r="A72" s="22">
        <v>10</v>
      </c>
      <c r="B72" s="55">
        <f t="shared" si="6"/>
        <v>0.5</v>
      </c>
      <c r="C72" s="55">
        <f t="shared" si="9"/>
        <v>1.0006940817849437</v>
      </c>
      <c r="D72" s="55">
        <f t="shared" si="7"/>
        <v>1.0507287858741909</v>
      </c>
      <c r="E72" s="177">
        <f t="shared" ref="E72:E82" si="12">1-WEIBULL(C72,$D$5,$D$6,TRUE)</f>
        <v>9.9363401475205393E-5</v>
      </c>
      <c r="F72" s="177">
        <f t="shared" si="11"/>
        <v>9936.3401475205392</v>
      </c>
      <c r="G72" s="177">
        <f>F72-SUM($G$62:G71)</f>
        <v>5979.3157247689514</v>
      </c>
      <c r="H72" s="178">
        <f t="shared" si="5"/>
        <v>5979.3157247689514</v>
      </c>
      <c r="I72" s="20"/>
      <c r="K72" s="21"/>
    </row>
    <row r="73" spans="1:11">
      <c r="A73" s="22">
        <v>11</v>
      </c>
      <c r="B73" s="55">
        <f t="shared" si="6"/>
        <v>0.44999999999999996</v>
      </c>
      <c r="C73" s="55">
        <f t="shared" si="9"/>
        <v>0.90062467360644927</v>
      </c>
      <c r="D73" s="55">
        <f t="shared" si="7"/>
        <v>0.95065937769569642</v>
      </c>
      <c r="E73" s="177">
        <f t="shared" si="12"/>
        <v>2.4953083753442851E-4</v>
      </c>
      <c r="F73" s="177">
        <f t="shared" si="10"/>
        <v>24953.08375344285</v>
      </c>
      <c r="G73" s="177">
        <f>F73-SUM($G$62:G72)</f>
        <v>15016.743605922311</v>
      </c>
      <c r="H73" s="178">
        <f t="shared" si="5"/>
        <v>15016.743605922311</v>
      </c>
      <c r="I73" s="20"/>
      <c r="K73" s="21"/>
    </row>
    <row r="74" spans="1:11">
      <c r="A74" s="22">
        <v>12</v>
      </c>
      <c r="B74" s="55">
        <f t="shared" si="6"/>
        <v>0.4</v>
      </c>
      <c r="C74" s="55">
        <f t="shared" si="9"/>
        <v>0.80055526542795497</v>
      </c>
      <c r="D74" s="55">
        <f t="shared" si="7"/>
        <v>0.85058996951720223</v>
      </c>
      <c r="E74" s="177">
        <f t="shared" si="12"/>
        <v>6.2670985771284826E-4</v>
      </c>
      <c r="F74" s="177">
        <f t="shared" si="10"/>
        <v>62670.985771284824</v>
      </c>
      <c r="G74" s="177">
        <f>F74-SUM($G$62:G73)</f>
        <v>37717.902017841974</v>
      </c>
      <c r="H74" s="178">
        <f t="shared" si="5"/>
        <v>37717.902017841974</v>
      </c>
      <c r="I74" s="20"/>
      <c r="K74" s="21"/>
    </row>
    <row r="75" spans="1:11">
      <c r="A75" s="22">
        <v>13</v>
      </c>
      <c r="B75" s="55">
        <f t="shared" si="6"/>
        <v>0.35</v>
      </c>
      <c r="C75" s="55">
        <f t="shared" si="9"/>
        <v>0.70048585724946055</v>
      </c>
      <c r="D75" s="55">
        <f t="shared" si="7"/>
        <v>0.75052056133870781</v>
      </c>
      <c r="E75" s="177">
        <f t="shared" si="12"/>
        <v>1.5741965437300331E-3</v>
      </c>
      <c r="F75" s="177">
        <f t="shared" si="10"/>
        <v>157419.65437300332</v>
      </c>
      <c r="G75" s="177">
        <f>F75-SUM($G$62:G74)</f>
        <v>94748.668601718498</v>
      </c>
      <c r="H75" s="178">
        <f t="shared" si="5"/>
        <v>94748.668601718498</v>
      </c>
      <c r="I75" s="20"/>
      <c r="K75" s="21"/>
    </row>
    <row r="76" spans="1:11">
      <c r="A76" s="22">
        <v>14</v>
      </c>
      <c r="B76" s="55">
        <f t="shared" si="6"/>
        <v>0.30000000000000004</v>
      </c>
      <c r="C76" s="55">
        <f t="shared" si="9"/>
        <v>0.60041644907096625</v>
      </c>
      <c r="D76" s="55">
        <f t="shared" si="7"/>
        <v>0.65045115316021351</v>
      </c>
      <c r="E76" s="177">
        <f t="shared" si="12"/>
        <v>3.9546561202533637E-3</v>
      </c>
      <c r="F76" s="177">
        <f t="shared" si="10"/>
        <v>395465.61202533636</v>
      </c>
      <c r="G76" s="177">
        <f>F76-SUM($G$62:G75)</f>
        <v>238045.95765233305</v>
      </c>
      <c r="H76" s="178">
        <f t="shared" si="5"/>
        <v>238045.95765233305</v>
      </c>
      <c r="I76" s="20"/>
      <c r="K76" s="21"/>
    </row>
    <row r="77" spans="1:11">
      <c r="A77" s="22">
        <v>15</v>
      </c>
      <c r="B77" s="55">
        <f t="shared" si="6"/>
        <v>0.25</v>
      </c>
      <c r="C77" s="55">
        <f t="shared" si="9"/>
        <v>0.50034704089247184</v>
      </c>
      <c r="D77" s="55">
        <f t="shared" si="7"/>
        <v>0.5503817449817191</v>
      </c>
      <c r="E77" s="177">
        <f t="shared" si="12"/>
        <v>9.9363181474745321E-3</v>
      </c>
      <c r="F77" s="177">
        <f t="shared" si="10"/>
        <v>993631.8147474532</v>
      </c>
      <c r="G77" s="177">
        <f>F77-SUM($G$62:G76)</f>
        <v>598166.20272211684</v>
      </c>
      <c r="H77" s="178">
        <f t="shared" si="5"/>
        <v>598166.20272211684</v>
      </c>
      <c r="I77" s="20"/>
      <c r="K77" s="21"/>
    </row>
    <row r="78" spans="1:11">
      <c r="A78" s="22">
        <v>16</v>
      </c>
      <c r="B78" s="55">
        <f t="shared" si="6"/>
        <v>0.19999999999999996</v>
      </c>
      <c r="C78" s="55">
        <f t="shared" si="9"/>
        <v>0.40027763271397737</v>
      </c>
      <c r="D78" s="55">
        <f t="shared" si="7"/>
        <v>0.45031233680322458</v>
      </c>
      <c r="E78" s="177">
        <f t="shared" si="12"/>
        <v>2.4970246291697862E-2</v>
      </c>
      <c r="F78" s="177">
        <f t="shared" si="10"/>
        <v>2497024.6291697863</v>
      </c>
      <c r="G78" s="177">
        <f>F78-SUM($G$62:G77)</f>
        <v>1503392.8144223331</v>
      </c>
      <c r="H78" s="178">
        <f t="shared" si="5"/>
        <v>1503392.8144223331</v>
      </c>
      <c r="I78" s="20"/>
      <c r="K78" s="21"/>
    </row>
    <row r="79" spans="1:11">
      <c r="A79" s="22">
        <v>17</v>
      </c>
      <c r="B79" s="55">
        <f t="shared" si="6"/>
        <v>0.15000000000000002</v>
      </c>
      <c r="C79" s="55">
        <f t="shared" si="9"/>
        <v>0.30020822453548313</v>
      </c>
      <c r="D79" s="55">
        <f t="shared" si="7"/>
        <v>0.35024292862473033</v>
      </c>
      <c r="E79" s="177">
        <f t="shared" si="12"/>
        <v>6.2765543700784021E-2</v>
      </c>
      <c r="F79" s="177">
        <f t="shared" si="10"/>
        <v>6276554.3700784026</v>
      </c>
      <c r="G79" s="177">
        <f>F79-SUM($G$62:G78)</f>
        <v>3779529.7409086162</v>
      </c>
      <c r="H79" s="178">
        <f t="shared" si="5"/>
        <v>3779529.7409086162</v>
      </c>
      <c r="I79" s="20"/>
      <c r="K79" s="21"/>
    </row>
    <row r="80" spans="1:11">
      <c r="A80" s="22">
        <v>18</v>
      </c>
      <c r="B80" s="55">
        <f t="shared" si="6"/>
        <v>9.9999999999999978E-2</v>
      </c>
      <c r="C80" s="55">
        <f t="shared" si="9"/>
        <v>0.20013881635698869</v>
      </c>
      <c r="D80" s="55">
        <f t="shared" si="7"/>
        <v>0.25017352044623586</v>
      </c>
      <c r="E80" s="177">
        <f t="shared" si="12"/>
        <v>0.15781773625039042</v>
      </c>
      <c r="F80" s="177">
        <f t="shared" si="10"/>
        <v>15781773.625039041</v>
      </c>
      <c r="G80" s="177">
        <f>F80-SUM($G$62:G79)</f>
        <v>9505219.2549606375</v>
      </c>
      <c r="H80" s="178">
        <f t="shared" si="5"/>
        <v>9505219.2549606375</v>
      </c>
      <c r="I80" s="20"/>
      <c r="K80" s="21"/>
    </row>
    <row r="81" spans="1:11">
      <c r="A81" s="22">
        <v>19</v>
      </c>
      <c r="B81" s="55">
        <f t="shared" si="6"/>
        <v>5.0000000000000044E-2</v>
      </c>
      <c r="C81" s="55">
        <f t="shared" si="9"/>
        <v>0.10006940817849445</v>
      </c>
      <c r="D81" s="55">
        <f t="shared" si="7"/>
        <v>0.15010411226774162</v>
      </c>
      <c r="E81" s="177">
        <f t="shared" si="12"/>
        <v>0.39700859621797446</v>
      </c>
      <c r="F81" s="177">
        <f>E81*$D$2</f>
        <v>39700859.62179745</v>
      </c>
      <c r="G81" s="177">
        <f>F81-SUM($G$62:G80)</f>
        <v>23919085.996758409</v>
      </c>
      <c r="H81" s="178">
        <f t="shared" si="5"/>
        <v>23919085.996758409</v>
      </c>
      <c r="I81" s="20"/>
      <c r="K81" s="21"/>
    </row>
    <row r="82" spans="1:11">
      <c r="A82" s="22">
        <v>20</v>
      </c>
      <c r="B82" s="55">
        <f t="shared" si="6"/>
        <v>0</v>
      </c>
      <c r="C82" s="55">
        <f t="shared" si="9"/>
        <v>0</v>
      </c>
      <c r="D82" s="55">
        <f t="shared" si="7"/>
        <v>5.0034704089247185E-2</v>
      </c>
      <c r="E82" s="177">
        <f t="shared" si="12"/>
        <v>1</v>
      </c>
      <c r="F82" s="177">
        <f>E82*$D$2</f>
        <v>100000000</v>
      </c>
      <c r="G82" s="177">
        <f>F82-SUM($G$62:G81)</f>
        <v>60299140.37820255</v>
      </c>
      <c r="H82" s="178">
        <f t="shared" si="5"/>
        <v>60299140.37820255</v>
      </c>
      <c r="I82" s="20"/>
      <c r="K82" s="21"/>
    </row>
    <row r="83" spans="1:11">
      <c r="G83" s="118"/>
      <c r="H83" s="118">
        <f>SUM(H62:H82)</f>
        <v>100000000</v>
      </c>
    </row>
    <row r="84" spans="1:11">
      <c r="F84" s="27"/>
      <c r="G84" s="118"/>
      <c r="H84" s="20"/>
    </row>
    <row r="85" spans="1:11">
      <c r="B85" s="25"/>
      <c r="C85" s="25"/>
      <c r="D85" s="25"/>
      <c r="E85" s="25"/>
      <c r="F85" s="25"/>
      <c r="G85" s="25"/>
      <c r="H85" s="25"/>
    </row>
    <row r="86" spans="1:11">
      <c r="A86" s="22">
        <v>10</v>
      </c>
      <c r="B86" s="55">
        <v>1</v>
      </c>
      <c r="C86" s="176">
        <f>B86*$B$59</f>
        <v>2.0013881635698874</v>
      </c>
      <c r="D86" s="28"/>
      <c r="E86" s="177">
        <f t="shared" ref="E86:E96" si="13">1-WEIBULL(C86,$D$5,$D$6,TRUE)</f>
        <v>1.0000000050247593E-8</v>
      </c>
      <c r="F86" s="177">
        <f t="shared" ref="F86:F96" si="14">E86*$D$2</f>
        <v>1.0000000050247593</v>
      </c>
      <c r="G86" s="177">
        <f>F86</f>
        <v>1.0000000050247593</v>
      </c>
      <c r="H86" s="178">
        <f>G86</f>
        <v>1.0000000050247593</v>
      </c>
      <c r="I86" s="27">
        <f t="shared" ref="I86:I96" si="15">H86/$H$97</f>
        <v>1.0000000050247593E-8</v>
      </c>
      <c r="J86" s="181">
        <f>LOG(I86)</f>
        <v>-7.9999999978177749</v>
      </c>
      <c r="K86" s="21">
        <f>H86/520</f>
        <v>1.9230769327399217E-3</v>
      </c>
    </row>
    <row r="87" spans="1:11">
      <c r="A87" s="22">
        <v>1</v>
      </c>
      <c r="B87" s="55">
        <v>0.9</v>
      </c>
      <c r="C87" s="176">
        <f t="shared" ref="C87:C96" si="16">$B$59*B87</f>
        <v>1.8012493472128988</v>
      </c>
      <c r="D87" s="55">
        <f t="shared" ref="D87:D96" si="17">(1-(A87/$A$86)+(1/($A$86*2)))*$C$86</f>
        <v>1.9013187553913931</v>
      </c>
      <c r="E87" s="177">
        <f t="shared" si="13"/>
        <v>6.2985613613619762E-8</v>
      </c>
      <c r="F87" s="177">
        <f t="shared" si="14"/>
        <v>6.2985613613619762</v>
      </c>
      <c r="G87" s="177">
        <f>F87-SUM($G$86:G86)</f>
        <v>5.2985613563372169</v>
      </c>
      <c r="H87" s="178">
        <f t="shared" ref="H87:H96" si="18">G87</f>
        <v>5.2985613563372169</v>
      </c>
      <c r="I87" s="27">
        <f t="shared" si="15"/>
        <v>5.2985613563372169E-8</v>
      </c>
      <c r="J87" s="181">
        <f t="shared" ref="J87:J96" si="19">LOG(I87)</f>
        <v>-7.275842032251548</v>
      </c>
      <c r="K87" s="21">
        <f t="shared" ref="K87:K96" si="20">H87/520</f>
        <v>1.0189541069879264E-2</v>
      </c>
    </row>
    <row r="88" spans="1:11">
      <c r="A88" s="22">
        <v>2</v>
      </c>
      <c r="B88" s="55">
        <v>0.8</v>
      </c>
      <c r="C88" s="176">
        <f t="shared" si="16"/>
        <v>1.6011105308559099</v>
      </c>
      <c r="D88" s="55">
        <f t="shared" si="17"/>
        <v>1.7011799390344045</v>
      </c>
      <c r="E88" s="177">
        <f t="shared" si="13"/>
        <v>3.9680005337050517E-7</v>
      </c>
      <c r="F88" s="177">
        <f t="shared" si="14"/>
        <v>39.680005337050517</v>
      </c>
      <c r="G88" s="177">
        <f>F88-SUM($G$86:G87)</f>
        <v>33.381443975688541</v>
      </c>
      <c r="H88" s="178">
        <f t="shared" si="18"/>
        <v>33.381443975688541</v>
      </c>
      <c r="I88" s="27">
        <f t="shared" si="15"/>
        <v>3.3381443975688541E-7</v>
      </c>
      <c r="J88" s="181">
        <f t="shared" si="19"/>
        <v>-6.4764948810447311</v>
      </c>
      <c r="K88" s="21">
        <f t="shared" si="20"/>
        <v>6.4195084568631808E-2</v>
      </c>
    </row>
    <row r="89" spans="1:11">
      <c r="A89" s="22">
        <v>3</v>
      </c>
      <c r="B89" s="55">
        <v>0.7</v>
      </c>
      <c r="C89" s="176">
        <f t="shared" si="16"/>
        <v>1.4009717144989211</v>
      </c>
      <c r="D89" s="55">
        <f t="shared" si="17"/>
        <v>1.5010411226774156</v>
      </c>
      <c r="E89" s="177">
        <f t="shared" si="13"/>
        <v>2.5003583965510501E-6</v>
      </c>
      <c r="F89" s="177">
        <f t="shared" si="14"/>
        <v>250.03583965510501</v>
      </c>
      <c r="G89" s="177">
        <f>F89-SUM($G$86:G88)</f>
        <v>210.35583431805449</v>
      </c>
      <c r="H89" s="178">
        <f t="shared" si="18"/>
        <v>210.35583431805449</v>
      </c>
      <c r="I89" s="27">
        <f t="shared" si="15"/>
        <v>2.1035583431805449E-6</v>
      </c>
      <c r="J89" s="181">
        <f t="shared" si="19"/>
        <v>-5.677045438118113</v>
      </c>
      <c r="K89" s="21">
        <f t="shared" si="20"/>
        <v>0.40453045061164328</v>
      </c>
    </row>
    <row r="90" spans="1:11">
      <c r="A90" s="22">
        <v>4</v>
      </c>
      <c r="B90" s="55">
        <v>0.6</v>
      </c>
      <c r="C90" s="176">
        <f t="shared" si="16"/>
        <v>1.2008328981419323</v>
      </c>
      <c r="D90" s="55">
        <f t="shared" si="17"/>
        <v>1.3009023063204268</v>
      </c>
      <c r="E90" s="177">
        <f t="shared" si="13"/>
        <v>1.5759680570992529E-5</v>
      </c>
      <c r="F90" s="177">
        <f t="shared" si="14"/>
        <v>1575.968057099253</v>
      </c>
      <c r="G90" s="177">
        <f>F90-SUM($G$86:G89)</f>
        <v>1325.9322174441479</v>
      </c>
      <c r="H90" s="178">
        <f t="shared" si="18"/>
        <v>1325.9322174441479</v>
      </c>
      <c r="I90" s="27">
        <f t="shared" si="15"/>
        <v>1.3259322174441479E-5</v>
      </c>
      <c r="J90" s="181">
        <f t="shared" si="19"/>
        <v>-4.8774786767927827</v>
      </c>
      <c r="K90" s="21">
        <f t="shared" si="20"/>
        <v>2.5498696489310535</v>
      </c>
    </row>
    <row r="91" spans="1:11">
      <c r="A91" s="22">
        <v>5</v>
      </c>
      <c r="B91" s="55">
        <v>0.5</v>
      </c>
      <c r="C91" s="176">
        <f t="shared" si="16"/>
        <v>1.0006940817849437</v>
      </c>
      <c r="D91" s="55">
        <f t="shared" si="17"/>
        <v>1.1007634899634382</v>
      </c>
      <c r="E91" s="177">
        <f t="shared" si="13"/>
        <v>9.9363401475205393E-5</v>
      </c>
      <c r="F91" s="177">
        <f t="shared" si="14"/>
        <v>9936.3401475205392</v>
      </c>
      <c r="G91" s="177">
        <f>F91-SUM($G$86:G90)</f>
        <v>8360.372090421286</v>
      </c>
      <c r="H91" s="178">
        <f t="shared" si="18"/>
        <v>8360.372090421286</v>
      </c>
      <c r="I91" s="27">
        <f t="shared" si="15"/>
        <v>8.3603720904212864E-5</v>
      </c>
      <c r="J91" s="181">
        <f t="shared" si="19"/>
        <v>-4.0777743932283723</v>
      </c>
      <c r="K91" s="21">
        <f t="shared" si="20"/>
        <v>16.077638635425551</v>
      </c>
    </row>
    <row r="92" spans="1:11">
      <c r="A92" s="22">
        <v>6</v>
      </c>
      <c r="B92" s="55">
        <v>0.4</v>
      </c>
      <c r="C92" s="176">
        <f t="shared" si="16"/>
        <v>0.80055526542795497</v>
      </c>
      <c r="D92" s="55">
        <f t="shared" si="17"/>
        <v>0.90062467360644938</v>
      </c>
      <c r="E92" s="177">
        <f t="shared" si="13"/>
        <v>6.2670985771284826E-4</v>
      </c>
      <c r="F92" s="177">
        <f t="shared" si="14"/>
        <v>62670.985771284824</v>
      </c>
      <c r="G92" s="177">
        <f>F92-SUM($G$86:G91)</f>
        <v>52734.645623764285</v>
      </c>
      <c r="H92" s="178">
        <f t="shared" si="18"/>
        <v>52734.645623764285</v>
      </c>
      <c r="I92" s="27">
        <f t="shared" si="15"/>
        <v>5.2734645623764287E-4</v>
      </c>
      <c r="J92" s="181">
        <f t="shared" si="19"/>
        <v>-3.2779039680977977</v>
      </c>
      <c r="K92" s="21">
        <f t="shared" si="20"/>
        <v>101.41278004570054</v>
      </c>
    </row>
    <row r="93" spans="1:11">
      <c r="A93" s="22">
        <v>7</v>
      </c>
      <c r="B93" s="55">
        <v>0.3</v>
      </c>
      <c r="C93" s="176">
        <f t="shared" si="16"/>
        <v>0.60041644907096614</v>
      </c>
      <c r="D93" s="55">
        <f t="shared" si="17"/>
        <v>0.70048585724946066</v>
      </c>
      <c r="E93" s="177">
        <f t="shared" si="13"/>
        <v>3.9546561202533637E-3</v>
      </c>
      <c r="F93" s="177">
        <f t="shared" si="14"/>
        <v>395465.61202533636</v>
      </c>
      <c r="G93" s="177">
        <f>F93-SUM($G$86:G92)</f>
        <v>332794.62625405152</v>
      </c>
      <c r="H93" s="178">
        <f t="shared" si="18"/>
        <v>332794.62625405152</v>
      </c>
      <c r="I93" s="27">
        <f t="shared" si="15"/>
        <v>3.327946262540515E-3</v>
      </c>
      <c r="J93" s="181">
        <f t="shared" si="19"/>
        <v>-2.4778236950227042</v>
      </c>
      <c r="K93" s="21">
        <f t="shared" si="20"/>
        <v>639.98966587317602</v>
      </c>
    </row>
    <row r="94" spans="1:11">
      <c r="A94" s="22">
        <v>8</v>
      </c>
      <c r="B94" s="55">
        <v>0.19999999999999901</v>
      </c>
      <c r="C94" s="176">
        <f t="shared" si="16"/>
        <v>0.40027763271397548</v>
      </c>
      <c r="D94" s="55">
        <f t="shared" si="17"/>
        <v>0.50034704089247173</v>
      </c>
      <c r="E94" s="177">
        <f t="shared" si="13"/>
        <v>2.4970246291698306E-2</v>
      </c>
      <c r="F94" s="177">
        <f t="shared" si="14"/>
        <v>2497024.6291698306</v>
      </c>
      <c r="G94" s="177">
        <f>F94-SUM($G$86:G93)</f>
        <v>2101559.0171444942</v>
      </c>
      <c r="H94" s="178">
        <f t="shared" si="18"/>
        <v>2101559.0171444942</v>
      </c>
      <c r="I94" s="27">
        <f t="shared" si="15"/>
        <v>2.1015590171444942E-2</v>
      </c>
      <c r="J94" s="181">
        <f t="shared" si="19"/>
        <v>-1.6774584093890705</v>
      </c>
      <c r="K94" s="21">
        <f t="shared" si="20"/>
        <v>4041.4596483547966</v>
      </c>
    </row>
    <row r="95" spans="1:11">
      <c r="A95" s="22">
        <v>9</v>
      </c>
      <c r="B95" s="55">
        <v>0.1</v>
      </c>
      <c r="C95" s="176">
        <f t="shared" si="16"/>
        <v>0.20013881635698874</v>
      </c>
      <c r="D95" s="55">
        <f t="shared" si="17"/>
        <v>0.30020822453548301</v>
      </c>
      <c r="E95" s="177">
        <f t="shared" si="13"/>
        <v>0.15781773625039031</v>
      </c>
      <c r="F95" s="177">
        <f t="shared" si="14"/>
        <v>15781773.62503903</v>
      </c>
      <c r="G95" s="177">
        <f>F95-SUM($G$86:G94)</f>
        <v>13284748.995869199</v>
      </c>
      <c r="H95" s="178">
        <f t="shared" si="18"/>
        <v>13284748.995869199</v>
      </c>
      <c r="I95" s="27">
        <f t="shared" si="15"/>
        <v>0.132847489958692</v>
      </c>
      <c r="J95" s="181">
        <f t="shared" si="19"/>
        <v>-0.87664664680423121</v>
      </c>
      <c r="K95" s="21">
        <f t="shared" si="20"/>
        <v>25547.594222825381</v>
      </c>
    </row>
    <row r="96" spans="1:11">
      <c r="A96" s="22">
        <v>10</v>
      </c>
      <c r="B96" s="55">
        <v>0</v>
      </c>
      <c r="C96" s="176">
        <f t="shared" si="16"/>
        <v>0</v>
      </c>
      <c r="D96" s="55">
        <f t="shared" si="17"/>
        <v>0.10006940817849437</v>
      </c>
      <c r="E96" s="177">
        <f t="shared" si="13"/>
        <v>1</v>
      </c>
      <c r="F96" s="177">
        <f t="shared" si="14"/>
        <v>100000000</v>
      </c>
      <c r="G96" s="177">
        <f>F96-SUM($G$86:G95)</f>
        <v>84218226.374960974</v>
      </c>
      <c r="H96" s="178">
        <f t="shared" si="18"/>
        <v>84218226.374960974</v>
      </c>
      <c r="I96" s="27">
        <f t="shared" si="15"/>
        <v>0.84218226374960969</v>
      </c>
      <c r="J96" s="181">
        <f t="shared" si="19"/>
        <v>-7.4593909005498588E-2</v>
      </c>
      <c r="K96" s="21">
        <f t="shared" si="20"/>
        <v>161958.12764415573</v>
      </c>
    </row>
    <row r="97" spans="1:14">
      <c r="H97" s="27">
        <f>SUM(H86:H96)</f>
        <v>100000000</v>
      </c>
      <c r="J97" s="181">
        <f>10^8/K97</f>
        <v>520.00130018961704</v>
      </c>
      <c r="K97" s="21">
        <f>SUM(K90:K96)</f>
        <v>192307.21146953915</v>
      </c>
      <c r="M97">
        <f>20*365/14</f>
        <v>521.42857142857144</v>
      </c>
      <c r="N97">
        <v>520</v>
      </c>
    </row>
    <row r="98" spans="1:14">
      <c r="K98" s="21">
        <f>10^8/208333</f>
        <v>480.00076800122878</v>
      </c>
    </row>
    <row r="99" spans="1:14">
      <c r="A99" s="28">
        <v>20</v>
      </c>
      <c r="B99" s="177">
        <f>100000000</f>
        <v>100000000</v>
      </c>
      <c r="C99" s="28">
        <v>796</v>
      </c>
      <c r="D99" s="28"/>
      <c r="E99" s="28"/>
      <c r="F99" s="28"/>
    </row>
    <row r="100" spans="1:14">
      <c r="A100" s="28">
        <v>1</v>
      </c>
      <c r="B100" s="28">
        <f t="shared" ref="B100:B119" si="21">1-A100/$A$99+0.025</f>
        <v>0.97499999999999998</v>
      </c>
      <c r="C100" s="28">
        <f t="shared" ref="C100:C112" si="22">$C$99*B100</f>
        <v>776.1</v>
      </c>
      <c r="D100" s="179">
        <f t="shared" ref="D100:D107" si="23">(A100/$A$99)*LOG($B$99)</f>
        <v>0.4</v>
      </c>
      <c r="E100" s="180">
        <f t="shared" ref="E100:E107" si="24">((A100-1)/$A$99)*LOG($B$99)</f>
        <v>0</v>
      </c>
      <c r="F100" s="56">
        <f t="shared" ref="F100:F118" si="25">10^D100-10^E100</f>
        <v>1.5118864315095806</v>
      </c>
      <c r="G100" s="21"/>
    </row>
    <row r="101" spans="1:14">
      <c r="A101" s="28">
        <v>2</v>
      </c>
      <c r="B101" s="28">
        <f t="shared" si="21"/>
        <v>0.92500000000000004</v>
      </c>
      <c r="C101" s="28">
        <f t="shared" si="22"/>
        <v>736.30000000000007</v>
      </c>
      <c r="D101" s="179">
        <f t="shared" si="23"/>
        <v>0.8</v>
      </c>
      <c r="E101" s="180">
        <f t="shared" si="24"/>
        <v>0.4</v>
      </c>
      <c r="F101" s="56">
        <f t="shared" si="25"/>
        <v>3.7976870132923537</v>
      </c>
      <c r="G101" s="21"/>
    </row>
    <row r="102" spans="1:14">
      <c r="A102" s="28">
        <v>3</v>
      </c>
      <c r="B102" s="28">
        <f t="shared" si="21"/>
        <v>0.875</v>
      </c>
      <c r="C102" s="28">
        <f>$C$99*B102</f>
        <v>696.5</v>
      </c>
      <c r="D102" s="179">
        <f t="shared" si="23"/>
        <v>1.2</v>
      </c>
      <c r="E102" s="180">
        <f t="shared" si="24"/>
        <v>0.8</v>
      </c>
      <c r="F102" s="56">
        <f>10^D102-10^E102</f>
        <v>9.5393584798092022</v>
      </c>
      <c r="G102" s="21"/>
    </row>
    <row r="103" spans="1:14">
      <c r="A103" s="28">
        <v>4</v>
      </c>
      <c r="B103" s="28">
        <f t="shared" si="21"/>
        <v>0.82500000000000007</v>
      </c>
      <c r="C103" s="28">
        <f>$C$99*B103</f>
        <v>656.7</v>
      </c>
      <c r="D103" s="179">
        <f>(A103/$A$99)*LOG($B$99)</f>
        <v>1.6</v>
      </c>
      <c r="E103" s="180">
        <f t="shared" si="24"/>
        <v>1.2</v>
      </c>
      <c r="F103" s="56">
        <f t="shared" si="25"/>
        <v>23.961785130738619</v>
      </c>
      <c r="G103" s="21"/>
    </row>
    <row r="104" spans="1:14">
      <c r="A104" s="28">
        <v>5</v>
      </c>
      <c r="B104" s="28">
        <f t="shared" si="21"/>
        <v>0.77500000000000002</v>
      </c>
      <c r="C104" s="28">
        <f t="shared" si="22"/>
        <v>616.9</v>
      </c>
      <c r="D104" s="179">
        <f t="shared" si="23"/>
        <v>2</v>
      </c>
      <c r="E104" s="180">
        <f t="shared" si="24"/>
        <v>1.6</v>
      </c>
      <c r="F104" s="56">
        <f t="shared" si="25"/>
        <v>60.189282944650245</v>
      </c>
      <c r="G104" s="21"/>
    </row>
    <row r="105" spans="1:14">
      <c r="A105" s="28">
        <v>6</v>
      </c>
      <c r="B105" s="28">
        <f t="shared" si="21"/>
        <v>0.72499999999999998</v>
      </c>
      <c r="C105" s="28">
        <f t="shared" si="22"/>
        <v>577.1</v>
      </c>
      <c r="D105" s="179">
        <f t="shared" si="23"/>
        <v>2.4</v>
      </c>
      <c r="E105" s="180">
        <f t="shared" si="24"/>
        <v>2</v>
      </c>
      <c r="F105" s="56">
        <f t="shared" si="25"/>
        <v>151.18864315095806</v>
      </c>
      <c r="G105" s="21"/>
    </row>
    <row r="106" spans="1:14">
      <c r="A106" s="28">
        <v>7</v>
      </c>
      <c r="B106" s="28">
        <f t="shared" si="21"/>
        <v>0.67500000000000004</v>
      </c>
      <c r="C106" s="28">
        <f t="shared" si="22"/>
        <v>537.30000000000007</v>
      </c>
      <c r="D106" s="179">
        <f t="shared" si="23"/>
        <v>2.8</v>
      </c>
      <c r="E106" s="180">
        <f t="shared" si="24"/>
        <v>2.4</v>
      </c>
      <c r="F106" s="56">
        <f t="shared" si="25"/>
        <v>379.76870132923517</v>
      </c>
      <c r="G106" s="21"/>
    </row>
    <row r="107" spans="1:14">
      <c r="A107" s="28">
        <v>8</v>
      </c>
      <c r="B107" s="28">
        <f t="shared" si="21"/>
        <v>0.625</v>
      </c>
      <c r="C107" s="28">
        <f t="shared" si="22"/>
        <v>497.5</v>
      </c>
      <c r="D107" s="179">
        <f t="shared" si="23"/>
        <v>3.2</v>
      </c>
      <c r="E107" s="180">
        <f t="shared" si="24"/>
        <v>2.8</v>
      </c>
      <c r="F107" s="56">
        <f t="shared" si="25"/>
        <v>953.9358479809224</v>
      </c>
      <c r="G107" s="21"/>
    </row>
    <row r="108" spans="1:14">
      <c r="A108" s="28">
        <v>9</v>
      </c>
      <c r="B108" s="28">
        <f t="shared" si="21"/>
        <v>0.57500000000000007</v>
      </c>
      <c r="C108" s="28">
        <f t="shared" si="22"/>
        <v>457.70000000000005</v>
      </c>
      <c r="D108" s="179">
        <f t="shared" ref="D108:D118" si="26">(A108/$A$99)*LOG($B$99)</f>
        <v>3.6</v>
      </c>
      <c r="E108" s="180">
        <f t="shared" ref="E108:E119" si="27">((A108-1)/$A$99)*LOG($B$99)</f>
        <v>3.2</v>
      </c>
      <c r="F108" s="56">
        <f t="shared" si="25"/>
        <v>2396.1785130738613</v>
      </c>
    </row>
    <row r="109" spans="1:14">
      <c r="A109" s="28">
        <v>10</v>
      </c>
      <c r="B109" s="28">
        <f t="shared" si="21"/>
        <v>0.52500000000000002</v>
      </c>
      <c r="C109" s="28">
        <f t="shared" si="22"/>
        <v>417.90000000000003</v>
      </c>
      <c r="D109" s="179">
        <f t="shared" si="26"/>
        <v>4</v>
      </c>
      <c r="E109" s="180">
        <f t="shared" si="27"/>
        <v>3.6</v>
      </c>
      <c r="F109" s="56">
        <f t="shared" si="25"/>
        <v>6018.9282944650231</v>
      </c>
    </row>
    <row r="110" spans="1:14">
      <c r="A110" s="28">
        <v>11</v>
      </c>
      <c r="B110" s="28">
        <f t="shared" si="21"/>
        <v>0.47499999999999998</v>
      </c>
      <c r="C110" s="28">
        <f t="shared" si="22"/>
        <v>378.09999999999997</v>
      </c>
      <c r="D110" s="179">
        <f t="shared" si="26"/>
        <v>4.4000000000000004</v>
      </c>
      <c r="E110" s="180">
        <f t="shared" si="27"/>
        <v>4</v>
      </c>
      <c r="F110" s="56">
        <f t="shared" si="25"/>
        <v>15118.86431509586</v>
      </c>
    </row>
    <row r="111" spans="1:14">
      <c r="A111" s="28">
        <v>12</v>
      </c>
      <c r="B111" s="28">
        <f t="shared" si="21"/>
        <v>0.42500000000000004</v>
      </c>
      <c r="C111" s="28">
        <f t="shared" si="22"/>
        <v>338.3</v>
      </c>
      <c r="D111" s="179">
        <f t="shared" si="26"/>
        <v>4.8</v>
      </c>
      <c r="E111" s="180">
        <f t="shared" si="27"/>
        <v>4.4000000000000004</v>
      </c>
      <c r="F111" s="56">
        <f t="shared" si="25"/>
        <v>37976.870132923483</v>
      </c>
    </row>
    <row r="112" spans="1:14">
      <c r="A112" s="28">
        <v>13</v>
      </c>
      <c r="B112" s="28">
        <f t="shared" si="21"/>
        <v>0.375</v>
      </c>
      <c r="C112" s="28">
        <f t="shared" si="22"/>
        <v>298.5</v>
      </c>
      <c r="D112" s="179">
        <f>(A112/$A$99)*LOG($B$99)</f>
        <v>5.2</v>
      </c>
      <c r="E112" s="180">
        <f t="shared" si="27"/>
        <v>4.8</v>
      </c>
      <c r="F112" s="56">
        <f t="shared" si="25"/>
        <v>95393.584798092299</v>
      </c>
    </row>
    <row r="113" spans="1:6">
      <c r="A113" s="28">
        <v>14</v>
      </c>
      <c r="B113" s="28">
        <f t="shared" si="21"/>
        <v>0.32500000000000007</v>
      </c>
      <c r="C113" s="28">
        <f t="shared" ref="C113:C119" si="28">$C$99*B113</f>
        <v>258.70000000000005</v>
      </c>
      <c r="D113" s="179">
        <f>(A113/$A$99)*LOG($B$99)</f>
        <v>5.6</v>
      </c>
      <c r="E113" s="180">
        <f>((A113-1)/$A$99)*LOG($B$99)</f>
        <v>5.2</v>
      </c>
      <c r="F113" s="56">
        <f t="shared" si="25"/>
        <v>239617.85130738551</v>
      </c>
    </row>
    <row r="114" spans="1:6">
      <c r="A114" s="28">
        <v>15</v>
      </c>
      <c r="B114" s="28">
        <f t="shared" si="21"/>
        <v>0.27500000000000002</v>
      </c>
      <c r="C114" s="28">
        <f t="shared" si="28"/>
        <v>218.9</v>
      </c>
      <c r="D114" s="179">
        <f t="shared" si="26"/>
        <v>6</v>
      </c>
      <c r="E114" s="180">
        <f t="shared" si="27"/>
        <v>5.6</v>
      </c>
      <c r="F114" s="56">
        <f t="shared" si="25"/>
        <v>601892.82944650284</v>
      </c>
    </row>
    <row r="115" spans="1:6">
      <c r="A115" s="28">
        <v>16</v>
      </c>
      <c r="B115" s="28">
        <f t="shared" si="21"/>
        <v>0.22499999999999995</v>
      </c>
      <c r="C115" s="28">
        <f t="shared" si="28"/>
        <v>179.09999999999997</v>
      </c>
      <c r="D115" s="179">
        <f t="shared" si="26"/>
        <v>6.4</v>
      </c>
      <c r="E115" s="180">
        <f t="shared" si="27"/>
        <v>6</v>
      </c>
      <c r="F115" s="56">
        <f t="shared" si="25"/>
        <v>1511886.431509587</v>
      </c>
    </row>
    <row r="116" spans="1:6">
      <c r="A116" s="28">
        <v>17</v>
      </c>
      <c r="B116" s="28">
        <f t="shared" si="21"/>
        <v>0.17500000000000002</v>
      </c>
      <c r="C116" s="28">
        <f t="shared" si="28"/>
        <v>139.30000000000001</v>
      </c>
      <c r="D116" s="179">
        <f t="shared" si="26"/>
        <v>6.8</v>
      </c>
      <c r="E116" s="180">
        <f t="shared" si="27"/>
        <v>6.4</v>
      </c>
      <c r="F116" s="56">
        <f t="shared" si="25"/>
        <v>3797687.0132923508</v>
      </c>
    </row>
    <row r="117" spans="1:6">
      <c r="A117" s="28">
        <v>18</v>
      </c>
      <c r="B117" s="28">
        <f t="shared" si="21"/>
        <v>0.12499999999999997</v>
      </c>
      <c r="C117" s="28">
        <f t="shared" si="28"/>
        <v>99.499999999999972</v>
      </c>
      <c r="D117" s="179">
        <f t="shared" si="26"/>
        <v>7.2</v>
      </c>
      <c r="E117" s="180">
        <f t="shared" si="27"/>
        <v>6.8</v>
      </c>
      <c r="F117" s="56">
        <f t="shared" si="25"/>
        <v>9539358.4798092339</v>
      </c>
    </row>
    <row r="118" spans="1:6">
      <c r="A118" s="28">
        <v>19</v>
      </c>
      <c r="B118" s="28">
        <f t="shared" si="21"/>
        <v>7.5000000000000039E-2</v>
      </c>
      <c r="C118" s="28">
        <f t="shared" si="28"/>
        <v>59.700000000000031</v>
      </c>
      <c r="D118" s="179">
        <f t="shared" si="26"/>
        <v>7.6</v>
      </c>
      <c r="E118" s="180">
        <f t="shared" si="27"/>
        <v>7.2</v>
      </c>
      <c r="F118" s="56">
        <f t="shared" si="25"/>
        <v>23961785.130738631</v>
      </c>
    </row>
    <row r="119" spans="1:6">
      <c r="A119" s="28">
        <v>20</v>
      </c>
      <c r="B119" s="28">
        <f t="shared" si="21"/>
        <v>2.5000000000000001E-2</v>
      </c>
      <c r="C119" s="28">
        <f t="shared" si="28"/>
        <v>19.900000000000002</v>
      </c>
      <c r="D119" s="179">
        <f>(A119/$A$99)*LOG($B$99)</f>
        <v>8</v>
      </c>
      <c r="E119" s="180">
        <f t="shared" si="27"/>
        <v>7.6</v>
      </c>
      <c r="F119" s="56">
        <f>10^D119-10^E119</f>
        <v>60189282.944650196</v>
      </c>
    </row>
    <row r="120" spans="1:6">
      <c r="D120" s="168"/>
      <c r="E120" s="167"/>
      <c r="F120" s="21">
        <f>SUM(F100:F119)+1</f>
        <v>100000000</v>
      </c>
    </row>
    <row r="121" spans="1:6">
      <c r="D121" s="168"/>
      <c r="E121" s="167"/>
      <c r="F121" s="21"/>
    </row>
    <row r="122" spans="1:6">
      <c r="A122" s="28">
        <v>10</v>
      </c>
      <c r="B122" s="177">
        <f>100000000</f>
        <v>100000000</v>
      </c>
      <c r="C122" s="28">
        <v>796</v>
      </c>
      <c r="D122" s="28"/>
      <c r="E122" s="28"/>
      <c r="F122" s="28"/>
    </row>
    <row r="123" spans="1:6">
      <c r="A123" s="28">
        <v>1</v>
      </c>
      <c r="B123" s="55">
        <f>1-A123/$A$122+0.05</f>
        <v>0.95000000000000007</v>
      </c>
      <c r="C123" s="28">
        <f>$C$122*B123</f>
        <v>756.2</v>
      </c>
      <c r="D123" s="179">
        <f>(A123/$A$122)*LOG($B$122)</f>
        <v>0.8</v>
      </c>
      <c r="E123" s="180">
        <f>((A123-1)/$A$122)*LOG($B$122)</f>
        <v>0</v>
      </c>
      <c r="F123" s="56">
        <f t="shared" ref="F123:F132" si="29">10^D123-10^E123</f>
        <v>5.3095734448019343</v>
      </c>
    </row>
    <row r="124" spans="1:6">
      <c r="A124" s="28">
        <v>2</v>
      </c>
      <c r="B124" s="55">
        <f t="shared" ref="B124:B132" si="30">1-A124/$A$122+0.05</f>
        <v>0.85000000000000009</v>
      </c>
      <c r="C124" s="28">
        <f t="shared" ref="C124:C132" si="31">$C$122*B124</f>
        <v>676.6</v>
      </c>
      <c r="D124" s="179">
        <f t="shared" ref="D124:D132" si="32">(A124/$A$122)*LOG($B$122)</f>
        <v>1.6</v>
      </c>
      <c r="E124" s="180">
        <f t="shared" ref="E124:E132" si="33">((A124-1)/$A$122)*LOG($B$122)</f>
        <v>0.8</v>
      </c>
      <c r="F124" s="56">
        <f t="shared" si="29"/>
        <v>33.501143610547821</v>
      </c>
    </row>
    <row r="125" spans="1:6">
      <c r="A125" s="28">
        <v>3</v>
      </c>
      <c r="B125" s="55">
        <f t="shared" si="30"/>
        <v>0.75</v>
      </c>
      <c r="C125" s="28">
        <f t="shared" si="31"/>
        <v>597</v>
      </c>
      <c r="D125" s="179">
        <f t="shared" si="32"/>
        <v>2.4</v>
      </c>
      <c r="E125" s="180">
        <f t="shared" si="33"/>
        <v>1.6</v>
      </c>
      <c r="F125" s="56">
        <f t="shared" si="29"/>
        <v>211.3779260956083</v>
      </c>
    </row>
    <row r="126" spans="1:6">
      <c r="A126" s="28">
        <v>4</v>
      </c>
      <c r="B126" s="55">
        <f t="shared" si="30"/>
        <v>0.65</v>
      </c>
      <c r="C126" s="28">
        <f t="shared" si="31"/>
        <v>517.4</v>
      </c>
      <c r="D126" s="179">
        <f t="shared" si="32"/>
        <v>3.2</v>
      </c>
      <c r="E126" s="180">
        <f t="shared" si="33"/>
        <v>2.4</v>
      </c>
      <c r="F126" s="56">
        <f t="shared" si="29"/>
        <v>1333.7045493101575</v>
      </c>
    </row>
    <row r="127" spans="1:6">
      <c r="A127" s="28">
        <v>5</v>
      </c>
      <c r="B127" s="55">
        <f t="shared" si="30"/>
        <v>0.55000000000000004</v>
      </c>
      <c r="C127" s="28">
        <f t="shared" si="31"/>
        <v>437.8</v>
      </c>
      <c r="D127" s="179">
        <f t="shared" si="32"/>
        <v>4</v>
      </c>
      <c r="E127" s="180">
        <f t="shared" si="33"/>
        <v>3.2</v>
      </c>
      <c r="F127" s="56">
        <f t="shared" si="29"/>
        <v>8415.1068075388848</v>
      </c>
    </row>
    <row r="128" spans="1:6">
      <c r="A128" s="28">
        <v>6</v>
      </c>
      <c r="B128" s="55">
        <f t="shared" si="30"/>
        <v>0.45</v>
      </c>
      <c r="C128" s="28">
        <f t="shared" si="31"/>
        <v>358.2</v>
      </c>
      <c r="D128" s="179">
        <f t="shared" si="32"/>
        <v>4.8</v>
      </c>
      <c r="E128" s="180">
        <f t="shared" si="33"/>
        <v>4</v>
      </c>
      <c r="F128" s="56">
        <f t="shared" si="29"/>
        <v>53095.734448019342</v>
      </c>
    </row>
    <row r="129" spans="1:6">
      <c r="A129" s="28">
        <v>7</v>
      </c>
      <c r="B129" s="55">
        <f t="shared" si="30"/>
        <v>0.35000000000000003</v>
      </c>
      <c r="C129" s="28">
        <f t="shared" si="31"/>
        <v>278.60000000000002</v>
      </c>
      <c r="D129" s="179">
        <f t="shared" si="32"/>
        <v>5.6</v>
      </c>
      <c r="E129" s="180">
        <f t="shared" si="33"/>
        <v>4.8</v>
      </c>
      <c r="F129" s="56">
        <f t="shared" si="29"/>
        <v>335011.4361054778</v>
      </c>
    </row>
    <row r="130" spans="1:6">
      <c r="A130" s="28">
        <v>8</v>
      </c>
      <c r="B130" s="55">
        <f t="shared" si="30"/>
        <v>0.24999999999999994</v>
      </c>
      <c r="C130" s="28">
        <f t="shared" si="31"/>
        <v>198.99999999999994</v>
      </c>
      <c r="D130" s="179">
        <f t="shared" si="32"/>
        <v>6.4</v>
      </c>
      <c r="E130" s="180">
        <f t="shared" si="33"/>
        <v>5.6</v>
      </c>
      <c r="F130" s="56">
        <f t="shared" si="29"/>
        <v>2113779.2609560899</v>
      </c>
    </row>
    <row r="131" spans="1:6">
      <c r="A131" s="28">
        <v>9</v>
      </c>
      <c r="B131" s="55">
        <f t="shared" si="30"/>
        <v>0.14999999999999997</v>
      </c>
      <c r="C131" s="28">
        <f t="shared" si="31"/>
        <v>119.39999999999998</v>
      </c>
      <c r="D131" s="179">
        <f t="shared" si="32"/>
        <v>7.2</v>
      </c>
      <c r="E131" s="180">
        <f t="shared" si="33"/>
        <v>6.4</v>
      </c>
      <c r="F131" s="56">
        <f t="shared" si="29"/>
        <v>13337045.493101586</v>
      </c>
    </row>
    <row r="132" spans="1:6">
      <c r="A132" s="28">
        <v>10</v>
      </c>
      <c r="B132" s="55">
        <f t="shared" si="30"/>
        <v>0.05</v>
      </c>
      <c r="C132" s="28">
        <f t="shared" si="31"/>
        <v>39.800000000000004</v>
      </c>
      <c r="D132" s="179">
        <f t="shared" si="32"/>
        <v>8</v>
      </c>
      <c r="E132" s="180">
        <f t="shared" si="33"/>
        <v>7.2</v>
      </c>
      <c r="F132" s="56">
        <f t="shared" si="29"/>
        <v>84151068.075388834</v>
      </c>
    </row>
    <row r="133" spans="1:6">
      <c r="F133" s="21">
        <f>SUM(F123:F132)+1</f>
        <v>100000000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C6F7E-1E47-4CDF-BD90-58A6F36CDFAA}">
  <sheetPr codeName="Sheet10"/>
  <dimension ref="A2:AA118"/>
  <sheetViews>
    <sheetView topLeftCell="A67" workbookViewId="0">
      <selection activeCell="D35" sqref="D35"/>
    </sheetView>
  </sheetViews>
  <sheetFormatPr defaultColWidth="10.83203125" defaultRowHeight="12.75"/>
  <sheetData>
    <row r="2" spans="1:27">
      <c r="A2" t="s">
        <v>575</v>
      </c>
      <c r="D2" s="117">
        <f>10^8</f>
        <v>100000000</v>
      </c>
      <c r="G2" s="117">
        <f>10^8</f>
        <v>100000000</v>
      </c>
      <c r="J2" s="117">
        <f>10^8</f>
        <v>100000000</v>
      </c>
      <c r="M2" s="117">
        <f>10^8</f>
        <v>100000000</v>
      </c>
      <c r="P2" s="117">
        <f>10^8</f>
        <v>100000000</v>
      </c>
      <c r="S2" s="117">
        <f>10^8</f>
        <v>100000000</v>
      </c>
      <c r="V2" s="117">
        <f>10^8</f>
        <v>100000000</v>
      </c>
      <c r="Y2" s="117">
        <f>10^8</f>
        <v>100000000</v>
      </c>
    </row>
    <row r="3" spans="1:27">
      <c r="A3" t="s">
        <v>576</v>
      </c>
      <c r="D3" s="117">
        <f>10^4</f>
        <v>10000</v>
      </c>
      <c r="G3" s="117">
        <f>10^4</f>
        <v>10000</v>
      </c>
      <c r="J3" s="117">
        <f>10^4</f>
        <v>10000</v>
      </c>
      <c r="M3" s="117">
        <f>10^4</f>
        <v>10000</v>
      </c>
      <c r="P3" s="117">
        <f>10^4</f>
        <v>10000</v>
      </c>
      <c r="S3" s="117">
        <f>10^4</f>
        <v>10000</v>
      </c>
      <c r="V3" s="117">
        <f>10^4</f>
        <v>10000</v>
      </c>
      <c r="Y3" s="117">
        <f>10^4</f>
        <v>10000</v>
      </c>
    </row>
    <row r="4" spans="1:27">
      <c r="A4" t="s">
        <v>577</v>
      </c>
      <c r="D4" s="116">
        <v>398</v>
      </c>
      <c r="G4" s="116">
        <v>398</v>
      </c>
      <c r="J4" s="116">
        <v>398</v>
      </c>
      <c r="M4" s="116">
        <v>398</v>
      </c>
      <c r="P4" s="116">
        <v>398</v>
      </c>
      <c r="S4" s="116">
        <v>398</v>
      </c>
      <c r="V4" s="116">
        <v>398</v>
      </c>
      <c r="Y4" s="116">
        <v>398</v>
      </c>
    </row>
    <row r="5" spans="1:27">
      <c r="A5" t="s">
        <v>578</v>
      </c>
      <c r="D5">
        <v>0.5</v>
      </c>
      <c r="G5">
        <v>0.7</v>
      </c>
      <c r="J5">
        <v>0.9</v>
      </c>
      <c r="M5">
        <v>1</v>
      </c>
      <c r="P5">
        <v>1.1000000000000001</v>
      </c>
      <c r="S5">
        <v>1.3</v>
      </c>
      <c r="V5">
        <v>1.5</v>
      </c>
      <c r="Y5">
        <v>2</v>
      </c>
    </row>
    <row r="6" spans="1:27">
      <c r="A6" t="s">
        <v>579</v>
      </c>
      <c r="D6" s="116">
        <f>D4/(LN(D3)^(1/D5))</f>
        <v>4.6917159631638956</v>
      </c>
      <c r="G6" s="116">
        <f>G4/(LN(G3)^(1/G5))</f>
        <v>16.685775126565979</v>
      </c>
      <c r="J6" s="116">
        <f>J4/(LN(J3)^(1/J5))</f>
        <v>33.764914149371066</v>
      </c>
      <c r="M6" s="116">
        <f>M4/(LN(M3)^(1/M5))</f>
        <v>43.212300949373549</v>
      </c>
      <c r="P6" s="116">
        <f>P4/(LN(P3)^(1/P5))</f>
        <v>52.877244752039346</v>
      </c>
      <c r="S6" s="116">
        <f>S4/(LN(S3)^(1/S5))</f>
        <v>72.132759859324196</v>
      </c>
      <c r="V6" s="116">
        <f>V4/(LN(V3)^(1/V5))</f>
        <v>90.580063065846275</v>
      </c>
      <c r="Y6" s="116">
        <f>Y4/(LN(Y3)^(1/Y5))</f>
        <v>131.14303556746989</v>
      </c>
    </row>
    <row r="8" spans="1:27">
      <c r="A8" s="22"/>
      <c r="B8" s="22" t="s">
        <v>580</v>
      </c>
      <c r="C8" s="22"/>
      <c r="D8" s="22" t="s">
        <v>582</v>
      </c>
      <c r="E8" s="22" t="s">
        <v>580</v>
      </c>
      <c r="F8" s="22"/>
      <c r="G8" s="22" t="s">
        <v>582</v>
      </c>
      <c r="H8" s="22" t="s">
        <v>580</v>
      </c>
      <c r="I8" s="22"/>
      <c r="J8" s="22" t="s">
        <v>582</v>
      </c>
      <c r="K8" s="22" t="s">
        <v>580</v>
      </c>
      <c r="L8" s="22"/>
      <c r="M8" s="22" t="s">
        <v>582</v>
      </c>
      <c r="N8" s="22" t="s">
        <v>580</v>
      </c>
      <c r="O8" s="22"/>
      <c r="P8" s="22" t="s">
        <v>582</v>
      </c>
      <c r="Q8" s="22" t="s">
        <v>580</v>
      </c>
      <c r="R8" s="22"/>
      <c r="S8" s="22" t="s">
        <v>582</v>
      </c>
      <c r="T8" s="22" t="s">
        <v>580</v>
      </c>
      <c r="U8" s="22"/>
      <c r="V8" s="22" t="s">
        <v>582</v>
      </c>
      <c r="W8" s="22" t="s">
        <v>580</v>
      </c>
      <c r="X8" s="22"/>
      <c r="Y8" s="22" t="s">
        <v>582</v>
      </c>
    </row>
    <row r="9" spans="1:27">
      <c r="A9" s="22">
        <v>0</v>
      </c>
      <c r="B9" s="29">
        <f>B$59*$A9/50</f>
        <v>0</v>
      </c>
      <c r="C9" s="29">
        <f>B9/B$59</f>
        <v>0</v>
      </c>
      <c r="D9" s="109">
        <f>LOG(1-WEIBULL(B9,D$5,D$6,TRUE))</f>
        <v>0</v>
      </c>
      <c r="E9" s="24">
        <f>E$59*$A9/50</f>
        <v>0</v>
      </c>
      <c r="F9" s="29">
        <f>E9/E$59</f>
        <v>0</v>
      </c>
      <c r="G9" s="109">
        <f>LOG(1-WEIBULL(E9,G$5,G$6,TRUE))</f>
        <v>0</v>
      </c>
      <c r="H9" s="24">
        <f>H$59*$A9/50</f>
        <v>0</v>
      </c>
      <c r="I9" s="29">
        <f>H9/H$59</f>
        <v>0</v>
      </c>
      <c r="J9" s="109">
        <f>LOG(1-WEIBULL(H9,J$5,J$6,TRUE))</f>
        <v>0</v>
      </c>
      <c r="K9" s="24">
        <f>K$59*$A9/50</f>
        <v>0</v>
      </c>
      <c r="L9" s="29">
        <f>K9/K$59</f>
        <v>0</v>
      </c>
      <c r="M9" s="109">
        <f>LOG(1-WEIBULL(K9,M$5,M$6,TRUE))</f>
        <v>0</v>
      </c>
      <c r="N9" s="24">
        <f>N$59*$A9/50</f>
        <v>0</v>
      </c>
      <c r="O9" s="29">
        <f>N9/N$59</f>
        <v>0</v>
      </c>
      <c r="P9" s="109">
        <f>LOG(1-WEIBULL(N9,P$5,P$6,TRUE))</f>
        <v>0</v>
      </c>
      <c r="Q9" s="24">
        <f>Q$59*$A9/50</f>
        <v>0</v>
      </c>
      <c r="R9" s="29">
        <f>Q9/Q$59</f>
        <v>0</v>
      </c>
      <c r="S9" s="109">
        <f>LOG(1-WEIBULL(Q9,S$5,S$6,TRUE))</f>
        <v>0</v>
      </c>
      <c r="T9" s="24">
        <f>T$59*$A9/50</f>
        <v>0</v>
      </c>
      <c r="U9" s="29">
        <f>T9/T$59</f>
        <v>0</v>
      </c>
      <c r="V9" s="109">
        <f>LOG(1-WEIBULL(T9,V$5,V$6,TRUE))</f>
        <v>0</v>
      </c>
      <c r="W9" s="24">
        <f>W$59*$A9/50</f>
        <v>0</v>
      </c>
      <c r="X9" s="29">
        <f>W9/W$59</f>
        <v>0</v>
      </c>
      <c r="Y9" s="109">
        <f>LOG(1-WEIBULL(W9,Y$5,Y$6,TRUE))</f>
        <v>0</v>
      </c>
    </row>
    <row r="10" spans="1:27">
      <c r="A10" s="22">
        <v>1</v>
      </c>
      <c r="B10" s="29">
        <f t="shared" ref="B10:B58" si="0">B$59*$A10/50</f>
        <v>31.84</v>
      </c>
      <c r="C10" s="29">
        <f t="shared" ref="C10:C59" si="1">B10/$B$59</f>
        <v>0.02</v>
      </c>
      <c r="D10" s="109">
        <f t="shared" ref="D10:D59" si="2">LOG(1-WEIBULL(B10,D$5,D$6,TRUE))</f>
        <v>-1.1313708498984758</v>
      </c>
      <c r="E10" s="24">
        <f t="shared" ref="E10:E58" si="3">E$59*$A10/50</f>
        <v>21.426731066707106</v>
      </c>
      <c r="F10" s="29">
        <f t="shared" ref="F10:F59" si="4">E10/E$59</f>
        <v>0.02</v>
      </c>
      <c r="G10" s="109">
        <f t="shared" ref="G10:G59" si="5">LOG(1-WEIBULL(E10,G$5,G$6,TRUE))</f>
        <v>-0.51738160526188581</v>
      </c>
      <c r="H10" s="24">
        <f>H$59*$A10/50</f>
        <v>17.194551043165514</v>
      </c>
      <c r="I10" s="29">
        <f t="shared" ref="I10:I59" si="6">H10/H$59</f>
        <v>0.02</v>
      </c>
      <c r="J10" s="109">
        <f t="shared" ref="J10:J59" si="7">LOG(1-WEIBULL(H10,J$5,J$6,TRUE))</f>
        <v>-0.23660122186053026</v>
      </c>
      <c r="K10" s="24">
        <f t="shared" ref="K10:K58" si="8">K$59*$A10/50</f>
        <v>15.92</v>
      </c>
      <c r="L10" s="29">
        <f t="shared" ref="L10:L59" si="9">K10/K$59</f>
        <v>0.02</v>
      </c>
      <c r="M10" s="109">
        <f t="shared" ref="M10:M59" si="10">LOG(1-WEIBULL(K10,M$5,M$6,TRUE))</f>
        <v>-0.16000000000000003</v>
      </c>
      <c r="N10" s="24">
        <f t="shared" ref="N10:N58" si="11">N$59*$A10/50</f>
        <v>14.947780097734364</v>
      </c>
      <c r="O10" s="29">
        <f t="shared" ref="O10:O59" si="12">N10/N$59</f>
        <v>0.02</v>
      </c>
      <c r="P10" s="109">
        <f t="shared" ref="P10:P59" si="13">LOG(1-WEIBULL(N10,P$5,P$6,TRUE))</f>
        <v>-0.10819893404899857</v>
      </c>
      <c r="Q10" s="24">
        <f t="shared" ref="Q10:Q58" si="14">Q$59*$A10/50</f>
        <v>13.566711911142907</v>
      </c>
      <c r="R10" s="29">
        <f t="shared" ref="R10:R59" si="15">Q10/Q$59</f>
        <v>0.02</v>
      </c>
      <c r="S10" s="109">
        <f t="shared" ref="S10:S59" si="16">LOG(1-WEIBULL(Q10,S$5,S$6,TRUE))</f>
        <v>-4.9479919153758642E-2</v>
      </c>
      <c r="T10" s="24">
        <f t="shared" ref="T10:T58" si="17">T$59*$A10/50</f>
        <v>12.635712373666868</v>
      </c>
      <c r="U10" s="29">
        <f t="shared" ref="U10:U59" si="18">T10/T$59</f>
        <v>0.02</v>
      </c>
      <c r="V10" s="109">
        <f t="shared" ref="V10:V59" si="19">LOG(1-WEIBULL(T10,V$5,V$6,TRUE))</f>
        <v>-2.2627416997969486E-2</v>
      </c>
      <c r="W10" s="24">
        <f t="shared" ref="W10:W58" si="20">W$59*$A10/50</f>
        <v>11.257139956489837</v>
      </c>
      <c r="X10" s="29">
        <f t="shared" ref="X10:X59" si="21">W10/W$59</f>
        <v>0.02</v>
      </c>
      <c r="Y10" s="109">
        <f t="shared" ref="Y10:Y59" si="22">LOG(1-WEIBULL(W10,Y$5,Y$6,TRUE))</f>
        <v>-3.2000000000000097E-3</v>
      </c>
    </row>
    <row r="11" spans="1:27">
      <c r="A11" s="22">
        <v>2</v>
      </c>
      <c r="B11" s="29">
        <f t="shared" si="0"/>
        <v>63.68</v>
      </c>
      <c r="C11" s="29">
        <f t="shared" si="1"/>
        <v>0.04</v>
      </c>
      <c r="D11" s="109">
        <f t="shared" si="2"/>
        <v>-1.6</v>
      </c>
      <c r="E11" s="24">
        <f t="shared" si="3"/>
        <v>42.853462133414212</v>
      </c>
      <c r="F11" s="29">
        <f t="shared" si="4"/>
        <v>0.04</v>
      </c>
      <c r="G11" s="109">
        <f t="shared" si="5"/>
        <v>-0.8404888974092054</v>
      </c>
      <c r="H11" s="24">
        <f>H$59*$A11/50</f>
        <v>34.389102086331029</v>
      </c>
      <c r="I11" s="29">
        <f t="shared" si="6"/>
        <v>0.04</v>
      </c>
      <c r="J11" s="109">
        <f t="shared" si="7"/>
        <v>-0.44151349166758869</v>
      </c>
      <c r="K11" s="24">
        <f t="shared" si="8"/>
        <v>31.84</v>
      </c>
      <c r="L11" s="29">
        <f t="shared" si="9"/>
        <v>0.04</v>
      </c>
      <c r="M11" s="109">
        <f t="shared" si="10"/>
        <v>-0.32</v>
      </c>
      <c r="N11" s="24">
        <f t="shared" si="11"/>
        <v>29.895560195468729</v>
      </c>
      <c r="O11" s="29">
        <f t="shared" si="12"/>
        <v>0.04</v>
      </c>
      <c r="P11" s="109">
        <f t="shared" si="13"/>
        <v>-0.2319294923768625</v>
      </c>
      <c r="Q11" s="24">
        <f t="shared" si="14"/>
        <v>27.133423822285813</v>
      </c>
      <c r="R11" s="29">
        <f t="shared" si="15"/>
        <v>0.04</v>
      </c>
      <c r="S11" s="109">
        <f t="shared" si="16"/>
        <v>-0.12183385207781619</v>
      </c>
      <c r="T11" s="24">
        <f t="shared" si="17"/>
        <v>25.271424747333736</v>
      </c>
      <c r="U11" s="29">
        <f t="shared" si="18"/>
        <v>0.04</v>
      </c>
      <c r="V11" s="109">
        <f t="shared" si="19"/>
        <v>-6.3999999999999974E-2</v>
      </c>
      <c r="W11" s="24">
        <f t="shared" si="20"/>
        <v>22.514279912979674</v>
      </c>
      <c r="X11" s="29">
        <f t="shared" si="21"/>
        <v>0.04</v>
      </c>
      <c r="Y11" s="109">
        <f t="shared" si="22"/>
        <v>-1.2799999999999988E-2</v>
      </c>
      <c r="AA11" s="57"/>
    </row>
    <row r="12" spans="1:27">
      <c r="A12" s="22">
        <v>3</v>
      </c>
      <c r="B12" s="29">
        <f t="shared" si="0"/>
        <v>95.52</v>
      </c>
      <c r="C12" s="29">
        <f t="shared" si="1"/>
        <v>0.06</v>
      </c>
      <c r="D12" s="109">
        <f t="shared" si="2"/>
        <v>-1.9595917942265415</v>
      </c>
      <c r="E12" s="24">
        <f t="shared" si="3"/>
        <v>64.280193200121317</v>
      </c>
      <c r="F12" s="29">
        <f t="shared" si="4"/>
        <v>0.06</v>
      </c>
      <c r="G12" s="109">
        <f t="shared" si="5"/>
        <v>-1.1163383956975121</v>
      </c>
      <c r="H12" s="24">
        <f t="shared" ref="H12:H58" si="23">H$59*$A12/50</f>
        <v>51.58365312949654</v>
      </c>
      <c r="I12" s="29">
        <f t="shared" si="6"/>
        <v>0.06</v>
      </c>
      <c r="J12" s="109">
        <f t="shared" si="7"/>
        <v>-0.63595459900380924</v>
      </c>
      <c r="K12" s="24">
        <f t="shared" si="8"/>
        <v>47.76</v>
      </c>
      <c r="L12" s="29">
        <f t="shared" si="9"/>
        <v>0.06</v>
      </c>
      <c r="M12" s="109">
        <f t="shared" si="10"/>
        <v>-0.48000000000000004</v>
      </c>
      <c r="N12" s="24">
        <f t="shared" si="11"/>
        <v>44.843340293203092</v>
      </c>
      <c r="O12" s="29">
        <f t="shared" si="12"/>
        <v>0.06</v>
      </c>
      <c r="P12" s="109">
        <f t="shared" si="13"/>
        <v>-0.36229001309356018</v>
      </c>
      <c r="Q12" s="24">
        <f t="shared" si="14"/>
        <v>40.700135733428716</v>
      </c>
      <c r="R12" s="29">
        <f t="shared" si="15"/>
        <v>0.06</v>
      </c>
      <c r="S12" s="109">
        <f t="shared" si="16"/>
        <v>-0.20638903121847832</v>
      </c>
      <c r="T12" s="24">
        <f t="shared" si="17"/>
        <v>37.907137121000602</v>
      </c>
      <c r="U12" s="29">
        <f t="shared" si="18"/>
        <v>0.06</v>
      </c>
      <c r="V12" s="109">
        <f t="shared" si="19"/>
        <v>-0.11757550765359251</v>
      </c>
      <c r="W12" s="24">
        <f t="shared" si="20"/>
        <v>33.771419869469511</v>
      </c>
      <c r="X12" s="29">
        <f t="shared" si="21"/>
        <v>6.0000000000000005E-2</v>
      </c>
      <c r="Y12" s="109">
        <f t="shared" si="22"/>
        <v>-2.8800000000000023E-2</v>
      </c>
    </row>
    <row r="13" spans="1:27">
      <c r="A13" s="22">
        <v>4</v>
      </c>
      <c r="B13" s="29">
        <f t="shared" si="0"/>
        <v>127.36</v>
      </c>
      <c r="C13" s="29">
        <f t="shared" si="1"/>
        <v>0.08</v>
      </c>
      <c r="D13" s="109">
        <f t="shared" si="2"/>
        <v>-2.2627416997969547</v>
      </c>
      <c r="E13" s="24">
        <f t="shared" si="3"/>
        <v>85.706924266828423</v>
      </c>
      <c r="F13" s="29">
        <f t="shared" si="4"/>
        <v>0.08</v>
      </c>
      <c r="G13" s="109">
        <f t="shared" si="5"/>
        <v>-1.3653782420628751</v>
      </c>
      <c r="H13" s="24">
        <f t="shared" si="23"/>
        <v>68.778204172662058</v>
      </c>
      <c r="I13" s="29">
        <f t="shared" si="6"/>
        <v>0.08</v>
      </c>
      <c r="J13" s="109">
        <f t="shared" si="7"/>
        <v>-0.82389330786894321</v>
      </c>
      <c r="K13" s="24">
        <f t="shared" si="8"/>
        <v>63.68</v>
      </c>
      <c r="L13" s="29">
        <f t="shared" si="9"/>
        <v>0.08</v>
      </c>
      <c r="M13" s="109">
        <f t="shared" si="10"/>
        <v>-0.64000000000000024</v>
      </c>
      <c r="N13" s="24">
        <f t="shared" si="11"/>
        <v>59.791120390937458</v>
      </c>
      <c r="O13" s="29">
        <f t="shared" si="12"/>
        <v>0.08</v>
      </c>
      <c r="P13" s="109">
        <f t="shared" si="13"/>
        <v>-0.49715175021806951</v>
      </c>
      <c r="Q13" s="24">
        <f t="shared" si="14"/>
        <v>54.266847644571627</v>
      </c>
      <c r="R13" s="29">
        <f t="shared" si="15"/>
        <v>0.08</v>
      </c>
      <c r="S13" s="109">
        <f t="shared" si="16"/>
        <v>-0.29999013268378866</v>
      </c>
      <c r="T13" s="24">
        <f t="shared" si="17"/>
        <v>50.542849494667472</v>
      </c>
      <c r="U13" s="29">
        <f t="shared" si="18"/>
        <v>0.08</v>
      </c>
      <c r="V13" s="109">
        <f t="shared" si="19"/>
        <v>-0.18101933598375608</v>
      </c>
      <c r="W13" s="24">
        <f t="shared" si="20"/>
        <v>45.028559825959348</v>
      </c>
      <c r="X13" s="29">
        <f t="shared" si="21"/>
        <v>0.08</v>
      </c>
      <c r="Y13" s="109">
        <f t="shared" si="22"/>
        <v>-5.1200000000000037E-2</v>
      </c>
    </row>
    <row r="14" spans="1:27">
      <c r="A14" s="22">
        <v>5</v>
      </c>
      <c r="B14" s="29">
        <f t="shared" si="0"/>
        <v>159.19999999999999</v>
      </c>
      <c r="C14" s="29">
        <f t="shared" si="1"/>
        <v>9.9999999999999992E-2</v>
      </c>
      <c r="D14" s="109">
        <f t="shared" si="2"/>
        <v>-2.529822128134696</v>
      </c>
      <c r="E14" s="24">
        <f t="shared" si="3"/>
        <v>107.13365533353553</v>
      </c>
      <c r="F14" s="29">
        <f t="shared" si="4"/>
        <v>9.9999999999999992E-2</v>
      </c>
      <c r="G14" s="109">
        <f t="shared" si="5"/>
        <v>-1.596209851975104</v>
      </c>
      <c r="H14" s="24">
        <f t="shared" si="23"/>
        <v>85.972755215827561</v>
      </c>
      <c r="I14" s="29">
        <f t="shared" si="6"/>
        <v>9.9999999999999992E-2</v>
      </c>
      <c r="J14" s="109">
        <f t="shared" si="7"/>
        <v>-1.0071403294353334</v>
      </c>
      <c r="K14" s="24">
        <f t="shared" si="8"/>
        <v>79.599999999999994</v>
      </c>
      <c r="L14" s="29">
        <f t="shared" si="9"/>
        <v>9.9999999999999992E-2</v>
      </c>
      <c r="M14" s="109">
        <f t="shared" si="10"/>
        <v>-0.8</v>
      </c>
      <c r="N14" s="24">
        <f t="shared" si="11"/>
        <v>74.738900488671831</v>
      </c>
      <c r="O14" s="29">
        <f t="shared" si="12"/>
        <v>0.1</v>
      </c>
      <c r="P14" s="109">
        <f t="shared" si="13"/>
        <v>-0.63546258777942521</v>
      </c>
      <c r="Q14" s="24">
        <f t="shared" si="14"/>
        <v>67.83355955571453</v>
      </c>
      <c r="R14" s="29">
        <f t="shared" si="15"/>
        <v>9.9999999999999992E-2</v>
      </c>
      <c r="S14" s="109">
        <f t="shared" si="16"/>
        <v>-0.4009497869018176</v>
      </c>
      <c r="T14" s="24">
        <f t="shared" si="17"/>
        <v>63.178561868334334</v>
      </c>
      <c r="U14" s="29">
        <f t="shared" si="18"/>
        <v>9.9999999999999992E-2</v>
      </c>
      <c r="V14" s="109">
        <f t="shared" si="19"/>
        <v>-0.25298221281347022</v>
      </c>
      <c r="W14" s="24">
        <f t="shared" si="20"/>
        <v>56.285699782449186</v>
      </c>
      <c r="X14" s="29">
        <f t="shared" si="21"/>
        <v>0.1</v>
      </c>
      <c r="Y14" s="109">
        <f t="shared" si="22"/>
        <v>-8.0000000000000016E-2</v>
      </c>
    </row>
    <row r="15" spans="1:27">
      <c r="A15" s="22">
        <v>6</v>
      </c>
      <c r="B15" s="29">
        <f t="shared" si="0"/>
        <v>191.04</v>
      </c>
      <c r="C15" s="29">
        <f t="shared" si="1"/>
        <v>0.12</v>
      </c>
      <c r="D15" s="109">
        <f t="shared" si="2"/>
        <v>-2.7712812921102179</v>
      </c>
      <c r="E15" s="24">
        <f t="shared" si="3"/>
        <v>128.56038640024263</v>
      </c>
      <c r="F15" s="29">
        <f t="shared" si="4"/>
        <v>0.12</v>
      </c>
      <c r="G15" s="109">
        <f t="shared" si="5"/>
        <v>-1.813497074099558</v>
      </c>
      <c r="H15" s="24">
        <f t="shared" si="23"/>
        <v>103.16730625899308</v>
      </c>
      <c r="I15" s="29">
        <f t="shared" si="6"/>
        <v>0.12</v>
      </c>
      <c r="J15" s="109">
        <f t="shared" si="7"/>
        <v>-1.1867332439802301</v>
      </c>
      <c r="K15" s="24">
        <f t="shared" si="8"/>
        <v>95.52</v>
      </c>
      <c r="L15" s="29">
        <f t="shared" si="9"/>
        <v>0.12</v>
      </c>
      <c r="M15" s="109">
        <f t="shared" si="10"/>
        <v>-0.96000000000000019</v>
      </c>
      <c r="N15" s="24">
        <f t="shared" si="11"/>
        <v>89.686680586406183</v>
      </c>
      <c r="O15" s="29">
        <f t="shared" si="12"/>
        <v>0.12</v>
      </c>
      <c r="P15" s="109">
        <f t="shared" si="13"/>
        <v>-0.77658564355120818</v>
      </c>
      <c r="Q15" s="24">
        <f t="shared" si="14"/>
        <v>81.400271466857433</v>
      </c>
      <c r="R15" s="29">
        <f t="shared" si="15"/>
        <v>0.12</v>
      </c>
      <c r="S15" s="109">
        <f t="shared" si="16"/>
        <v>-0.50818940552059833</v>
      </c>
      <c r="T15" s="24">
        <f t="shared" si="17"/>
        <v>75.814274242001204</v>
      </c>
      <c r="U15" s="29">
        <f t="shared" si="18"/>
        <v>0.12</v>
      </c>
      <c r="V15" s="109">
        <f t="shared" si="19"/>
        <v>-0.33255375505322443</v>
      </c>
      <c r="W15" s="24">
        <f t="shared" si="20"/>
        <v>67.542839738939023</v>
      </c>
      <c r="X15" s="29">
        <f t="shared" si="21"/>
        <v>0.12000000000000001</v>
      </c>
      <c r="Y15" s="109">
        <f t="shared" si="22"/>
        <v>-0.11520000000000007</v>
      </c>
    </row>
    <row r="16" spans="1:27">
      <c r="A16" s="22">
        <v>7</v>
      </c>
      <c r="B16" s="29">
        <f t="shared" si="0"/>
        <v>222.88</v>
      </c>
      <c r="C16" s="29">
        <f t="shared" si="1"/>
        <v>0.13999999999999999</v>
      </c>
      <c r="D16" s="109">
        <f t="shared" si="2"/>
        <v>-2.9933259094191578</v>
      </c>
      <c r="E16" s="24">
        <f t="shared" si="3"/>
        <v>149.98711746694974</v>
      </c>
      <c r="F16" s="29">
        <f t="shared" si="4"/>
        <v>0.13999999999999999</v>
      </c>
      <c r="G16" s="109">
        <f t="shared" si="5"/>
        <v>-2.0201313664989811</v>
      </c>
      <c r="H16" s="24">
        <f t="shared" si="23"/>
        <v>120.36185730215858</v>
      </c>
      <c r="I16" s="29">
        <f t="shared" si="6"/>
        <v>0.13999999999999999</v>
      </c>
      <c r="J16" s="109">
        <f t="shared" si="7"/>
        <v>-1.3633432714665332</v>
      </c>
      <c r="K16" s="24">
        <f t="shared" si="8"/>
        <v>111.44</v>
      </c>
      <c r="L16" s="29">
        <f t="shared" si="9"/>
        <v>0.13999999999999999</v>
      </c>
      <c r="M16" s="109">
        <f t="shared" si="10"/>
        <v>-1.1200000000000001</v>
      </c>
      <c r="N16" s="24">
        <f t="shared" si="11"/>
        <v>104.63446068414056</v>
      </c>
      <c r="O16" s="29">
        <f t="shared" si="12"/>
        <v>0.14000000000000001</v>
      </c>
      <c r="P16" s="109">
        <f t="shared" si="13"/>
        <v>-0.92009109242946241</v>
      </c>
      <c r="Q16" s="24">
        <f t="shared" si="14"/>
        <v>94.96698337800035</v>
      </c>
      <c r="R16" s="29">
        <f t="shared" si="15"/>
        <v>0.14000000000000001</v>
      </c>
      <c r="S16" s="109">
        <f t="shared" si="16"/>
        <v>-0.62094971683646283</v>
      </c>
      <c r="T16" s="24">
        <f t="shared" si="17"/>
        <v>88.449986615668081</v>
      </c>
      <c r="U16" s="29">
        <f t="shared" si="18"/>
        <v>0.14000000000000001</v>
      </c>
      <c r="V16" s="109">
        <f t="shared" si="19"/>
        <v>-0.41906562731868124</v>
      </c>
      <c r="W16" s="24">
        <f t="shared" si="20"/>
        <v>78.79997969542886</v>
      </c>
      <c r="X16" s="29">
        <f t="shared" si="21"/>
        <v>0.14000000000000001</v>
      </c>
      <c r="Y16" s="109">
        <f t="shared" si="22"/>
        <v>-0.15680000000000002</v>
      </c>
    </row>
    <row r="17" spans="1:25">
      <c r="A17" s="22">
        <v>8</v>
      </c>
      <c r="B17" s="29">
        <f t="shared" si="0"/>
        <v>254.72</v>
      </c>
      <c r="C17" s="29">
        <f t="shared" si="1"/>
        <v>0.16</v>
      </c>
      <c r="D17" s="109">
        <f t="shared" si="2"/>
        <v>-3.2000000000000268</v>
      </c>
      <c r="E17" s="24">
        <f t="shared" si="3"/>
        <v>171.41384853365685</v>
      </c>
      <c r="F17" s="29">
        <f t="shared" si="4"/>
        <v>0.16</v>
      </c>
      <c r="G17" s="109">
        <f t="shared" si="5"/>
        <v>-2.2180634980964684</v>
      </c>
      <c r="H17" s="24">
        <f t="shared" si="23"/>
        <v>137.55640834532412</v>
      </c>
      <c r="I17" s="29">
        <f t="shared" si="6"/>
        <v>0.16</v>
      </c>
      <c r="J17" s="109">
        <f t="shared" si="7"/>
        <v>-1.5374392754962314</v>
      </c>
      <c r="K17" s="24">
        <f t="shared" si="8"/>
        <v>127.36</v>
      </c>
      <c r="L17" s="29">
        <f t="shared" si="9"/>
        <v>0.16</v>
      </c>
      <c r="M17" s="109">
        <f t="shared" si="10"/>
        <v>-1.2800000000000005</v>
      </c>
      <c r="N17" s="24">
        <f t="shared" si="11"/>
        <v>119.58224078187492</v>
      </c>
      <c r="O17" s="29">
        <f t="shared" si="12"/>
        <v>0.16</v>
      </c>
      <c r="P17" s="109">
        <f t="shared" si="13"/>
        <v>-1.0656681054743975</v>
      </c>
      <c r="Q17" s="24">
        <f t="shared" si="14"/>
        <v>108.53369528914325</v>
      </c>
      <c r="R17" s="29">
        <f t="shared" si="15"/>
        <v>0.16</v>
      </c>
      <c r="S17" s="109">
        <f t="shared" si="16"/>
        <v>-0.73866235182449314</v>
      </c>
      <c r="T17" s="24">
        <f t="shared" si="17"/>
        <v>101.08569898933494</v>
      </c>
      <c r="U17" s="29">
        <f t="shared" si="18"/>
        <v>0.16</v>
      </c>
      <c r="V17" s="109">
        <f t="shared" si="19"/>
        <v>-0.51199999999999979</v>
      </c>
      <c r="W17" s="24">
        <f t="shared" si="20"/>
        <v>90.057119651918697</v>
      </c>
      <c r="X17" s="29">
        <f t="shared" si="21"/>
        <v>0.16</v>
      </c>
      <c r="Y17" s="109">
        <f t="shared" si="22"/>
        <v>-0.20480000000000004</v>
      </c>
    </row>
    <row r="18" spans="1:25">
      <c r="A18" s="22">
        <v>9</v>
      </c>
      <c r="B18" s="29">
        <f t="shared" si="0"/>
        <v>286.56</v>
      </c>
      <c r="C18" s="29">
        <f t="shared" si="1"/>
        <v>0.18</v>
      </c>
      <c r="D18" s="109">
        <f t="shared" si="2"/>
        <v>-3.3941125496954041</v>
      </c>
      <c r="E18" s="24">
        <f t="shared" si="3"/>
        <v>192.84057960036395</v>
      </c>
      <c r="F18" s="29">
        <f t="shared" si="4"/>
        <v>0.18</v>
      </c>
      <c r="G18" s="109">
        <f t="shared" si="5"/>
        <v>-2.4086890624526394</v>
      </c>
      <c r="H18" s="24">
        <f t="shared" si="23"/>
        <v>154.75095938848963</v>
      </c>
      <c r="I18" s="29">
        <f t="shared" si="6"/>
        <v>0.18000000000000002</v>
      </c>
      <c r="J18" s="109">
        <f t="shared" si="7"/>
        <v>-1.7093667091563087</v>
      </c>
      <c r="K18" s="24">
        <f t="shared" si="8"/>
        <v>143.28</v>
      </c>
      <c r="L18" s="29">
        <f t="shared" si="9"/>
        <v>0.18</v>
      </c>
      <c r="M18" s="109">
        <f t="shared" si="10"/>
        <v>-1.4400000000000008</v>
      </c>
      <c r="N18" s="24">
        <f t="shared" si="11"/>
        <v>134.53002087960928</v>
      </c>
      <c r="O18" s="29">
        <f t="shared" si="12"/>
        <v>0.18</v>
      </c>
      <c r="P18" s="109">
        <f t="shared" si="13"/>
        <v>-1.2130808380043077</v>
      </c>
      <c r="Q18" s="24">
        <f t="shared" si="14"/>
        <v>122.10040720028616</v>
      </c>
      <c r="R18" s="29">
        <f t="shared" si="15"/>
        <v>0.18</v>
      </c>
      <c r="S18" s="109">
        <f t="shared" si="16"/>
        <v>-0.86088322163449327</v>
      </c>
      <c r="T18" s="24">
        <f t="shared" si="17"/>
        <v>113.72141136300181</v>
      </c>
      <c r="U18" s="29">
        <f t="shared" si="18"/>
        <v>0.18</v>
      </c>
      <c r="V18" s="109">
        <f t="shared" si="19"/>
        <v>-0.61094025894517678</v>
      </c>
      <c r="W18" s="24">
        <f t="shared" si="20"/>
        <v>101.31425960840853</v>
      </c>
      <c r="X18" s="29">
        <f t="shared" si="21"/>
        <v>0.18000000000000002</v>
      </c>
      <c r="Y18" s="109">
        <f t="shared" si="22"/>
        <v>-0.2592000000000001</v>
      </c>
    </row>
    <row r="19" spans="1:25">
      <c r="A19" s="22">
        <v>10</v>
      </c>
      <c r="B19" s="29">
        <f t="shared" si="0"/>
        <v>318.39999999999998</v>
      </c>
      <c r="C19" s="29">
        <f t="shared" si="1"/>
        <v>0.19999999999999998</v>
      </c>
      <c r="D19" s="109">
        <f t="shared" si="2"/>
        <v>-3.5777087639996501</v>
      </c>
      <c r="E19" s="24">
        <f t="shared" si="3"/>
        <v>214.26731066707106</v>
      </c>
      <c r="F19" s="29">
        <f t="shared" si="4"/>
        <v>0.19999999999999998</v>
      </c>
      <c r="G19" s="109">
        <f t="shared" si="5"/>
        <v>-2.5930505547084284</v>
      </c>
      <c r="H19" s="24">
        <f t="shared" si="23"/>
        <v>171.94551043165512</v>
      </c>
      <c r="I19" s="29">
        <f t="shared" si="6"/>
        <v>0.19999999999999998</v>
      </c>
      <c r="J19" s="109">
        <f t="shared" si="7"/>
        <v>-1.8793903089408308</v>
      </c>
      <c r="K19" s="24">
        <f t="shared" si="8"/>
        <v>159.19999999999999</v>
      </c>
      <c r="L19" s="29">
        <f t="shared" si="9"/>
        <v>0.19999999999999998</v>
      </c>
      <c r="M19" s="109">
        <f t="shared" si="10"/>
        <v>-1.6</v>
      </c>
      <c r="N19" s="24">
        <f t="shared" si="11"/>
        <v>149.47780097734366</v>
      </c>
      <c r="O19" s="29">
        <f t="shared" si="12"/>
        <v>0.2</v>
      </c>
      <c r="P19" s="109">
        <f t="shared" si="13"/>
        <v>-1.3621438760332552</v>
      </c>
      <c r="Q19" s="24">
        <f t="shared" si="14"/>
        <v>135.66711911142906</v>
      </c>
      <c r="R19" s="29">
        <f t="shared" si="15"/>
        <v>0.19999999999999998</v>
      </c>
      <c r="S19" s="109">
        <f t="shared" si="16"/>
        <v>-0.98725418035201551</v>
      </c>
      <c r="T19" s="24">
        <f t="shared" si="17"/>
        <v>126.35712373666867</v>
      </c>
      <c r="U19" s="29">
        <f t="shared" si="18"/>
        <v>0.19999999999999998</v>
      </c>
      <c r="V19" s="109">
        <f t="shared" si="19"/>
        <v>-0.71554175279993226</v>
      </c>
      <c r="W19" s="24">
        <f t="shared" si="20"/>
        <v>112.57139956489837</v>
      </c>
      <c r="X19" s="29">
        <f t="shared" si="21"/>
        <v>0.2</v>
      </c>
      <c r="Y19" s="109">
        <f t="shared" si="22"/>
        <v>-0.32</v>
      </c>
    </row>
    <row r="20" spans="1:25">
      <c r="A20" s="22">
        <v>11</v>
      </c>
      <c r="B20" s="29">
        <f t="shared" si="0"/>
        <v>350.24</v>
      </c>
      <c r="C20" s="29">
        <f t="shared" si="1"/>
        <v>0.22</v>
      </c>
      <c r="D20" s="109">
        <f t="shared" si="2"/>
        <v>-3.7523326078587012</v>
      </c>
      <c r="E20" s="24">
        <f t="shared" si="3"/>
        <v>235.69404173377816</v>
      </c>
      <c r="F20" s="29">
        <f t="shared" si="4"/>
        <v>0.22</v>
      </c>
      <c r="G20" s="109">
        <f t="shared" si="5"/>
        <v>-2.7719530080997274</v>
      </c>
      <c r="H20" s="24">
        <f t="shared" si="23"/>
        <v>189.14006147482064</v>
      </c>
      <c r="I20" s="29">
        <f t="shared" si="6"/>
        <v>0.22</v>
      </c>
      <c r="J20" s="109">
        <f t="shared" si="7"/>
        <v>-2.047719187531698</v>
      </c>
      <c r="K20" s="24">
        <f t="shared" si="8"/>
        <v>175.12</v>
      </c>
      <c r="L20" s="29">
        <f t="shared" si="9"/>
        <v>0.22</v>
      </c>
      <c r="M20" s="109">
        <f t="shared" si="10"/>
        <v>-1.7600000000000016</v>
      </c>
      <c r="N20" s="24">
        <f t="shared" si="11"/>
        <v>164.42558107507801</v>
      </c>
      <c r="O20" s="29">
        <f t="shared" si="12"/>
        <v>0.22</v>
      </c>
      <c r="P20" s="109">
        <f t="shared" si="13"/>
        <v>-1.5127074155777294</v>
      </c>
      <c r="Q20" s="24">
        <f t="shared" si="14"/>
        <v>149.23383102257196</v>
      </c>
      <c r="R20" s="29">
        <f t="shared" si="15"/>
        <v>0.21999999999999997</v>
      </c>
      <c r="S20" s="109">
        <f t="shared" si="16"/>
        <v>-1.1174792613542539</v>
      </c>
      <c r="T20" s="24">
        <f t="shared" si="17"/>
        <v>138.99283611033553</v>
      </c>
      <c r="U20" s="29">
        <f t="shared" si="18"/>
        <v>0.21999999999999997</v>
      </c>
      <c r="V20" s="109">
        <f t="shared" si="19"/>
        <v>-0.82551317372892297</v>
      </c>
      <c r="W20" s="24">
        <f t="shared" si="20"/>
        <v>123.82853952138819</v>
      </c>
      <c r="X20" s="29">
        <f t="shared" si="21"/>
        <v>0.21999999999999997</v>
      </c>
      <c r="Y20" s="109">
        <f t="shared" si="22"/>
        <v>-0.38719999999999999</v>
      </c>
    </row>
    <row r="21" spans="1:25">
      <c r="A21" s="22">
        <v>12</v>
      </c>
      <c r="B21" s="29">
        <f t="shared" si="0"/>
        <v>382.08</v>
      </c>
      <c r="C21" s="29">
        <f t="shared" si="1"/>
        <v>0.24</v>
      </c>
      <c r="D21" s="109">
        <f t="shared" si="2"/>
        <v>-3.9191835884529809</v>
      </c>
      <c r="E21" s="24">
        <f t="shared" si="3"/>
        <v>257.12077280048527</v>
      </c>
      <c r="F21" s="29">
        <f t="shared" si="4"/>
        <v>0.24</v>
      </c>
      <c r="G21" s="109">
        <f t="shared" si="5"/>
        <v>-2.9460346884447941</v>
      </c>
      <c r="H21" s="24">
        <f t="shared" si="23"/>
        <v>206.33461251798616</v>
      </c>
      <c r="I21" s="29">
        <f t="shared" si="6"/>
        <v>0.24</v>
      </c>
      <c r="J21" s="109">
        <f t="shared" si="7"/>
        <v>-2.2145225375741058</v>
      </c>
      <c r="K21" s="24">
        <f t="shared" si="8"/>
        <v>191.04</v>
      </c>
      <c r="L21" s="29">
        <f t="shared" si="9"/>
        <v>0.24</v>
      </c>
      <c r="M21" s="109">
        <f t="shared" si="10"/>
        <v>-1.9199999999999984</v>
      </c>
      <c r="N21" s="24">
        <f t="shared" si="11"/>
        <v>179.37336117281237</v>
      </c>
      <c r="O21" s="29">
        <f t="shared" si="12"/>
        <v>0.24</v>
      </c>
      <c r="P21" s="109">
        <f t="shared" si="13"/>
        <v>-1.6646477682897078</v>
      </c>
      <c r="Q21" s="24">
        <f t="shared" si="14"/>
        <v>162.80054293371487</v>
      </c>
      <c r="R21" s="29">
        <f t="shared" si="15"/>
        <v>0.24</v>
      </c>
      <c r="S21" s="109">
        <f t="shared" si="16"/>
        <v>-1.2513090950555179</v>
      </c>
      <c r="T21" s="24">
        <f t="shared" si="17"/>
        <v>151.62854848400241</v>
      </c>
      <c r="U21" s="29">
        <f t="shared" si="18"/>
        <v>0.24</v>
      </c>
      <c r="V21" s="109">
        <f t="shared" si="19"/>
        <v>-0.94060406122874007</v>
      </c>
      <c r="W21" s="24">
        <f t="shared" si="20"/>
        <v>135.08567947787805</v>
      </c>
      <c r="X21" s="29">
        <f t="shared" si="21"/>
        <v>0.24000000000000002</v>
      </c>
      <c r="Y21" s="109">
        <f t="shared" si="22"/>
        <v>-0.46080000000000026</v>
      </c>
    </row>
    <row r="22" spans="1:25">
      <c r="A22" s="22">
        <v>13</v>
      </c>
      <c r="B22" s="29">
        <f t="shared" si="0"/>
        <v>413.92</v>
      </c>
      <c r="C22" s="29">
        <f t="shared" si="1"/>
        <v>0.26</v>
      </c>
      <c r="D22" s="109">
        <f t="shared" si="2"/>
        <v>-4.0792156108741802</v>
      </c>
      <c r="E22" s="24">
        <f t="shared" si="3"/>
        <v>278.5475038671924</v>
      </c>
      <c r="F22" s="29">
        <f t="shared" si="4"/>
        <v>0.26</v>
      </c>
      <c r="G22" s="109">
        <f t="shared" si="5"/>
        <v>-3.1158126096899599</v>
      </c>
      <c r="H22" s="24">
        <f t="shared" si="23"/>
        <v>223.52916356115168</v>
      </c>
      <c r="I22" s="29">
        <f t="shared" si="6"/>
        <v>0.26</v>
      </c>
      <c r="J22" s="109">
        <f t="shared" si="7"/>
        <v>-2.3799399553245166</v>
      </c>
      <c r="K22" s="24">
        <f t="shared" si="8"/>
        <v>206.96</v>
      </c>
      <c r="L22" s="29">
        <f t="shared" si="9"/>
        <v>0.26</v>
      </c>
      <c r="M22" s="109">
        <f t="shared" si="10"/>
        <v>-2.0800000000000018</v>
      </c>
      <c r="N22" s="24">
        <f t="shared" si="11"/>
        <v>194.32114127054672</v>
      </c>
      <c r="O22" s="29">
        <f t="shared" si="12"/>
        <v>0.25999999999999995</v>
      </c>
      <c r="P22" s="109">
        <f t="shared" si="13"/>
        <v>-1.8178609886021537</v>
      </c>
      <c r="Q22" s="24">
        <f t="shared" si="14"/>
        <v>176.36725484485777</v>
      </c>
      <c r="R22" s="29">
        <f t="shared" si="15"/>
        <v>0.25999999999999995</v>
      </c>
      <c r="S22" s="109">
        <f t="shared" si="16"/>
        <v>-1.3885302301380906</v>
      </c>
      <c r="T22" s="24">
        <f t="shared" si="17"/>
        <v>164.26426085766929</v>
      </c>
      <c r="U22" s="29">
        <f t="shared" si="18"/>
        <v>0.26</v>
      </c>
      <c r="V22" s="109">
        <f t="shared" si="19"/>
        <v>-1.0605960588272987</v>
      </c>
      <c r="W22" s="24">
        <f t="shared" si="20"/>
        <v>146.3428194343679</v>
      </c>
      <c r="X22" s="29">
        <f t="shared" si="21"/>
        <v>0.26000000000000006</v>
      </c>
      <c r="Y22" s="109">
        <f t="shared" si="22"/>
        <v>-0.54080000000000028</v>
      </c>
    </row>
    <row r="23" spans="1:25">
      <c r="A23" s="22">
        <v>14</v>
      </c>
      <c r="B23" s="29">
        <f t="shared" si="0"/>
        <v>445.76</v>
      </c>
      <c r="C23" s="29">
        <f t="shared" si="1"/>
        <v>0.27999999999999997</v>
      </c>
      <c r="D23" s="109">
        <f t="shared" si="2"/>
        <v>-4.2332020977030718</v>
      </c>
      <c r="E23" s="24">
        <f t="shared" si="3"/>
        <v>299.97423493389948</v>
      </c>
      <c r="F23" s="29">
        <f t="shared" si="4"/>
        <v>0.27999999999999997</v>
      </c>
      <c r="G23" s="109">
        <f t="shared" si="5"/>
        <v>-3.2817130867863722</v>
      </c>
      <c r="H23" s="24">
        <f t="shared" si="23"/>
        <v>240.72371460431717</v>
      </c>
      <c r="I23" s="29">
        <f t="shared" si="6"/>
        <v>0.27999999999999997</v>
      </c>
      <c r="J23" s="109">
        <f t="shared" si="7"/>
        <v>-2.544088502135994</v>
      </c>
      <c r="K23" s="24">
        <f t="shared" si="8"/>
        <v>222.88</v>
      </c>
      <c r="L23" s="29">
        <f t="shared" si="9"/>
        <v>0.27999999999999997</v>
      </c>
      <c r="M23" s="109">
        <f t="shared" si="10"/>
        <v>-2.2400000000000038</v>
      </c>
      <c r="N23" s="24">
        <f t="shared" si="11"/>
        <v>209.26892136828113</v>
      </c>
      <c r="O23" s="29">
        <f t="shared" si="12"/>
        <v>0.28000000000000003</v>
      </c>
      <c r="P23" s="109">
        <f t="shared" si="13"/>
        <v>-1.972258431963851</v>
      </c>
      <c r="Q23" s="24">
        <f t="shared" si="14"/>
        <v>189.9339667560007</v>
      </c>
      <c r="R23" s="29">
        <f t="shared" si="15"/>
        <v>0.28000000000000003</v>
      </c>
      <c r="S23" s="109">
        <f t="shared" si="16"/>
        <v>-1.528957549702638</v>
      </c>
      <c r="T23" s="24">
        <f t="shared" si="17"/>
        <v>176.89997323133616</v>
      </c>
      <c r="U23" s="29">
        <f t="shared" si="18"/>
        <v>0.28000000000000003</v>
      </c>
      <c r="V23" s="109">
        <f t="shared" si="19"/>
        <v>-1.1852965873569368</v>
      </c>
      <c r="W23" s="24">
        <f t="shared" si="20"/>
        <v>157.59995939085772</v>
      </c>
      <c r="X23" s="29">
        <f t="shared" si="21"/>
        <v>0.28000000000000003</v>
      </c>
      <c r="Y23" s="109">
        <f t="shared" si="22"/>
        <v>-0.6272000000000002</v>
      </c>
    </row>
    <row r="24" spans="1:25">
      <c r="A24" s="22">
        <v>15</v>
      </c>
      <c r="B24" s="29">
        <f t="shared" si="0"/>
        <v>477.6</v>
      </c>
      <c r="C24" s="29">
        <f t="shared" si="1"/>
        <v>0.3</v>
      </c>
      <c r="D24" s="109">
        <f t="shared" si="2"/>
        <v>-4.3817804600417434</v>
      </c>
      <c r="E24" s="24">
        <f t="shared" si="3"/>
        <v>321.40096600060662</v>
      </c>
      <c r="F24" s="29">
        <f t="shared" si="4"/>
        <v>0.3</v>
      </c>
      <c r="G24" s="109">
        <f t="shared" si="5"/>
        <v>-3.4440929619995191</v>
      </c>
      <c r="H24" s="24">
        <f t="shared" si="23"/>
        <v>257.91826564748271</v>
      </c>
      <c r="I24" s="29">
        <f t="shared" si="6"/>
        <v>0.3</v>
      </c>
      <c r="J24" s="109">
        <f t="shared" si="7"/>
        <v>-2.7070676952131949</v>
      </c>
      <c r="K24" s="24">
        <f t="shared" si="8"/>
        <v>238.8</v>
      </c>
      <c r="L24" s="29">
        <f t="shared" si="9"/>
        <v>0.3</v>
      </c>
      <c r="M24" s="109">
        <f t="shared" si="10"/>
        <v>-2.4000000000000008</v>
      </c>
      <c r="N24" s="24">
        <f t="shared" si="11"/>
        <v>224.21670146601548</v>
      </c>
      <c r="O24" s="29">
        <f t="shared" si="12"/>
        <v>0.3</v>
      </c>
      <c r="P24" s="109">
        <f t="shared" si="13"/>
        <v>-2.1277635613565105</v>
      </c>
      <c r="Q24" s="24">
        <f t="shared" si="14"/>
        <v>203.50067866714357</v>
      </c>
      <c r="R24" s="29">
        <f t="shared" si="15"/>
        <v>0.3</v>
      </c>
      <c r="S24" s="109">
        <f t="shared" si="16"/>
        <v>-1.6724287246462777</v>
      </c>
      <c r="T24" s="24">
        <f t="shared" si="17"/>
        <v>189.53568560500301</v>
      </c>
      <c r="U24" s="29">
        <f t="shared" si="18"/>
        <v>0.3</v>
      </c>
      <c r="V24" s="109">
        <f t="shared" si="19"/>
        <v>-1.314534138012398</v>
      </c>
      <c r="W24" s="24">
        <f t="shared" si="20"/>
        <v>168.85709934734754</v>
      </c>
      <c r="X24" s="29">
        <f t="shared" si="21"/>
        <v>0.3</v>
      </c>
      <c r="Y24" s="109">
        <f t="shared" si="22"/>
        <v>-0.71999999999999986</v>
      </c>
    </row>
    <row r="25" spans="1:25">
      <c r="A25" s="22">
        <v>16</v>
      </c>
      <c r="B25" s="29">
        <f t="shared" si="0"/>
        <v>509.44</v>
      </c>
      <c r="C25" s="29">
        <f t="shared" si="1"/>
        <v>0.32</v>
      </c>
      <c r="D25" s="109">
        <f t="shared" si="2"/>
        <v>-4.5254833995944486</v>
      </c>
      <c r="E25" s="24">
        <f t="shared" si="3"/>
        <v>342.82769706731369</v>
      </c>
      <c r="F25" s="29">
        <f t="shared" si="4"/>
        <v>0.32</v>
      </c>
      <c r="G25" s="109">
        <f t="shared" si="5"/>
        <v>-3.603254783198357</v>
      </c>
      <c r="H25" s="24">
        <f t="shared" si="23"/>
        <v>275.11281669064823</v>
      </c>
      <c r="I25" s="29">
        <f t="shared" si="6"/>
        <v>0.32</v>
      </c>
      <c r="J25" s="109">
        <f t="shared" si="7"/>
        <v>-2.8689631330448506</v>
      </c>
      <c r="K25" s="24">
        <f t="shared" si="8"/>
        <v>254.72</v>
      </c>
      <c r="L25" s="29">
        <f t="shared" si="9"/>
        <v>0.32</v>
      </c>
      <c r="M25" s="109">
        <f t="shared" si="10"/>
        <v>-2.5599999999999961</v>
      </c>
      <c r="N25" s="24">
        <f t="shared" si="11"/>
        <v>239.16448156374983</v>
      </c>
      <c r="O25" s="29">
        <f t="shared" si="12"/>
        <v>0.32</v>
      </c>
      <c r="P25" s="109">
        <f t="shared" si="13"/>
        <v>-2.284309590637569</v>
      </c>
      <c r="Q25" s="24">
        <f t="shared" si="14"/>
        <v>217.06739057828651</v>
      </c>
      <c r="R25" s="29">
        <f t="shared" si="15"/>
        <v>0.32</v>
      </c>
      <c r="S25" s="109">
        <f t="shared" si="16"/>
        <v>-1.8188000555938835</v>
      </c>
      <c r="T25" s="24">
        <f t="shared" si="17"/>
        <v>202.17139797866989</v>
      </c>
      <c r="U25" s="29">
        <f t="shared" si="18"/>
        <v>0.32</v>
      </c>
      <c r="V25" s="109">
        <f t="shared" si="19"/>
        <v>-1.4481546878700486</v>
      </c>
      <c r="W25" s="24">
        <f t="shared" si="20"/>
        <v>180.11423930383739</v>
      </c>
      <c r="X25" s="29">
        <f t="shared" si="21"/>
        <v>0.32</v>
      </c>
      <c r="Y25" s="109">
        <f t="shared" si="22"/>
        <v>-0.81920000000000015</v>
      </c>
    </row>
    <row r="26" spans="1:25">
      <c r="A26" s="22">
        <v>17</v>
      </c>
      <c r="B26" s="29">
        <f t="shared" si="0"/>
        <v>541.28</v>
      </c>
      <c r="C26" s="29">
        <f t="shared" si="1"/>
        <v>0.33999999999999997</v>
      </c>
      <c r="D26" s="109">
        <f t="shared" si="2"/>
        <v>-4.6647615158766644</v>
      </c>
      <c r="E26" s="24">
        <f t="shared" si="3"/>
        <v>364.25442813402083</v>
      </c>
      <c r="F26" s="29">
        <f t="shared" si="4"/>
        <v>0.34</v>
      </c>
      <c r="G26" s="109">
        <f t="shared" si="5"/>
        <v>-3.7594579272331461</v>
      </c>
      <c r="H26" s="24">
        <f t="shared" si="23"/>
        <v>292.30736773381375</v>
      </c>
      <c r="I26" s="29">
        <f t="shared" si="6"/>
        <v>0.34</v>
      </c>
      <c r="J26" s="109">
        <f t="shared" si="7"/>
        <v>-3.0298491913322931</v>
      </c>
      <c r="K26" s="24">
        <f t="shared" si="8"/>
        <v>270.64</v>
      </c>
      <c r="L26" s="29">
        <f t="shared" si="9"/>
        <v>0.33999999999999997</v>
      </c>
      <c r="M26" s="109">
        <f t="shared" si="10"/>
        <v>-2.7199999999999949</v>
      </c>
      <c r="N26" s="24">
        <f t="shared" si="11"/>
        <v>254.11226166148418</v>
      </c>
      <c r="O26" s="29">
        <f t="shared" si="12"/>
        <v>0.33999999999999997</v>
      </c>
      <c r="P26" s="109">
        <f t="shared" si="13"/>
        <v>-2.4418377063667362</v>
      </c>
      <c r="Q26" s="24">
        <f t="shared" si="14"/>
        <v>230.63410248942944</v>
      </c>
      <c r="R26" s="29">
        <f t="shared" si="15"/>
        <v>0.34</v>
      </c>
      <c r="S26" s="109">
        <f t="shared" si="16"/>
        <v>-1.9679432894851208</v>
      </c>
      <c r="T26" s="24">
        <f t="shared" si="17"/>
        <v>214.80711035233674</v>
      </c>
      <c r="U26" s="29">
        <f t="shared" si="18"/>
        <v>0.33999999999999997</v>
      </c>
      <c r="V26" s="109">
        <f t="shared" si="19"/>
        <v>-1.5860189153979201</v>
      </c>
      <c r="W26" s="24">
        <f t="shared" si="20"/>
        <v>191.37137926032722</v>
      </c>
      <c r="X26" s="29">
        <f t="shared" si="21"/>
        <v>0.33999999999999997</v>
      </c>
      <c r="Y26" s="109">
        <f t="shared" si="22"/>
        <v>-0.92480000000000007</v>
      </c>
    </row>
    <row r="27" spans="1:25">
      <c r="A27" s="22">
        <v>18</v>
      </c>
      <c r="B27" s="29">
        <f t="shared" si="0"/>
        <v>573.12</v>
      </c>
      <c r="C27" s="29">
        <f t="shared" si="1"/>
        <v>0.36</v>
      </c>
      <c r="D27" s="109">
        <f t="shared" si="2"/>
        <v>-4.7999999999993861</v>
      </c>
      <c r="E27" s="24">
        <f t="shared" si="3"/>
        <v>385.6811592007279</v>
      </c>
      <c r="F27" s="29">
        <f t="shared" si="4"/>
        <v>0.36</v>
      </c>
      <c r="G27" s="109">
        <f t="shared" si="5"/>
        <v>-3.9129269261085118</v>
      </c>
      <c r="H27" s="24">
        <f t="shared" si="23"/>
        <v>309.50191877697927</v>
      </c>
      <c r="I27" s="29">
        <f t="shared" si="6"/>
        <v>0.36000000000000004</v>
      </c>
      <c r="J27" s="109">
        <f t="shared" si="7"/>
        <v>-3.1897910685550435</v>
      </c>
      <c r="K27" s="24">
        <f t="shared" si="8"/>
        <v>286.56</v>
      </c>
      <c r="L27" s="29">
        <f t="shared" si="9"/>
        <v>0.36</v>
      </c>
      <c r="M27" s="109">
        <f t="shared" si="10"/>
        <v>-2.8799999999999839</v>
      </c>
      <c r="N27" s="24">
        <f t="shared" si="11"/>
        <v>269.06004175921856</v>
      </c>
      <c r="O27" s="29">
        <f t="shared" si="12"/>
        <v>0.36</v>
      </c>
      <c r="P27" s="109">
        <f t="shared" si="13"/>
        <v>-2.600295700168604</v>
      </c>
      <c r="Q27" s="24">
        <f t="shared" si="14"/>
        <v>244.20081440057231</v>
      </c>
      <c r="R27" s="29">
        <f t="shared" si="15"/>
        <v>0.36</v>
      </c>
      <c r="S27" s="109">
        <f t="shared" si="16"/>
        <v>-2.1197431377153571</v>
      </c>
      <c r="T27" s="24">
        <f t="shared" si="17"/>
        <v>227.44282272600361</v>
      </c>
      <c r="U27" s="29">
        <f t="shared" si="18"/>
        <v>0.36</v>
      </c>
      <c r="V27" s="109">
        <f t="shared" si="19"/>
        <v>-1.7280000000000006</v>
      </c>
      <c r="W27" s="24">
        <f t="shared" si="20"/>
        <v>202.62851921681707</v>
      </c>
      <c r="X27" s="29">
        <f t="shared" si="21"/>
        <v>0.36000000000000004</v>
      </c>
      <c r="Y27" s="109">
        <f t="shared" si="22"/>
        <v>-1.0367999999999999</v>
      </c>
    </row>
    <row r="28" spans="1:25">
      <c r="A28" s="22">
        <v>19</v>
      </c>
      <c r="B28" s="29">
        <f t="shared" si="0"/>
        <v>604.96</v>
      </c>
      <c r="C28" s="29">
        <f t="shared" si="1"/>
        <v>0.38</v>
      </c>
      <c r="D28" s="109">
        <f t="shared" si="2"/>
        <v>-4.9315312023766129</v>
      </c>
      <c r="E28" s="24">
        <f t="shared" si="3"/>
        <v>407.10789026743498</v>
      </c>
      <c r="F28" s="29">
        <f>E28/E$59</f>
        <v>0.37999999999999995</v>
      </c>
      <c r="G28" s="109">
        <f t="shared" si="5"/>
        <v>-4.0638578154025229</v>
      </c>
      <c r="H28" s="24">
        <f t="shared" si="23"/>
        <v>326.69646982014473</v>
      </c>
      <c r="I28" s="29">
        <f t="shared" si="6"/>
        <v>0.37999999999999995</v>
      </c>
      <c r="J28" s="109">
        <f t="shared" si="7"/>
        <v>-3.3488463655778218</v>
      </c>
      <c r="K28" s="24">
        <f t="shared" si="8"/>
        <v>302.48</v>
      </c>
      <c r="L28" s="29">
        <f t="shared" si="9"/>
        <v>0.38</v>
      </c>
      <c r="M28" s="109">
        <f t="shared" si="10"/>
        <v>-3.0400000000000134</v>
      </c>
      <c r="N28" s="24">
        <f t="shared" si="11"/>
        <v>284.00782185695294</v>
      </c>
      <c r="O28" s="29">
        <f t="shared" si="12"/>
        <v>0.38</v>
      </c>
      <c r="P28" s="109">
        <f t="shared" si="13"/>
        <v>-2.7596368991401583</v>
      </c>
      <c r="Q28" s="24">
        <f t="shared" si="14"/>
        <v>257.76752631171524</v>
      </c>
      <c r="R28" s="29">
        <f t="shared" si="15"/>
        <v>0.38</v>
      </c>
      <c r="S28" s="109">
        <f t="shared" si="16"/>
        <v>-2.2740953103657553</v>
      </c>
      <c r="T28" s="24">
        <f t="shared" si="17"/>
        <v>240.07853509967049</v>
      </c>
      <c r="U28" s="29">
        <f t="shared" si="18"/>
        <v>0.38</v>
      </c>
      <c r="V28" s="109">
        <f t="shared" si="19"/>
        <v>-1.8739818569025681</v>
      </c>
      <c r="W28" s="24">
        <f t="shared" si="20"/>
        <v>213.88565917330689</v>
      </c>
      <c r="X28" s="29">
        <f t="shared" si="21"/>
        <v>0.38</v>
      </c>
      <c r="Y28" s="109">
        <f t="shared" si="22"/>
        <v>-1.1552</v>
      </c>
    </row>
    <row r="29" spans="1:25">
      <c r="A29" s="22">
        <v>20</v>
      </c>
      <c r="B29" s="29">
        <f t="shared" si="0"/>
        <v>636.79999999999995</v>
      </c>
      <c r="C29" s="29">
        <f t="shared" si="1"/>
        <v>0.39999999999999997</v>
      </c>
      <c r="D29" s="109">
        <f t="shared" si="2"/>
        <v>-5.0596442562716719</v>
      </c>
      <c r="E29" s="24">
        <f t="shared" si="3"/>
        <v>428.53462133414212</v>
      </c>
      <c r="F29" s="29">
        <f t="shared" si="4"/>
        <v>0.39999999999999997</v>
      </c>
      <c r="G29" s="109">
        <f t="shared" si="5"/>
        <v>-4.2124230538696938</v>
      </c>
      <c r="H29" s="24">
        <f t="shared" si="23"/>
        <v>343.89102086331025</v>
      </c>
      <c r="I29" s="29">
        <f t="shared" si="6"/>
        <v>0.39999999999999997</v>
      </c>
      <c r="J29" s="109">
        <f t="shared" si="7"/>
        <v>-3.5070663244326443</v>
      </c>
      <c r="K29" s="24">
        <f t="shared" si="8"/>
        <v>318.39999999999998</v>
      </c>
      <c r="L29" s="29">
        <f t="shared" si="9"/>
        <v>0.39999999999999997</v>
      </c>
      <c r="M29" s="109">
        <f t="shared" si="10"/>
        <v>-3.2000000000000268</v>
      </c>
      <c r="N29" s="24">
        <f t="shared" si="11"/>
        <v>298.95560195468732</v>
      </c>
      <c r="O29" s="29">
        <f t="shared" si="12"/>
        <v>0.4</v>
      </c>
      <c r="P29" s="109">
        <f t="shared" si="13"/>
        <v>-2.9198193169775357</v>
      </c>
      <c r="Q29" s="24">
        <f t="shared" si="14"/>
        <v>271.33423822285812</v>
      </c>
      <c r="R29" s="29">
        <f t="shared" si="15"/>
        <v>0.39999999999999997</v>
      </c>
      <c r="S29" s="109">
        <f t="shared" si="16"/>
        <v>-2.4309049373835938</v>
      </c>
      <c r="T29" s="24">
        <f t="shared" si="17"/>
        <v>252.71424747333734</v>
      </c>
      <c r="U29" s="29">
        <f t="shared" si="18"/>
        <v>0.39999999999999997</v>
      </c>
      <c r="V29" s="109">
        <f t="shared" si="19"/>
        <v>-2.023857702507764</v>
      </c>
      <c r="W29" s="24">
        <f t="shared" si="20"/>
        <v>225.14279912979674</v>
      </c>
      <c r="X29" s="29">
        <f t="shared" si="21"/>
        <v>0.4</v>
      </c>
      <c r="Y29" s="109">
        <f t="shared" si="22"/>
        <v>-1.2800000000000005</v>
      </c>
    </row>
    <row r="30" spans="1:25">
      <c r="A30" s="22">
        <v>21</v>
      </c>
      <c r="B30" s="29">
        <f t="shared" si="0"/>
        <v>668.64</v>
      </c>
      <c r="C30" s="29">
        <f t="shared" si="1"/>
        <v>0.42</v>
      </c>
      <c r="D30" s="109">
        <f t="shared" si="2"/>
        <v>-5.1845925587240469</v>
      </c>
      <c r="E30" s="24">
        <f t="shared" si="3"/>
        <v>449.96135240084931</v>
      </c>
      <c r="F30" s="29">
        <f t="shared" si="4"/>
        <v>0.42000000000000004</v>
      </c>
      <c r="G30" s="109">
        <f t="shared" si="5"/>
        <v>-4.3587753910077867</v>
      </c>
      <c r="H30" s="24">
        <f t="shared" si="23"/>
        <v>361.08557190647582</v>
      </c>
      <c r="I30" s="29">
        <f t="shared" si="6"/>
        <v>0.42000000000000004</v>
      </c>
      <c r="J30" s="109">
        <f t="shared" si="7"/>
        <v>-3.6644968132123412</v>
      </c>
      <c r="K30" s="24">
        <f>K$59*$A30/50</f>
        <v>334.32</v>
      </c>
      <c r="L30" s="29">
        <f t="shared" si="9"/>
        <v>0.42</v>
      </c>
      <c r="M30" s="109">
        <f t="shared" si="10"/>
        <v>-3.3600000000000296</v>
      </c>
      <c r="N30" s="24">
        <f t="shared" si="11"/>
        <v>313.90338205242165</v>
      </c>
      <c r="O30" s="29">
        <f t="shared" si="12"/>
        <v>0.42</v>
      </c>
      <c r="P30" s="109">
        <f t="shared" si="13"/>
        <v>-3.0808049714481016</v>
      </c>
      <c r="Q30" s="24">
        <f t="shared" si="14"/>
        <v>284.90095013400105</v>
      </c>
      <c r="R30" s="29">
        <f t="shared" si="15"/>
        <v>0.42000000000000004</v>
      </c>
      <c r="S30" s="109">
        <f t="shared" si="16"/>
        <v>-2.5900852848004465</v>
      </c>
      <c r="T30" s="24">
        <f t="shared" si="17"/>
        <v>265.34995984700419</v>
      </c>
      <c r="U30" s="29">
        <f t="shared" si="18"/>
        <v>0.41999999999999993</v>
      </c>
      <c r="V30" s="109">
        <f t="shared" si="19"/>
        <v>-2.1775288746650387</v>
      </c>
      <c r="W30" s="24">
        <f t="shared" si="20"/>
        <v>236.39993908628657</v>
      </c>
      <c r="X30" s="29">
        <f t="shared" si="21"/>
        <v>0.42</v>
      </c>
      <c r="Y30" s="109">
        <f t="shared" si="22"/>
        <v>-1.4111999999999998</v>
      </c>
    </row>
    <row r="31" spans="1:25">
      <c r="A31" s="22">
        <v>22</v>
      </c>
      <c r="B31" s="29">
        <f t="shared" si="0"/>
        <v>700.48</v>
      </c>
      <c r="C31" s="29">
        <f t="shared" si="1"/>
        <v>0.44</v>
      </c>
      <c r="D31" s="109">
        <f t="shared" si="2"/>
        <v>-5.3065996645662299</v>
      </c>
      <c r="E31" s="24">
        <f t="shared" si="3"/>
        <v>471.38808346755633</v>
      </c>
      <c r="F31" s="29">
        <f t="shared" si="4"/>
        <v>0.44</v>
      </c>
      <c r="G31" s="109">
        <f t="shared" si="5"/>
        <v>-4.5030509468315092</v>
      </c>
      <c r="H31" s="24">
        <f t="shared" si="23"/>
        <v>378.28012294964128</v>
      </c>
      <c r="I31" s="29">
        <f t="shared" si="6"/>
        <v>0.44</v>
      </c>
      <c r="J31" s="109">
        <f t="shared" si="7"/>
        <v>-3.821179118740019</v>
      </c>
      <c r="K31" s="24">
        <f t="shared" si="8"/>
        <v>350.24</v>
      </c>
      <c r="L31" s="29">
        <f t="shared" si="9"/>
        <v>0.44</v>
      </c>
      <c r="M31" s="109">
        <f t="shared" si="10"/>
        <v>-3.5199999999999809</v>
      </c>
      <c r="N31" s="24">
        <f t="shared" si="11"/>
        <v>328.85116215015603</v>
      </c>
      <c r="O31" s="29">
        <f t="shared" si="12"/>
        <v>0.44</v>
      </c>
      <c r="P31" s="109">
        <f t="shared" si="13"/>
        <v>-3.2425593291961747</v>
      </c>
      <c r="Q31" s="24">
        <f t="shared" si="14"/>
        <v>298.46766204514392</v>
      </c>
      <c r="R31" s="29">
        <f t="shared" si="15"/>
        <v>0.43999999999999995</v>
      </c>
      <c r="S31" s="109">
        <f t="shared" si="16"/>
        <v>-2.7515566992901976</v>
      </c>
      <c r="T31" s="24">
        <f t="shared" si="17"/>
        <v>277.98567222067106</v>
      </c>
      <c r="U31" s="29">
        <f t="shared" si="18"/>
        <v>0.43999999999999995</v>
      </c>
      <c r="V31" s="109">
        <f t="shared" si="19"/>
        <v>-2.3349038524101986</v>
      </c>
      <c r="W31" s="24">
        <f t="shared" si="20"/>
        <v>247.65707904277639</v>
      </c>
      <c r="X31" s="29">
        <f t="shared" si="21"/>
        <v>0.43999999999999995</v>
      </c>
      <c r="Y31" s="109">
        <f t="shared" si="22"/>
        <v>-1.5487999999999995</v>
      </c>
    </row>
    <row r="32" spans="1:25">
      <c r="A32" s="22">
        <v>23</v>
      </c>
      <c r="B32" s="29">
        <f t="shared" si="0"/>
        <v>732.32</v>
      </c>
      <c r="C32" s="29">
        <f t="shared" si="1"/>
        <v>0.46</v>
      </c>
      <c r="D32" s="109">
        <f t="shared" si="2"/>
        <v>-5.4258639865056448</v>
      </c>
      <c r="E32" s="24">
        <f t="shared" si="3"/>
        <v>492.81481453426341</v>
      </c>
      <c r="F32" s="29">
        <f t="shared" si="4"/>
        <v>0.45999999999999996</v>
      </c>
      <c r="G32" s="109">
        <f t="shared" si="5"/>
        <v>-4.6453716927420512</v>
      </c>
      <c r="H32" s="24">
        <f t="shared" si="23"/>
        <v>395.4746739928068</v>
      </c>
      <c r="I32" s="29">
        <f t="shared" si="6"/>
        <v>0.45999999999999996</v>
      </c>
      <c r="J32" s="109">
        <f t="shared" si="7"/>
        <v>-3.9771505915788561</v>
      </c>
      <c r="K32" s="24">
        <f t="shared" si="8"/>
        <v>366.16</v>
      </c>
      <c r="L32" s="29">
        <f t="shared" si="9"/>
        <v>0.46</v>
      </c>
      <c r="M32" s="109">
        <f t="shared" si="10"/>
        <v>-3.6800000000000401</v>
      </c>
      <c r="N32" s="24">
        <f t="shared" si="11"/>
        <v>343.79894224789035</v>
      </c>
      <c r="O32" s="29">
        <f t="shared" si="12"/>
        <v>0.45999999999999996</v>
      </c>
      <c r="P32" s="109">
        <f t="shared" si="13"/>
        <v>-3.4050508493880103</v>
      </c>
      <c r="Q32" s="24">
        <f t="shared" si="14"/>
        <v>312.03437395628686</v>
      </c>
      <c r="R32" s="29">
        <f t="shared" si="15"/>
        <v>0.46</v>
      </c>
      <c r="S32" s="109">
        <f t="shared" si="16"/>
        <v>-2.9152457318230214</v>
      </c>
      <c r="T32" s="24">
        <f t="shared" si="17"/>
        <v>290.62138459433794</v>
      </c>
      <c r="U32" s="29">
        <f t="shared" si="18"/>
        <v>0.45999999999999996</v>
      </c>
      <c r="V32" s="109">
        <f t="shared" si="19"/>
        <v>-2.495897433790093</v>
      </c>
      <c r="W32" s="24">
        <f t="shared" si="20"/>
        <v>258.91421899926621</v>
      </c>
      <c r="X32" s="29">
        <f t="shared" si="21"/>
        <v>0.45999999999999996</v>
      </c>
      <c r="Y32" s="109">
        <f t="shared" si="22"/>
        <v>-1.6928000000000003</v>
      </c>
    </row>
    <row r="33" spans="1:25">
      <c r="A33" s="22">
        <v>24</v>
      </c>
      <c r="B33" s="29">
        <f t="shared" si="0"/>
        <v>764.16</v>
      </c>
      <c r="C33" s="29">
        <f t="shared" si="1"/>
        <v>0.48</v>
      </c>
      <c r="D33" s="109">
        <f t="shared" si="2"/>
        <v>-5.5425625842279551</v>
      </c>
      <c r="E33" s="24">
        <f t="shared" si="3"/>
        <v>514.24154560097054</v>
      </c>
      <c r="F33" s="29">
        <f t="shared" si="4"/>
        <v>0.48</v>
      </c>
      <c r="G33" s="109">
        <f t="shared" si="5"/>
        <v>-4.78584747087592</v>
      </c>
      <c r="H33" s="24">
        <f t="shared" si="23"/>
        <v>412.66922503597232</v>
      </c>
      <c r="I33" s="29">
        <f t="shared" si="6"/>
        <v>0.48</v>
      </c>
      <c r="J33" s="109">
        <f t="shared" si="7"/>
        <v>-4.1324451761171872</v>
      </c>
      <c r="K33" s="24">
        <f t="shared" si="8"/>
        <v>382.08</v>
      </c>
      <c r="L33" s="29">
        <f t="shared" si="9"/>
        <v>0.48</v>
      </c>
      <c r="M33" s="109">
        <f t="shared" si="10"/>
        <v>-3.8399999999998569</v>
      </c>
      <c r="N33" s="24">
        <f t="shared" si="11"/>
        <v>358.74672234562473</v>
      </c>
      <c r="O33" s="29">
        <f t="shared" si="12"/>
        <v>0.48</v>
      </c>
      <c r="P33" s="109">
        <f t="shared" si="13"/>
        <v>-3.5682506050462908</v>
      </c>
      <c r="Q33" s="24">
        <f t="shared" si="14"/>
        <v>325.60108586742973</v>
      </c>
      <c r="R33" s="29">
        <f t="shared" si="15"/>
        <v>0.48</v>
      </c>
      <c r="S33" s="109">
        <f t="shared" si="16"/>
        <v>-3.0810844034905549</v>
      </c>
      <c r="T33" s="24">
        <f t="shared" si="17"/>
        <v>303.25709696800482</v>
      </c>
      <c r="U33" s="29">
        <f t="shared" si="18"/>
        <v>0.48</v>
      </c>
      <c r="V33" s="109">
        <f t="shared" si="19"/>
        <v>-2.6604300404257923</v>
      </c>
      <c r="W33" s="24">
        <f t="shared" si="20"/>
        <v>270.17135895575609</v>
      </c>
      <c r="X33" s="29">
        <f t="shared" si="21"/>
        <v>0.48000000000000004</v>
      </c>
      <c r="Y33" s="109">
        <f t="shared" si="22"/>
        <v>-1.8431999999999997</v>
      </c>
    </row>
    <row r="34" spans="1:25">
      <c r="A34" s="22">
        <v>25</v>
      </c>
      <c r="B34" s="29">
        <f t="shared" si="0"/>
        <v>796</v>
      </c>
      <c r="C34" s="29">
        <f t="shared" si="1"/>
        <v>0.5</v>
      </c>
      <c r="D34" s="109">
        <f t="shared" si="2"/>
        <v>-5.6568542494872895</v>
      </c>
      <c r="E34" s="24">
        <f t="shared" si="3"/>
        <v>535.66827666767767</v>
      </c>
      <c r="F34" s="29">
        <f t="shared" si="4"/>
        <v>0.5</v>
      </c>
      <c r="G34" s="109">
        <f t="shared" si="5"/>
        <v>-4.9245776533803349</v>
      </c>
      <c r="H34" s="24">
        <f t="shared" si="23"/>
        <v>429.86377607913784</v>
      </c>
      <c r="I34" s="29">
        <f t="shared" si="6"/>
        <v>0.5</v>
      </c>
      <c r="J34" s="109">
        <f t="shared" si="7"/>
        <v>-4.2870938501447098</v>
      </c>
      <c r="K34" s="24">
        <f t="shared" si="8"/>
        <v>398</v>
      </c>
      <c r="L34" s="29">
        <f t="shared" si="9"/>
        <v>0.5</v>
      </c>
      <c r="M34" s="109">
        <f t="shared" si="10"/>
        <v>-4.000000000000048</v>
      </c>
      <c r="N34" s="24">
        <f t="shared" si="11"/>
        <v>373.69450244335911</v>
      </c>
      <c r="O34" s="29">
        <f t="shared" si="12"/>
        <v>0.5</v>
      </c>
      <c r="P34" s="109">
        <f t="shared" si="13"/>
        <v>-3.7321319661471541</v>
      </c>
      <c r="Q34" s="24">
        <f t="shared" si="14"/>
        <v>339.16779777857266</v>
      </c>
      <c r="R34" s="29">
        <f t="shared" si="15"/>
        <v>0.5</v>
      </c>
      <c r="S34" s="109">
        <f t="shared" si="16"/>
        <v>-3.2490095854249463</v>
      </c>
      <c r="T34" s="24">
        <f t="shared" si="17"/>
        <v>315.89280934167169</v>
      </c>
      <c r="U34" s="29">
        <f t="shared" si="18"/>
        <v>0.5</v>
      </c>
      <c r="V34" s="109">
        <f t="shared" si="19"/>
        <v>-2.8284271247461916</v>
      </c>
      <c r="W34" s="24">
        <f t="shared" si="20"/>
        <v>281.42849891224591</v>
      </c>
      <c r="X34" s="29">
        <f t="shared" si="21"/>
        <v>0.5</v>
      </c>
      <c r="Y34" s="109">
        <f t="shared" si="22"/>
        <v>-1.9999999999999996</v>
      </c>
    </row>
    <row r="35" spans="1:25">
      <c r="A35" s="22">
        <v>26</v>
      </c>
      <c r="B35" s="29">
        <f t="shared" si="0"/>
        <v>827.84</v>
      </c>
      <c r="C35" s="29">
        <f t="shared" si="1"/>
        <v>0.52</v>
      </c>
      <c r="D35" s="109">
        <f t="shared" si="2"/>
        <v>-5.768882040728557</v>
      </c>
      <c r="E35" s="24">
        <f t="shared" si="3"/>
        <v>557.09500773438481</v>
      </c>
      <c r="F35" s="29">
        <f t="shared" si="4"/>
        <v>0.52</v>
      </c>
      <c r="G35" s="109">
        <f t="shared" si="5"/>
        <v>-5.0616525176361096</v>
      </c>
      <c r="H35" s="24">
        <f t="shared" si="23"/>
        <v>447.05832712230335</v>
      </c>
      <c r="I35" s="29">
        <f t="shared" si="6"/>
        <v>0.52</v>
      </c>
      <c r="J35" s="109">
        <f t="shared" si="7"/>
        <v>-4.4411249923891569</v>
      </c>
      <c r="K35" s="24">
        <f t="shared" si="8"/>
        <v>413.92</v>
      </c>
      <c r="L35" s="29">
        <f t="shared" si="9"/>
        <v>0.52</v>
      </c>
      <c r="M35" s="109">
        <f t="shared" si="10"/>
        <v>-4.1599999999998456</v>
      </c>
      <c r="N35" s="24">
        <f t="shared" si="11"/>
        <v>388.64228254109344</v>
      </c>
      <c r="O35" s="29">
        <f t="shared" si="12"/>
        <v>0.51999999999999991</v>
      </c>
      <c r="P35" s="109">
        <f t="shared" si="13"/>
        <v>-3.8966703323273824</v>
      </c>
      <c r="Q35" s="24">
        <f t="shared" si="14"/>
        <v>352.73450968971554</v>
      </c>
      <c r="R35" s="29">
        <f t="shared" si="15"/>
        <v>0.51999999999999991</v>
      </c>
      <c r="S35" s="109">
        <f t="shared" si="16"/>
        <v>-3.4189624711900501</v>
      </c>
      <c r="T35" s="24">
        <f t="shared" si="17"/>
        <v>328.52852171533857</v>
      </c>
      <c r="U35" s="29">
        <f t="shared" si="18"/>
        <v>0.52</v>
      </c>
      <c r="V35" s="109">
        <f t="shared" si="19"/>
        <v>-2.9998186611860196</v>
      </c>
      <c r="W35" s="24">
        <f t="shared" si="20"/>
        <v>292.68563886873579</v>
      </c>
      <c r="X35" s="29">
        <f t="shared" si="21"/>
        <v>0.52000000000000013</v>
      </c>
      <c r="Y35" s="109">
        <f t="shared" si="22"/>
        <v>-2.1632000000000029</v>
      </c>
    </row>
    <row r="36" spans="1:25">
      <c r="A36" s="22">
        <v>27</v>
      </c>
      <c r="B36" s="29">
        <f t="shared" si="0"/>
        <v>859.68</v>
      </c>
      <c r="C36" s="29">
        <f t="shared" si="1"/>
        <v>0.53999999999999992</v>
      </c>
      <c r="D36" s="109">
        <f t="shared" si="2"/>
        <v>-5.8787753826850322</v>
      </c>
      <c r="E36" s="24">
        <f t="shared" si="3"/>
        <v>578.52173880109183</v>
      </c>
      <c r="F36" s="29">
        <f t="shared" si="4"/>
        <v>0.53999999999999992</v>
      </c>
      <c r="G36" s="109">
        <f t="shared" si="5"/>
        <v>-5.1971543950677388</v>
      </c>
      <c r="H36" s="24">
        <f t="shared" si="23"/>
        <v>464.25287816546887</v>
      </c>
      <c r="I36" s="29">
        <f t="shared" si="6"/>
        <v>0.54</v>
      </c>
      <c r="J36" s="109">
        <f t="shared" si="7"/>
        <v>-4.5945646921158296</v>
      </c>
      <c r="K36" s="24">
        <f t="shared" si="8"/>
        <v>429.84</v>
      </c>
      <c r="L36" s="29">
        <f t="shared" si="9"/>
        <v>0.53999999999999992</v>
      </c>
      <c r="M36" s="109">
        <f t="shared" si="10"/>
        <v>-4.3199999999995047</v>
      </c>
      <c r="N36" s="24">
        <f t="shared" si="11"/>
        <v>403.59006263882787</v>
      </c>
      <c r="O36" s="29">
        <f t="shared" si="12"/>
        <v>0.54</v>
      </c>
      <c r="P36" s="109">
        <f t="shared" si="13"/>
        <v>-4.0618429058190815</v>
      </c>
      <c r="Q36" s="24">
        <f t="shared" si="14"/>
        <v>366.30122160085847</v>
      </c>
      <c r="R36" s="29">
        <f t="shared" si="15"/>
        <v>0.54</v>
      </c>
      <c r="S36" s="109">
        <f t="shared" si="16"/>
        <v>-3.5908881248018889</v>
      </c>
      <c r="T36" s="24">
        <f t="shared" si="17"/>
        <v>341.16423408900539</v>
      </c>
      <c r="U36" s="29">
        <f t="shared" si="18"/>
        <v>0.53999999999999992</v>
      </c>
      <c r="V36" s="109">
        <f t="shared" si="19"/>
        <v>-3.1745387066470285</v>
      </c>
      <c r="W36" s="24">
        <f t="shared" si="20"/>
        <v>303.94277882522556</v>
      </c>
      <c r="X36" s="29">
        <f t="shared" si="21"/>
        <v>0.53999999999999992</v>
      </c>
      <c r="Y36" s="109">
        <f t="shared" si="22"/>
        <v>-2.3328000000000051</v>
      </c>
    </row>
    <row r="37" spans="1:25">
      <c r="A37" s="22">
        <v>28</v>
      </c>
      <c r="B37" s="29">
        <f t="shared" si="0"/>
        <v>891.52</v>
      </c>
      <c r="C37" s="29">
        <f t="shared" si="1"/>
        <v>0.55999999999999994</v>
      </c>
      <c r="D37" s="109">
        <f t="shared" si="2"/>
        <v>-5.9866518188408469</v>
      </c>
      <c r="E37" s="24">
        <f t="shared" si="3"/>
        <v>599.94846986779896</v>
      </c>
      <c r="F37" s="29">
        <f t="shared" si="4"/>
        <v>0.55999999999999994</v>
      </c>
      <c r="G37" s="109">
        <f t="shared" si="5"/>
        <v>-5.3311586377892892</v>
      </c>
      <c r="H37" s="24">
        <f t="shared" si="23"/>
        <v>481.44742920863433</v>
      </c>
      <c r="I37" s="29">
        <f t="shared" si="6"/>
        <v>0.55999999999999994</v>
      </c>
      <c r="J37" s="109">
        <f t="shared" si="7"/>
        <v>-4.7474370117655864</v>
      </c>
      <c r="K37" s="24">
        <f t="shared" si="8"/>
        <v>445.76</v>
      </c>
      <c r="L37" s="29">
        <f t="shared" si="9"/>
        <v>0.55999999999999994</v>
      </c>
      <c r="M37" s="109">
        <f t="shared" si="10"/>
        <v>-4.4799999999999338</v>
      </c>
      <c r="N37" s="24">
        <f t="shared" si="11"/>
        <v>418.53784273656225</v>
      </c>
      <c r="O37" s="29">
        <f t="shared" si="12"/>
        <v>0.56000000000000005</v>
      </c>
      <c r="P37" s="109">
        <f t="shared" si="13"/>
        <v>-4.2276284972847931</v>
      </c>
      <c r="Q37" s="24">
        <f t="shared" si="14"/>
        <v>379.8679335120014</v>
      </c>
      <c r="R37" s="29">
        <f t="shared" si="15"/>
        <v>0.56000000000000005</v>
      </c>
      <c r="S37" s="109">
        <f t="shared" si="16"/>
        <v>-3.7647350911159934</v>
      </c>
      <c r="T37" s="24">
        <f t="shared" si="17"/>
        <v>353.79994646267232</v>
      </c>
      <c r="U37" s="29">
        <f t="shared" si="18"/>
        <v>0.56000000000000005</v>
      </c>
      <c r="V37" s="109">
        <f t="shared" si="19"/>
        <v>-3.3525250185494215</v>
      </c>
      <c r="W37" s="24">
        <f t="shared" si="20"/>
        <v>315.19991878171544</v>
      </c>
      <c r="X37" s="29">
        <f t="shared" si="21"/>
        <v>0.56000000000000005</v>
      </c>
      <c r="Y37" s="109">
        <f t="shared" si="22"/>
        <v>-2.5088000000000017</v>
      </c>
    </row>
    <row r="38" spans="1:25">
      <c r="A38" s="22">
        <v>29</v>
      </c>
      <c r="B38" s="29">
        <f t="shared" si="0"/>
        <v>923.36</v>
      </c>
      <c r="C38" s="29">
        <f t="shared" si="1"/>
        <v>0.57999999999999996</v>
      </c>
      <c r="D38" s="109">
        <f t="shared" si="2"/>
        <v>-6.092618484684051</v>
      </c>
      <c r="E38" s="24">
        <f t="shared" si="3"/>
        <v>621.3752009345061</v>
      </c>
      <c r="F38" s="29">
        <f t="shared" si="4"/>
        <v>0.57999999999999996</v>
      </c>
      <c r="G38" s="109">
        <f t="shared" si="5"/>
        <v>-5.4637344374933203</v>
      </c>
      <c r="H38" s="24">
        <f t="shared" si="23"/>
        <v>498.64198025179991</v>
      </c>
      <c r="I38" s="29">
        <f t="shared" si="6"/>
        <v>0.58000000000000007</v>
      </c>
      <c r="J38" s="109">
        <f t="shared" si="7"/>
        <v>-4.8997642111373372</v>
      </c>
      <c r="K38" s="24">
        <f t="shared" si="8"/>
        <v>461.68</v>
      </c>
      <c r="L38" s="29">
        <f t="shared" si="9"/>
        <v>0.57999999999999996</v>
      </c>
      <c r="M38" s="109">
        <f t="shared" si="10"/>
        <v>-4.6400000000004233</v>
      </c>
      <c r="N38" s="24">
        <f t="shared" si="11"/>
        <v>433.48562283429658</v>
      </c>
      <c r="O38" s="29">
        <f t="shared" si="12"/>
        <v>0.57999999999999996</v>
      </c>
      <c r="P38" s="109">
        <f t="shared" si="13"/>
        <v>-4.3940073587768635</v>
      </c>
      <c r="Q38" s="24">
        <f t="shared" si="14"/>
        <v>393.43464542314433</v>
      </c>
      <c r="R38" s="29">
        <f t="shared" si="15"/>
        <v>0.58000000000000007</v>
      </c>
      <c r="S38" s="109">
        <f t="shared" si="16"/>
        <v>-3.9404550580424176</v>
      </c>
      <c r="T38" s="24">
        <f t="shared" si="17"/>
        <v>366.43565883633914</v>
      </c>
      <c r="U38" s="29">
        <f t="shared" si="18"/>
        <v>0.57999999999999996</v>
      </c>
      <c r="V38" s="109">
        <f t="shared" si="19"/>
        <v>-3.5337187211208514</v>
      </c>
      <c r="W38" s="24">
        <f t="shared" si="20"/>
        <v>326.45705873820526</v>
      </c>
      <c r="X38" s="29">
        <f t="shared" si="21"/>
        <v>0.57999999999999996</v>
      </c>
      <c r="Y38" s="109">
        <f t="shared" si="22"/>
        <v>-2.6911999999999972</v>
      </c>
    </row>
    <row r="39" spans="1:25">
      <c r="A39" s="22">
        <v>30</v>
      </c>
      <c r="B39" s="29">
        <f t="shared" si="0"/>
        <v>955.2</v>
      </c>
      <c r="C39" s="29">
        <f t="shared" si="1"/>
        <v>0.6</v>
      </c>
      <c r="D39" s="109">
        <f t="shared" si="2"/>
        <v>-6.1967733539540264</v>
      </c>
      <c r="E39" s="24">
        <f t="shared" si="3"/>
        <v>642.80193200121323</v>
      </c>
      <c r="F39" s="29">
        <f t="shared" si="4"/>
        <v>0.6</v>
      </c>
      <c r="G39" s="109">
        <f t="shared" si="5"/>
        <v>-5.5949455233153813</v>
      </c>
      <c r="H39" s="24">
        <f t="shared" si="23"/>
        <v>515.83653129496543</v>
      </c>
      <c r="I39" s="29">
        <f t="shared" si="6"/>
        <v>0.6</v>
      </c>
      <c r="J39" s="109">
        <f t="shared" si="7"/>
        <v>-5.0515669399159604</v>
      </c>
      <c r="K39" s="24">
        <f t="shared" si="8"/>
        <v>477.6</v>
      </c>
      <c r="L39" s="29">
        <f t="shared" si="9"/>
        <v>0.6</v>
      </c>
      <c r="M39" s="109">
        <f t="shared" si="10"/>
        <v>-4.7999999999993861</v>
      </c>
      <c r="N39" s="24">
        <f t="shared" si="11"/>
        <v>448.43340293203096</v>
      </c>
      <c r="O39" s="29">
        <f t="shared" si="12"/>
        <v>0.6</v>
      </c>
      <c r="P39" s="109">
        <f t="shared" si="13"/>
        <v>-4.5609610392280535</v>
      </c>
      <c r="Q39" s="24">
        <f t="shared" si="14"/>
        <v>407.00135733428715</v>
      </c>
      <c r="R39" s="29">
        <f t="shared" si="15"/>
        <v>0.6</v>
      </c>
      <c r="S39" s="109">
        <f t="shared" si="16"/>
        <v>-4.118002562131748</v>
      </c>
      <c r="T39" s="24">
        <f t="shared" si="17"/>
        <v>379.07137121000602</v>
      </c>
      <c r="U39" s="29">
        <f t="shared" si="18"/>
        <v>0.6</v>
      </c>
      <c r="V39" s="109">
        <f t="shared" si="19"/>
        <v>-3.718064012359235</v>
      </c>
      <c r="W39" s="24">
        <f t="shared" si="20"/>
        <v>337.71419869469509</v>
      </c>
      <c r="X39" s="29">
        <f t="shared" si="21"/>
        <v>0.6</v>
      </c>
      <c r="Y39" s="109">
        <f t="shared" si="22"/>
        <v>-2.8799999999999839</v>
      </c>
    </row>
    <row r="40" spans="1:25">
      <c r="A40" s="22">
        <v>31</v>
      </c>
      <c r="B40" s="29">
        <f t="shared" si="0"/>
        <v>987.04</v>
      </c>
      <c r="C40" s="29">
        <f t="shared" si="1"/>
        <v>0.62</v>
      </c>
      <c r="D40" s="109">
        <f t="shared" si="2"/>
        <v>-6.2992062991868227</v>
      </c>
      <c r="E40" s="24">
        <f t="shared" si="3"/>
        <v>664.22866306792025</v>
      </c>
      <c r="F40" s="29">
        <f t="shared" si="4"/>
        <v>0.62</v>
      </c>
      <c r="G40" s="109">
        <f t="shared" si="5"/>
        <v>-5.7248507602352356</v>
      </c>
      <c r="H40" s="24">
        <f t="shared" si="23"/>
        <v>533.031082338131</v>
      </c>
      <c r="I40" s="29">
        <f t="shared" si="6"/>
        <v>0.62000000000000011</v>
      </c>
      <c r="J40" s="109">
        <f t="shared" si="7"/>
        <v>-5.2028644039006497</v>
      </c>
      <c r="K40" s="24">
        <f t="shared" si="8"/>
        <v>493.52</v>
      </c>
      <c r="L40" s="29">
        <f t="shared" si="9"/>
        <v>0.62</v>
      </c>
      <c r="M40" s="109">
        <f t="shared" si="10"/>
        <v>-4.960000000001787</v>
      </c>
      <c r="N40" s="24">
        <f>N$59*$A40/50</f>
        <v>463.38118302976528</v>
      </c>
      <c r="O40" s="29">
        <f t="shared" si="12"/>
        <v>0.62</v>
      </c>
      <c r="P40" s="109">
        <f t="shared" si="13"/>
        <v>-4.7284722587722152</v>
      </c>
      <c r="Q40" s="24">
        <f>Q$59*$A40/50</f>
        <v>420.56806924543008</v>
      </c>
      <c r="R40" s="29">
        <f t="shared" si="15"/>
        <v>0.62</v>
      </c>
      <c r="S40" s="109">
        <f t="shared" si="16"/>
        <v>-4.297334730692099</v>
      </c>
      <c r="T40" s="24">
        <f>T$59*$A40/50</f>
        <v>391.70708358367284</v>
      </c>
      <c r="U40" s="29">
        <f t="shared" si="18"/>
        <v>0.61999999999999988</v>
      </c>
      <c r="V40" s="109">
        <f t="shared" si="19"/>
        <v>-3.9055079055099169</v>
      </c>
      <c r="W40" s="24">
        <f>W$59*$A40/50</f>
        <v>348.97133865118491</v>
      </c>
      <c r="X40" s="29">
        <f t="shared" si="21"/>
        <v>0.62</v>
      </c>
      <c r="Y40" s="109">
        <f t="shared" si="22"/>
        <v>-3.0751999999999882</v>
      </c>
    </row>
    <row r="41" spans="1:25">
      <c r="A41" s="22">
        <v>32</v>
      </c>
      <c r="B41" s="29">
        <f t="shared" si="0"/>
        <v>1018.88</v>
      </c>
      <c r="C41" s="29">
        <f t="shared" si="1"/>
        <v>0.64</v>
      </c>
      <c r="D41" s="109">
        <f t="shared" si="2"/>
        <v>-6.3999999999898876</v>
      </c>
      <c r="E41" s="24">
        <f t="shared" si="3"/>
        <v>685.65539413462739</v>
      </c>
      <c r="F41" s="29">
        <f t="shared" si="4"/>
        <v>0.64</v>
      </c>
      <c r="G41" s="109">
        <f t="shared" si="5"/>
        <v>-5.853504664654813</v>
      </c>
      <c r="H41" s="24">
        <f t="shared" si="23"/>
        <v>550.22563338129646</v>
      </c>
      <c r="I41" s="29">
        <f t="shared" si="6"/>
        <v>0.64</v>
      </c>
      <c r="J41" s="109">
        <f t="shared" si="7"/>
        <v>-5.3536745092714666</v>
      </c>
      <c r="K41" s="24">
        <f t="shared" si="8"/>
        <v>509.44</v>
      </c>
      <c r="L41" s="29">
        <f t="shared" si="9"/>
        <v>0.64</v>
      </c>
      <c r="M41" s="109">
        <f t="shared" si="10"/>
        <v>-5.1199999999978445</v>
      </c>
      <c r="N41" s="24">
        <f t="shared" si="11"/>
        <v>478.32896312749966</v>
      </c>
      <c r="O41" s="29">
        <f t="shared" si="12"/>
        <v>0.64</v>
      </c>
      <c r="P41" s="109">
        <f t="shared" si="13"/>
        <v>-4.8965247989265439</v>
      </c>
      <c r="Q41" s="24">
        <f t="shared" si="14"/>
        <v>434.13478115657301</v>
      </c>
      <c r="R41" s="29">
        <f t="shared" si="15"/>
        <v>0.64</v>
      </c>
      <c r="S41" s="109">
        <f t="shared" si="16"/>
        <v>-4.4784110548713647</v>
      </c>
      <c r="T41" s="24">
        <f t="shared" si="17"/>
        <v>404.34279595733977</v>
      </c>
      <c r="U41" s="29">
        <f t="shared" si="18"/>
        <v>0.64</v>
      </c>
      <c r="V41" s="109">
        <f t="shared" si="19"/>
        <v>-4.0959999999998615</v>
      </c>
      <c r="W41" s="24">
        <f t="shared" si="20"/>
        <v>360.22847860767479</v>
      </c>
      <c r="X41" s="29">
        <f t="shared" si="21"/>
        <v>0.64</v>
      </c>
      <c r="Y41" s="109">
        <f t="shared" si="22"/>
        <v>-3.2768000000000059</v>
      </c>
    </row>
    <row r="42" spans="1:25">
      <c r="A42" s="22">
        <v>33</v>
      </c>
      <c r="B42" s="29">
        <f t="shared" si="0"/>
        <v>1050.72</v>
      </c>
      <c r="C42" s="29">
        <f t="shared" si="1"/>
        <v>0.66</v>
      </c>
      <c r="D42" s="109">
        <f t="shared" si="2"/>
        <v>-6.4992307236941329</v>
      </c>
      <c r="E42" s="24">
        <f t="shared" si="3"/>
        <v>707.08212520133452</v>
      </c>
      <c r="F42" s="29">
        <f t="shared" si="4"/>
        <v>0.66</v>
      </c>
      <c r="G42" s="109">
        <f t="shared" si="5"/>
        <v>-5.9809578511253845</v>
      </c>
      <c r="H42" s="24">
        <f t="shared" si="23"/>
        <v>567.42018442446192</v>
      </c>
      <c r="I42" s="29">
        <f t="shared" si="6"/>
        <v>0.66</v>
      </c>
      <c r="J42" s="109">
        <f t="shared" si="7"/>
        <v>-5.5040139883454264</v>
      </c>
      <c r="K42" s="24">
        <f t="shared" si="8"/>
        <v>525.36</v>
      </c>
      <c r="L42" s="29">
        <f t="shared" si="9"/>
        <v>0.66</v>
      </c>
      <c r="M42" s="109">
        <f t="shared" si="10"/>
        <v>-5.2800000000040672</v>
      </c>
      <c r="N42" s="24">
        <f t="shared" si="11"/>
        <v>493.27674322523404</v>
      </c>
      <c r="O42" s="29">
        <f t="shared" si="12"/>
        <v>0.66</v>
      </c>
      <c r="P42" s="109">
        <f t="shared" si="13"/>
        <v>-5.0651034061796016</v>
      </c>
      <c r="Q42" s="24">
        <f t="shared" si="14"/>
        <v>447.70149306771594</v>
      </c>
      <c r="R42" s="29">
        <f t="shared" si="15"/>
        <v>0.66</v>
      </c>
      <c r="S42" s="109">
        <f t="shared" si="16"/>
        <v>-4.661193189119385</v>
      </c>
      <c r="T42" s="24">
        <f t="shared" si="17"/>
        <v>416.97850833100665</v>
      </c>
      <c r="U42" s="29">
        <f t="shared" si="18"/>
        <v>0.66</v>
      </c>
      <c r="V42" s="109">
        <f t="shared" si="19"/>
        <v>-4.2894922776479687</v>
      </c>
      <c r="W42" s="24">
        <f t="shared" si="20"/>
        <v>371.48561856416461</v>
      </c>
      <c r="X42" s="29">
        <f t="shared" si="21"/>
        <v>0.66</v>
      </c>
      <c r="Y42" s="109">
        <f t="shared" si="22"/>
        <v>-3.484800000000035</v>
      </c>
    </row>
    <row r="43" spans="1:25">
      <c r="A43" s="22">
        <v>34</v>
      </c>
      <c r="B43" s="29">
        <f t="shared" si="0"/>
        <v>1082.56</v>
      </c>
      <c r="C43" s="29">
        <f t="shared" si="1"/>
        <v>0.67999999999999994</v>
      </c>
      <c r="D43" s="109">
        <f t="shared" si="2"/>
        <v>-6.5969690009753936</v>
      </c>
      <c r="E43" s="24">
        <f t="shared" si="3"/>
        <v>728.50885626804165</v>
      </c>
      <c r="F43" s="29">
        <f t="shared" si="4"/>
        <v>0.68</v>
      </c>
      <c r="G43" s="109">
        <f t="shared" si="5"/>
        <v>-6.1072574207782733</v>
      </c>
      <c r="H43" s="24">
        <f t="shared" si="23"/>
        <v>584.6147354676275</v>
      </c>
      <c r="I43" s="29">
        <f t="shared" si="6"/>
        <v>0.68</v>
      </c>
      <c r="J43" s="109">
        <f t="shared" si="7"/>
        <v>-5.6538985097804417</v>
      </c>
      <c r="K43" s="24">
        <f t="shared" si="8"/>
        <v>541.28</v>
      </c>
      <c r="L43" s="29">
        <f t="shared" si="9"/>
        <v>0.67999999999999994</v>
      </c>
      <c r="M43" s="109">
        <f t="shared" si="10"/>
        <v>-5.440000000005055</v>
      </c>
      <c r="N43" s="24">
        <f t="shared" si="11"/>
        <v>508.22452332296837</v>
      </c>
      <c r="O43" s="29">
        <f t="shared" si="12"/>
        <v>0.67999999999999994</v>
      </c>
      <c r="P43" s="109">
        <f t="shared" si="13"/>
        <v>-5.2341937070111824</v>
      </c>
      <c r="Q43" s="24">
        <f t="shared" si="14"/>
        <v>461.26820497885888</v>
      </c>
      <c r="R43" s="29">
        <f t="shared" si="15"/>
        <v>0.68</v>
      </c>
      <c r="S43" s="109">
        <f t="shared" si="16"/>
        <v>-4.8456447732579289</v>
      </c>
      <c r="T43" s="24">
        <f t="shared" si="17"/>
        <v>429.61422070467347</v>
      </c>
      <c r="U43" s="29">
        <f t="shared" si="18"/>
        <v>0.67999999999999994</v>
      </c>
      <c r="V43" s="109">
        <f t="shared" si="19"/>
        <v>-4.4859389206719378</v>
      </c>
      <c r="W43" s="24">
        <f t="shared" si="20"/>
        <v>382.74275852065443</v>
      </c>
      <c r="X43" s="29">
        <f t="shared" si="21"/>
        <v>0.67999999999999994</v>
      </c>
      <c r="Y43" s="109">
        <f t="shared" si="22"/>
        <v>-3.6992000000000718</v>
      </c>
    </row>
    <row r="44" spans="1:25">
      <c r="A44" s="22">
        <v>35</v>
      </c>
      <c r="B44" s="29">
        <f t="shared" si="0"/>
        <v>1114.4000000000001</v>
      </c>
      <c r="C44" s="29">
        <f t="shared" si="1"/>
        <v>0.70000000000000007</v>
      </c>
      <c r="D44" s="109">
        <f t="shared" si="2"/>
        <v>-6.6932802123730815</v>
      </c>
      <c r="E44" s="24">
        <f t="shared" si="3"/>
        <v>749.93558733474867</v>
      </c>
      <c r="F44" s="29">
        <f t="shared" si="4"/>
        <v>0.7</v>
      </c>
      <c r="G44" s="109">
        <f t="shared" si="5"/>
        <v>-6.2324473013283885</v>
      </c>
      <c r="H44" s="24">
        <f t="shared" si="23"/>
        <v>601.80928651079296</v>
      </c>
      <c r="I44" s="29">
        <f t="shared" si="6"/>
        <v>0.7</v>
      </c>
      <c r="J44" s="109">
        <f t="shared" si="7"/>
        <v>-5.803342775505631</v>
      </c>
      <c r="K44" s="24">
        <f>K$59*$A44/50</f>
        <v>557.20000000000005</v>
      </c>
      <c r="L44" s="29">
        <f t="shared" si="9"/>
        <v>0.70000000000000007</v>
      </c>
      <c r="M44" s="109">
        <f t="shared" si="10"/>
        <v>-5.5999999999978325</v>
      </c>
      <c r="N44" s="24">
        <f t="shared" si="11"/>
        <v>523.17230342070275</v>
      </c>
      <c r="O44" s="29">
        <f t="shared" si="12"/>
        <v>0.7</v>
      </c>
      <c r="P44" s="109">
        <f t="shared" si="13"/>
        <v>-5.4037821326722817</v>
      </c>
      <c r="Q44" s="24">
        <f t="shared" si="14"/>
        <v>474.83491689000169</v>
      </c>
      <c r="R44" s="29">
        <f t="shared" si="15"/>
        <v>0.7</v>
      </c>
      <c r="S44" s="109">
        <f t="shared" si="16"/>
        <v>-5.0317312740300641</v>
      </c>
      <c r="T44" s="24">
        <f t="shared" si="17"/>
        <v>442.2499330783404</v>
      </c>
      <c r="U44" s="29">
        <f t="shared" si="18"/>
        <v>0.70000000000000007</v>
      </c>
      <c r="V44" s="109">
        <f t="shared" si="19"/>
        <v>-4.6852961485908429</v>
      </c>
      <c r="W44" s="24">
        <f t="shared" si="20"/>
        <v>393.99989847714431</v>
      </c>
      <c r="X44" s="29">
        <f t="shared" si="21"/>
        <v>0.70000000000000007</v>
      </c>
      <c r="Y44" s="109">
        <f t="shared" si="22"/>
        <v>-3.9199999999999022</v>
      </c>
    </row>
    <row r="45" spans="1:25">
      <c r="A45" s="22">
        <v>36</v>
      </c>
      <c r="B45" s="29">
        <f t="shared" si="0"/>
        <v>1146.24</v>
      </c>
      <c r="C45" s="29">
        <f t="shared" si="1"/>
        <v>0.72</v>
      </c>
      <c r="D45" s="109">
        <f t="shared" si="2"/>
        <v>-6.7882250994208029</v>
      </c>
      <c r="E45" s="24">
        <f>E$59*$A45/50</f>
        <v>771.36231840145581</v>
      </c>
      <c r="F45" s="29">
        <f t="shared" si="4"/>
        <v>0.72</v>
      </c>
      <c r="G45" s="109">
        <f t="shared" si="5"/>
        <v>-6.3565685449442784</v>
      </c>
      <c r="H45" s="24">
        <f t="shared" si="23"/>
        <v>619.00383755395853</v>
      </c>
      <c r="I45" s="29">
        <f t="shared" si="6"/>
        <v>0.72000000000000008</v>
      </c>
      <c r="J45" s="109">
        <f t="shared" si="7"/>
        <v>-5.9523606061416237</v>
      </c>
      <c r="K45" s="24">
        <f t="shared" si="8"/>
        <v>573.12</v>
      </c>
      <c r="L45" s="29">
        <f t="shared" si="9"/>
        <v>0.72</v>
      </c>
      <c r="M45" s="109">
        <f t="shared" si="10"/>
        <v>-5.7599999999888922</v>
      </c>
      <c r="N45" s="24">
        <f t="shared" si="11"/>
        <v>538.12008351843713</v>
      </c>
      <c r="O45" s="29">
        <f t="shared" si="12"/>
        <v>0.72</v>
      </c>
      <c r="P45" s="109">
        <f t="shared" si="13"/>
        <v>-5.5738558523760107</v>
      </c>
      <c r="Q45" s="24">
        <f t="shared" si="14"/>
        <v>488.40162880114462</v>
      </c>
      <c r="R45" s="29">
        <f t="shared" si="15"/>
        <v>0.72</v>
      </c>
      <c r="S45" s="109">
        <f t="shared" si="16"/>
        <v>-5.2194198434524441</v>
      </c>
      <c r="T45" s="24">
        <f t="shared" si="17"/>
        <v>454.88564545200722</v>
      </c>
      <c r="U45" s="29">
        <f t="shared" si="18"/>
        <v>0.72</v>
      </c>
      <c r="V45" s="109">
        <f t="shared" si="19"/>
        <v>-4.8875220715598662</v>
      </c>
      <c r="W45" s="24">
        <f t="shared" si="20"/>
        <v>405.25703843363414</v>
      </c>
      <c r="X45" s="29">
        <f t="shared" si="21"/>
        <v>0.72000000000000008</v>
      </c>
      <c r="Y45" s="109">
        <f t="shared" si="22"/>
        <v>-4.1472000000002085</v>
      </c>
    </row>
    <row r="46" spans="1:25">
      <c r="A46" s="22">
        <v>37</v>
      </c>
      <c r="B46" s="29">
        <f t="shared" si="0"/>
        <v>1178.08</v>
      </c>
      <c r="C46" s="29">
        <f t="shared" si="1"/>
        <v>0.74</v>
      </c>
      <c r="D46" s="109">
        <f t="shared" si="2"/>
        <v>-6.8818602134704028</v>
      </c>
      <c r="E46" s="24">
        <f t="shared" si="3"/>
        <v>792.78904946816294</v>
      </c>
      <c r="F46" s="29">
        <f t="shared" si="4"/>
        <v>0.74</v>
      </c>
      <c r="G46" s="109">
        <f t="shared" si="5"/>
        <v>-6.4796595910650447</v>
      </c>
      <c r="H46" s="24">
        <f t="shared" si="23"/>
        <v>636.19838859712399</v>
      </c>
      <c r="I46" s="29">
        <f t="shared" si="6"/>
        <v>0.74</v>
      </c>
      <c r="J46" s="109">
        <f t="shared" si="7"/>
        <v>-6.1009650170230811</v>
      </c>
      <c r="K46" s="24">
        <f t="shared" si="8"/>
        <v>589.04</v>
      </c>
      <c r="L46" s="29">
        <f t="shared" si="9"/>
        <v>0.74</v>
      </c>
      <c r="M46" s="109">
        <f t="shared" si="10"/>
        <v>-5.9200000000195532</v>
      </c>
      <c r="N46" s="24">
        <f t="shared" si="11"/>
        <v>553.06786361617151</v>
      </c>
      <c r="O46" s="29">
        <f t="shared" si="12"/>
        <v>0.74</v>
      </c>
      <c r="P46" s="109">
        <f t="shared" si="13"/>
        <v>-5.7444027137263198</v>
      </c>
      <c r="Q46" s="24">
        <f t="shared" si="14"/>
        <v>501.96834071228756</v>
      </c>
      <c r="R46" s="29">
        <f t="shared" si="15"/>
        <v>0.74</v>
      </c>
      <c r="S46" s="109">
        <f t="shared" si="16"/>
        <v>-5.4086791918390595</v>
      </c>
      <c r="T46" s="24">
        <f t="shared" si="17"/>
        <v>467.52135782567416</v>
      </c>
      <c r="U46" s="29">
        <f t="shared" si="18"/>
        <v>0.7400000000000001</v>
      </c>
      <c r="V46" s="109">
        <f t="shared" si="19"/>
        <v>-5.0925765580907321</v>
      </c>
      <c r="W46" s="24">
        <f t="shared" si="20"/>
        <v>416.5141783901239</v>
      </c>
      <c r="X46" s="29">
        <f t="shared" si="21"/>
        <v>0.73999999999999988</v>
      </c>
      <c r="Y46" s="109">
        <f t="shared" si="22"/>
        <v>-4.3808000000000593</v>
      </c>
    </row>
    <row r="47" spans="1:25">
      <c r="A47" s="22">
        <v>38</v>
      </c>
      <c r="B47" s="29">
        <f t="shared" si="0"/>
        <v>1209.92</v>
      </c>
      <c r="C47" s="29">
        <f t="shared" si="1"/>
        <v>0.76</v>
      </c>
      <c r="D47" s="109">
        <f t="shared" si="2"/>
        <v>-6.9742383094575553</v>
      </c>
      <c r="E47" s="24">
        <f t="shared" si="3"/>
        <v>814.21578053486996</v>
      </c>
      <c r="F47" s="29">
        <f>E47/E$59</f>
        <v>0.7599999999999999</v>
      </c>
      <c r="G47" s="109">
        <f t="shared" si="5"/>
        <v>-6.6017564981190695</v>
      </c>
      <c r="H47" s="24">
        <f t="shared" si="23"/>
        <v>653.39293964028946</v>
      </c>
      <c r="I47" s="29">
        <f t="shared" si="6"/>
        <v>0.7599999999999999</v>
      </c>
      <c r="J47" s="109">
        <f t="shared" si="7"/>
        <v>-6.2491682853373707</v>
      </c>
      <c r="K47" s="24">
        <f t="shared" si="8"/>
        <v>604.96</v>
      </c>
      <c r="L47" s="29">
        <f t="shared" si="9"/>
        <v>0.76</v>
      </c>
      <c r="M47" s="109">
        <f t="shared" si="10"/>
        <v>-6.0800000000113927</v>
      </c>
      <c r="N47" s="24">
        <f t="shared" si="11"/>
        <v>568.01564371390589</v>
      </c>
      <c r="O47" s="29">
        <f t="shared" si="12"/>
        <v>0.76</v>
      </c>
      <c r="P47" s="109">
        <f t="shared" si="13"/>
        <v>-5.9154111894622163</v>
      </c>
      <c r="Q47" s="24">
        <f t="shared" si="14"/>
        <v>515.53505262343049</v>
      </c>
      <c r="R47" s="29">
        <f t="shared" si="15"/>
        <v>0.76</v>
      </c>
      <c r="S47" s="109">
        <f t="shared" si="16"/>
        <v>-5.5994794735429529</v>
      </c>
      <c r="T47" s="24">
        <f t="shared" si="17"/>
        <v>480.15707019934098</v>
      </c>
      <c r="U47" s="29">
        <f t="shared" si="18"/>
        <v>0.76</v>
      </c>
      <c r="V47" s="109">
        <f t="shared" si="19"/>
        <v>-5.3004211153457828</v>
      </c>
      <c r="W47" s="24">
        <f t="shared" si="20"/>
        <v>427.77131834661378</v>
      </c>
      <c r="X47" s="29">
        <f t="shared" si="21"/>
        <v>0.76</v>
      </c>
      <c r="Y47" s="109">
        <f t="shared" si="22"/>
        <v>-4.6207999999990603</v>
      </c>
    </row>
    <row r="48" spans="1:25">
      <c r="A48" s="22">
        <v>39</v>
      </c>
      <c r="B48" s="29">
        <f t="shared" si="0"/>
        <v>1241.76</v>
      </c>
      <c r="C48" s="29">
        <f t="shared" si="1"/>
        <v>0.78</v>
      </c>
      <c r="D48" s="109">
        <f t="shared" si="2"/>
        <v>-7.0654086933363134</v>
      </c>
      <c r="E48" s="24">
        <f t="shared" si="3"/>
        <v>835.6425116015771</v>
      </c>
      <c r="F48" s="29">
        <f t="shared" si="4"/>
        <v>0.77999999999999992</v>
      </c>
      <c r="G48" s="109">
        <f t="shared" si="5"/>
        <v>-6.7228931499927906</v>
      </c>
      <c r="H48" s="24">
        <f t="shared" si="23"/>
        <v>670.58749068345492</v>
      </c>
      <c r="I48" s="29">
        <f t="shared" si="6"/>
        <v>0.77999999999999992</v>
      </c>
      <c r="J48" s="109">
        <f t="shared" si="7"/>
        <v>-6.3969820106795652</v>
      </c>
      <c r="K48" s="24">
        <f t="shared" si="8"/>
        <v>620.88</v>
      </c>
      <c r="L48" s="29">
        <f t="shared" si="9"/>
        <v>0.78</v>
      </c>
      <c r="M48" s="109">
        <f t="shared" si="10"/>
        <v>-6.2399999999774973</v>
      </c>
      <c r="N48" s="24">
        <f t="shared" si="11"/>
        <v>582.96342381164027</v>
      </c>
      <c r="O48" s="29">
        <f t="shared" si="12"/>
        <v>0.78</v>
      </c>
      <c r="P48" s="109">
        <f t="shared" si="13"/>
        <v>-6.086870329628292</v>
      </c>
      <c r="Q48" s="24">
        <f t="shared" si="14"/>
        <v>529.10176453457336</v>
      </c>
      <c r="R48" s="29">
        <f t="shared" si="15"/>
        <v>0.78</v>
      </c>
      <c r="S48" s="109">
        <f t="shared" si="16"/>
        <v>-5.7917921839164679</v>
      </c>
      <c r="T48" s="24">
        <f t="shared" si="17"/>
        <v>492.79278257300786</v>
      </c>
      <c r="U48" s="29">
        <f t="shared" si="18"/>
        <v>0.78</v>
      </c>
      <c r="V48" s="109">
        <f t="shared" si="19"/>
        <v>-5.5110187805897377</v>
      </c>
      <c r="W48" s="24">
        <f t="shared" si="20"/>
        <v>439.0284583031036</v>
      </c>
      <c r="X48" s="29">
        <f t="shared" si="21"/>
        <v>0.77999999999999992</v>
      </c>
      <c r="Y48" s="109">
        <f t="shared" si="22"/>
        <v>-4.8671999999994444</v>
      </c>
    </row>
    <row r="49" spans="1:25">
      <c r="A49" s="22">
        <v>40</v>
      </c>
      <c r="B49" s="29">
        <f t="shared" si="0"/>
        <v>1273.5999999999999</v>
      </c>
      <c r="C49" s="29">
        <f t="shared" si="1"/>
        <v>0.79999999999999993</v>
      </c>
      <c r="D49" s="109">
        <f t="shared" si="2"/>
        <v>-7.1554175279815055</v>
      </c>
      <c r="E49" s="24">
        <f t="shared" si="3"/>
        <v>857.06924266828423</v>
      </c>
      <c r="F49" s="29">
        <f t="shared" si="4"/>
        <v>0.79999999999999993</v>
      </c>
      <c r="G49" s="109">
        <f t="shared" si="5"/>
        <v>-6.8431014401018002</v>
      </c>
      <c r="H49" s="24">
        <f t="shared" si="23"/>
        <v>687.78204172662049</v>
      </c>
      <c r="I49" s="29">
        <f t="shared" si="6"/>
        <v>0.79999999999999993</v>
      </c>
      <c r="J49" s="109">
        <f t="shared" si="7"/>
        <v>-6.5444171683981711</v>
      </c>
      <c r="K49" s="24">
        <f t="shared" si="8"/>
        <v>636.79999999999995</v>
      </c>
      <c r="L49" s="29">
        <f t="shared" si="9"/>
        <v>0.79999999999999993</v>
      </c>
      <c r="M49" s="109">
        <f t="shared" si="10"/>
        <v>-6.3999999999898876</v>
      </c>
      <c r="N49" s="24">
        <f t="shared" si="11"/>
        <v>597.91120390937465</v>
      </c>
      <c r="O49" s="29">
        <f t="shared" si="12"/>
        <v>0.8</v>
      </c>
      <c r="P49" s="109">
        <f t="shared" si="13"/>
        <v>-6.2587697186616111</v>
      </c>
      <c r="Q49" s="24">
        <f t="shared" si="14"/>
        <v>542.66847644571624</v>
      </c>
      <c r="R49" s="29">
        <f t="shared" si="15"/>
        <v>0.79999999999999993</v>
      </c>
      <c r="S49" s="109">
        <f t="shared" si="16"/>
        <v>-5.9855900660778163</v>
      </c>
      <c r="T49" s="24">
        <f t="shared" si="17"/>
        <v>505.42849494667468</v>
      </c>
      <c r="U49" s="29">
        <f t="shared" si="18"/>
        <v>0.79999999999999993</v>
      </c>
      <c r="V49" s="109">
        <f t="shared" si="19"/>
        <v>-5.7243340223964001</v>
      </c>
      <c r="W49" s="24">
        <f t="shared" si="20"/>
        <v>450.28559825959348</v>
      </c>
      <c r="X49" s="29">
        <f t="shared" si="21"/>
        <v>0.8</v>
      </c>
      <c r="Y49" s="109">
        <f t="shared" si="22"/>
        <v>-5.1199999999978445</v>
      </c>
    </row>
    <row r="50" spans="1:25">
      <c r="A50" s="22">
        <v>41</v>
      </c>
      <c r="B50" s="29">
        <f t="shared" si="0"/>
        <v>1305.44</v>
      </c>
      <c r="C50" s="29">
        <f>B50/$B$59</f>
        <v>0.82000000000000006</v>
      </c>
      <c r="D50" s="109">
        <f t="shared" si="2"/>
        <v>-7.2443081103025619</v>
      </c>
      <c r="E50" s="24">
        <f t="shared" si="3"/>
        <v>878.49597373499137</v>
      </c>
      <c r="F50" s="29">
        <f t="shared" si="4"/>
        <v>0.82</v>
      </c>
      <c r="G50" s="109">
        <f t="shared" si="5"/>
        <v>-6.9624114327343953</v>
      </c>
      <c r="H50" s="24">
        <f t="shared" si="23"/>
        <v>704.97659276978607</v>
      </c>
      <c r="I50" s="29">
        <f t="shared" si="6"/>
        <v>0.82000000000000006</v>
      </c>
      <c r="J50" s="109">
        <f t="shared" si="7"/>
        <v>-6.6914841584056202</v>
      </c>
      <c r="K50" s="24">
        <f t="shared" si="8"/>
        <v>652.72</v>
      </c>
      <c r="L50" s="29">
        <f t="shared" si="9"/>
        <v>0.82000000000000006</v>
      </c>
      <c r="M50" s="109">
        <f t="shared" si="10"/>
        <v>-6.5600000000716667</v>
      </c>
      <c r="N50" s="24">
        <f t="shared" si="11"/>
        <v>612.85898400710892</v>
      </c>
      <c r="O50" s="29">
        <f t="shared" si="12"/>
        <v>0.82</v>
      </c>
      <c r="P50" s="109">
        <f t="shared" si="13"/>
        <v>-6.4310994364501539</v>
      </c>
      <c r="Q50" s="24">
        <f t="shared" si="14"/>
        <v>556.23518835685911</v>
      </c>
      <c r="R50" s="29">
        <f t="shared" si="15"/>
        <v>0.82</v>
      </c>
      <c r="S50" s="109">
        <f t="shared" si="16"/>
        <v>-6.1808470262069539</v>
      </c>
      <c r="T50" s="24">
        <f t="shared" si="17"/>
        <v>518.06420732034155</v>
      </c>
      <c r="U50" s="29">
        <f t="shared" si="18"/>
        <v>0.82</v>
      </c>
      <c r="V50" s="109">
        <f t="shared" si="19"/>
        <v>-5.9403326506360123</v>
      </c>
      <c r="W50" s="24">
        <f t="shared" si="20"/>
        <v>461.54273821608331</v>
      </c>
      <c r="X50" s="29">
        <f t="shared" si="21"/>
        <v>0.82000000000000006</v>
      </c>
      <c r="Y50" s="109">
        <f t="shared" si="22"/>
        <v>-5.3791999999953282</v>
      </c>
    </row>
    <row r="51" spans="1:25">
      <c r="A51" s="22">
        <v>42</v>
      </c>
      <c r="B51" s="29">
        <f t="shared" si="0"/>
        <v>1337.28</v>
      </c>
      <c r="C51" s="29">
        <f t="shared" si="1"/>
        <v>0.84</v>
      </c>
      <c r="D51" s="109">
        <f t="shared" si="2"/>
        <v>-7.3321211118023069</v>
      </c>
      <c r="E51" s="24">
        <f t="shared" si="3"/>
        <v>899.92270480169861</v>
      </c>
      <c r="F51" s="29">
        <f t="shared" si="4"/>
        <v>0.84000000000000008</v>
      </c>
      <c r="G51" s="109">
        <f t="shared" si="5"/>
        <v>-7.0808515128603196</v>
      </c>
      <c r="H51" s="24">
        <f t="shared" si="23"/>
        <v>722.17114381295164</v>
      </c>
      <c r="I51" s="29">
        <f t="shared" si="6"/>
        <v>0.84000000000000008</v>
      </c>
      <c r="J51" s="109">
        <f t="shared" si="7"/>
        <v>-6.838192848312743</v>
      </c>
      <c r="K51" s="24">
        <f t="shared" si="8"/>
        <v>668.64</v>
      </c>
      <c r="L51" s="29">
        <f t="shared" si="9"/>
        <v>0.84</v>
      </c>
      <c r="M51" s="109">
        <f t="shared" si="10"/>
        <v>-6.7199999999690476</v>
      </c>
      <c r="N51" s="24">
        <f t="shared" si="11"/>
        <v>627.8067641048433</v>
      </c>
      <c r="O51" s="29">
        <f t="shared" si="12"/>
        <v>0.84</v>
      </c>
      <c r="P51" s="109">
        <f t="shared" si="13"/>
        <v>-6.6038500233571753</v>
      </c>
      <c r="Q51" s="24">
        <f t="shared" si="14"/>
        <v>569.8019002680021</v>
      </c>
      <c r="R51" s="29">
        <f t="shared" si="15"/>
        <v>0.84000000000000008</v>
      </c>
      <c r="S51" s="109">
        <f t="shared" si="16"/>
        <v>-6.3775380569331661</v>
      </c>
      <c r="T51" s="24">
        <f t="shared" si="17"/>
        <v>530.69991969400837</v>
      </c>
      <c r="U51" s="29">
        <f t="shared" si="18"/>
        <v>0.83999999999999986</v>
      </c>
      <c r="V51" s="109">
        <f t="shared" si="19"/>
        <v>-6.1589817339961179</v>
      </c>
      <c r="W51" s="24">
        <f t="shared" si="20"/>
        <v>472.79987817257313</v>
      </c>
      <c r="X51" s="29">
        <f t="shared" si="21"/>
        <v>0.84</v>
      </c>
      <c r="Y51" s="109">
        <f t="shared" si="22"/>
        <v>-5.6448000000057101</v>
      </c>
    </row>
    <row r="52" spans="1:25">
      <c r="A52" s="22">
        <v>43</v>
      </c>
      <c r="B52" s="29">
        <f t="shared" si="0"/>
        <v>1369.12</v>
      </c>
      <c r="C52" s="29">
        <f t="shared" si="1"/>
        <v>0.86</v>
      </c>
      <c r="D52" s="109">
        <f t="shared" si="2"/>
        <v>-7.4188947965321796</v>
      </c>
      <c r="E52" s="24">
        <f t="shared" si="3"/>
        <v>921.34943586840552</v>
      </c>
      <c r="F52" s="29">
        <f t="shared" si="4"/>
        <v>0.85999999999999988</v>
      </c>
      <c r="G52" s="109">
        <f t="shared" si="5"/>
        <v>-7.1984485154323599</v>
      </c>
      <c r="H52" s="24">
        <f t="shared" si="23"/>
        <v>739.36569485611699</v>
      </c>
      <c r="I52" s="29">
        <f t="shared" si="6"/>
        <v>0.85999999999999988</v>
      </c>
      <c r="J52" s="109">
        <f t="shared" si="7"/>
        <v>-6.9845526126303108</v>
      </c>
      <c r="K52" s="24">
        <f t="shared" si="8"/>
        <v>684.56</v>
      </c>
      <c r="L52" s="29">
        <f t="shared" si="9"/>
        <v>0.86</v>
      </c>
      <c r="M52" s="109">
        <f t="shared" si="10"/>
        <v>-6.880000000112747</v>
      </c>
      <c r="N52" s="24">
        <f t="shared" si="11"/>
        <v>642.75454420257768</v>
      </c>
      <c r="O52" s="29">
        <f t="shared" si="12"/>
        <v>0.86</v>
      </c>
      <c r="P52" s="109">
        <f t="shared" si="13"/>
        <v>-6.7770124482098941</v>
      </c>
      <c r="Q52" s="24">
        <f t="shared" si="14"/>
        <v>583.36861217914498</v>
      </c>
      <c r="R52" s="29">
        <f t="shared" si="15"/>
        <v>0.86</v>
      </c>
      <c r="S52" s="109">
        <f t="shared" si="16"/>
        <v>-6.5756391668728833</v>
      </c>
      <c r="T52" s="24">
        <f t="shared" si="17"/>
        <v>543.33563206767531</v>
      </c>
      <c r="U52" s="29">
        <f t="shared" si="18"/>
        <v>0.86</v>
      </c>
      <c r="V52" s="109">
        <f t="shared" si="19"/>
        <v>-6.3802495249013713</v>
      </c>
      <c r="W52" s="24">
        <f t="shared" si="20"/>
        <v>484.05701812906301</v>
      </c>
      <c r="X52" s="29">
        <f t="shared" si="21"/>
        <v>0.8600000000000001</v>
      </c>
      <c r="Y52" s="109">
        <f>LOG(1-WEIBULL(W52,Y$5,Y$6,TRUE))</f>
        <v>-5.9167999999885881</v>
      </c>
    </row>
    <row r="53" spans="1:25">
      <c r="A53" s="22">
        <v>44</v>
      </c>
      <c r="B53" s="29">
        <f t="shared" si="0"/>
        <v>1400.96</v>
      </c>
      <c r="C53" s="29">
        <f t="shared" si="1"/>
        <v>0.88</v>
      </c>
      <c r="D53" s="109">
        <f t="shared" si="2"/>
        <v>-7.504665214950939</v>
      </c>
      <c r="E53" s="24">
        <f t="shared" si="3"/>
        <v>942.77616693511266</v>
      </c>
      <c r="F53" s="29">
        <f t="shared" si="4"/>
        <v>0.88</v>
      </c>
      <c r="G53" s="109">
        <f t="shared" si="5"/>
        <v>-7.3152278446800594</v>
      </c>
      <c r="H53" s="24">
        <f t="shared" si="23"/>
        <v>756.56024589928256</v>
      </c>
      <c r="I53" s="29">
        <f t="shared" si="6"/>
        <v>0.88</v>
      </c>
      <c r="J53" s="109">
        <f t="shared" si="7"/>
        <v>-7.1305723684645246</v>
      </c>
      <c r="K53" s="24">
        <f t="shared" si="8"/>
        <v>700.48</v>
      </c>
      <c r="L53" s="29">
        <f t="shared" si="9"/>
        <v>0.88</v>
      </c>
      <c r="M53" s="109">
        <f t="shared" si="10"/>
        <v>-7.0400000001354623</v>
      </c>
      <c r="N53" s="24">
        <f t="shared" si="11"/>
        <v>657.70232430031206</v>
      </c>
      <c r="O53" s="29">
        <f t="shared" si="12"/>
        <v>0.88</v>
      </c>
      <c r="P53" s="109">
        <f t="shared" si="13"/>
        <v>-6.9505780796419447</v>
      </c>
      <c r="Q53" s="24">
        <f t="shared" si="14"/>
        <v>596.93532409028785</v>
      </c>
      <c r="R53" s="29">
        <f t="shared" si="15"/>
        <v>0.87999999999999989</v>
      </c>
      <c r="S53" s="109">
        <f t="shared" si="16"/>
        <v>-6.7751273167293098</v>
      </c>
      <c r="T53" s="24">
        <f t="shared" si="17"/>
        <v>555.97134444134213</v>
      </c>
      <c r="U53" s="29">
        <f t="shared" si="18"/>
        <v>0.87999999999999989</v>
      </c>
      <c r="V53" s="109">
        <f t="shared" si="19"/>
        <v>-6.6041053897617354</v>
      </c>
      <c r="W53" s="24">
        <f t="shared" si="20"/>
        <v>495.31415808555278</v>
      </c>
      <c r="X53" s="29">
        <f t="shared" si="21"/>
        <v>0.87999999999999989</v>
      </c>
      <c r="Y53" s="109">
        <f t="shared" si="22"/>
        <v>-6.1951999999844141</v>
      </c>
    </row>
    <row r="54" spans="1:25">
      <c r="A54" s="22">
        <v>45</v>
      </c>
      <c r="B54" s="29">
        <f t="shared" si="0"/>
        <v>1432.8</v>
      </c>
      <c r="C54" s="29">
        <f t="shared" si="1"/>
        <v>0.9</v>
      </c>
      <c r="D54" s="109">
        <f t="shared" si="2"/>
        <v>-7.5894663843781842</v>
      </c>
      <c r="E54" s="24">
        <f t="shared" si="3"/>
        <v>964.2028980018199</v>
      </c>
      <c r="F54" s="29">
        <f t="shared" si="4"/>
        <v>0.90000000000000013</v>
      </c>
      <c r="G54" s="109">
        <f t="shared" si="5"/>
        <v>-7.4312135815042231</v>
      </c>
      <c r="H54" s="24">
        <f t="shared" si="23"/>
        <v>773.75479694244814</v>
      </c>
      <c r="I54" s="29">
        <f t="shared" si="6"/>
        <v>0.9</v>
      </c>
      <c r="J54" s="109">
        <f t="shared" si="7"/>
        <v>-7.276260609038383</v>
      </c>
      <c r="K54" s="24">
        <f t="shared" si="8"/>
        <v>716.4</v>
      </c>
      <c r="L54" s="29">
        <f t="shared" si="9"/>
        <v>0.9</v>
      </c>
      <c r="M54" s="109">
        <f t="shared" si="10"/>
        <v>-7.2000000002273703</v>
      </c>
      <c r="N54" s="24">
        <f t="shared" si="11"/>
        <v>672.65010439804644</v>
      </c>
      <c r="O54" s="29">
        <f t="shared" si="12"/>
        <v>0.9</v>
      </c>
      <c r="P54" s="109">
        <f t="shared" si="13"/>
        <v>-7.1245386588953901</v>
      </c>
      <c r="Q54" s="24">
        <f t="shared" si="14"/>
        <v>610.50203600143084</v>
      </c>
      <c r="R54" s="29">
        <f t="shared" si="15"/>
        <v>0.9</v>
      </c>
      <c r="S54" s="109">
        <f t="shared" si="16"/>
        <v>-6.9759803606905635</v>
      </c>
      <c r="T54" s="24">
        <f t="shared" si="17"/>
        <v>568.60705681500906</v>
      </c>
      <c r="U54" s="29">
        <f t="shared" si="18"/>
        <v>0.9</v>
      </c>
      <c r="V54" s="109">
        <f t="shared" si="19"/>
        <v>-6.8305197460971128</v>
      </c>
      <c r="W54" s="24">
        <f t="shared" si="20"/>
        <v>506.5712980420426</v>
      </c>
      <c r="X54" s="29">
        <f t="shared" si="21"/>
        <v>0.89999999999999991</v>
      </c>
      <c r="Y54" s="109">
        <f t="shared" si="22"/>
        <v>-6.4799999999475135</v>
      </c>
    </row>
    <row r="55" spans="1:25">
      <c r="A55" s="22">
        <v>46</v>
      </c>
      <c r="B55" s="29">
        <f t="shared" si="0"/>
        <v>1464.64</v>
      </c>
      <c r="C55" s="29">
        <f t="shared" si="1"/>
        <v>0.92</v>
      </c>
      <c r="D55" s="109">
        <f t="shared" si="2"/>
        <v>-7.6733304376096418</v>
      </c>
      <c r="E55" s="24">
        <f t="shared" si="3"/>
        <v>985.62962906852681</v>
      </c>
      <c r="F55" s="29">
        <f t="shared" si="4"/>
        <v>0.91999999999999993</v>
      </c>
      <c r="G55" s="109">
        <f t="shared" si="5"/>
        <v>-7.546428578791601</v>
      </c>
      <c r="H55" s="24">
        <f t="shared" si="23"/>
        <v>790.9493479856136</v>
      </c>
      <c r="I55" s="29">
        <f t="shared" si="6"/>
        <v>0.91999999999999993</v>
      </c>
      <c r="J55" s="109">
        <f t="shared" si="7"/>
        <v>-7.4216254281022769</v>
      </c>
      <c r="K55" s="24">
        <f t="shared" si="8"/>
        <v>732.32</v>
      </c>
      <c r="L55" s="29">
        <f t="shared" si="9"/>
        <v>0.92</v>
      </c>
      <c r="M55" s="109">
        <f t="shared" si="10"/>
        <v>-7.3599999998714569</v>
      </c>
      <c r="N55" s="24">
        <f t="shared" si="11"/>
        <v>687.5978844957807</v>
      </c>
      <c r="O55" s="29">
        <f t="shared" si="12"/>
        <v>0.91999999999999993</v>
      </c>
      <c r="P55" s="109">
        <f t="shared" si="13"/>
        <v>-7.2988862776624854</v>
      </c>
      <c r="Q55" s="24">
        <f t="shared" si="14"/>
        <v>624.06874791257371</v>
      </c>
      <c r="R55" s="29">
        <f t="shared" si="15"/>
        <v>0.92</v>
      </c>
      <c r="S55" s="109">
        <f t="shared" si="16"/>
        <v>-7.1781769924752226</v>
      </c>
      <c r="T55" s="24">
        <f t="shared" si="17"/>
        <v>581.24276918867588</v>
      </c>
      <c r="U55" s="29">
        <f t="shared" si="18"/>
        <v>0.91999999999999993</v>
      </c>
      <c r="V55" s="109">
        <f t="shared" si="19"/>
        <v>-7.0594640022584549</v>
      </c>
      <c r="W55" s="24">
        <f t="shared" si="20"/>
        <v>517.82843799853242</v>
      </c>
      <c r="X55" s="29">
        <f t="shared" si="21"/>
        <v>0.91999999999999993</v>
      </c>
      <c r="Y55" s="109">
        <f t="shared" si="22"/>
        <v>-6.7712000000451855</v>
      </c>
    </row>
    <row r="56" spans="1:25">
      <c r="A56" s="22">
        <v>47</v>
      </c>
      <c r="B56" s="29">
        <f t="shared" si="0"/>
        <v>1496.48</v>
      </c>
      <c r="C56" s="29">
        <f t="shared" si="1"/>
        <v>0.94000000000000006</v>
      </c>
      <c r="D56" s="109">
        <f t="shared" si="2"/>
        <v>-7.7562877706433069</v>
      </c>
      <c r="E56" s="24">
        <f t="shared" si="3"/>
        <v>1007.0563601352339</v>
      </c>
      <c r="F56" s="29">
        <f t="shared" si="4"/>
        <v>0.94</v>
      </c>
      <c r="G56" s="109">
        <f t="shared" si="5"/>
        <v>-7.6608945517886458</v>
      </c>
      <c r="H56" s="24">
        <f t="shared" si="23"/>
        <v>808.14389902877917</v>
      </c>
      <c r="I56" s="29">
        <f t="shared" si="6"/>
        <v>0.94000000000000006</v>
      </c>
      <c r="J56" s="109">
        <f t="shared" si="7"/>
        <v>-7.566674555424437</v>
      </c>
      <c r="K56" s="24">
        <f t="shared" si="8"/>
        <v>748.24</v>
      </c>
      <c r="L56" s="29">
        <f t="shared" si="9"/>
        <v>0.94000000000000006</v>
      </c>
      <c r="M56" s="109">
        <f t="shared" si="10"/>
        <v>-7.5199999997662399</v>
      </c>
      <c r="N56" s="24">
        <f t="shared" si="11"/>
        <v>702.54566459351508</v>
      </c>
      <c r="O56" s="29">
        <f t="shared" si="12"/>
        <v>0.94</v>
      </c>
      <c r="P56" s="109">
        <f t="shared" si="13"/>
        <v>-7.4736133539833132</v>
      </c>
      <c r="Q56" s="24">
        <f t="shared" si="14"/>
        <v>637.63545982371659</v>
      </c>
      <c r="R56" s="29">
        <f t="shared" si="15"/>
        <v>0.94</v>
      </c>
      <c r="S56" s="109">
        <f t="shared" si="16"/>
        <v>-7.3816966964911872</v>
      </c>
      <c r="T56" s="24">
        <f t="shared" si="17"/>
        <v>593.87848156234281</v>
      </c>
      <c r="U56" s="29">
        <f t="shared" si="18"/>
        <v>0.94000000000000006</v>
      </c>
      <c r="V56" s="109">
        <f t="shared" si="19"/>
        <v>-7.2909105054255212</v>
      </c>
      <c r="W56" s="24">
        <f t="shared" si="20"/>
        <v>529.08557795502236</v>
      </c>
      <c r="X56" s="29">
        <f t="shared" si="21"/>
        <v>0.94000000000000006</v>
      </c>
      <c r="Y56" s="109">
        <f t="shared" si="22"/>
        <v>-7.0687999999188849</v>
      </c>
    </row>
    <row r="57" spans="1:25">
      <c r="A57" s="22">
        <v>48</v>
      </c>
      <c r="B57" s="29">
        <f t="shared" si="0"/>
        <v>1528.32</v>
      </c>
      <c r="C57" s="29">
        <f t="shared" si="1"/>
        <v>0.96</v>
      </c>
      <c r="D57" s="109">
        <f t="shared" si="2"/>
        <v>-7.8383671784099578</v>
      </c>
      <c r="E57" s="24">
        <f t="shared" si="3"/>
        <v>1028.4830912019411</v>
      </c>
      <c r="F57" s="29">
        <f t="shared" si="4"/>
        <v>0.96</v>
      </c>
      <c r="G57" s="109">
        <f t="shared" si="5"/>
        <v>-7.7746321550559658</v>
      </c>
      <c r="H57" s="24">
        <f t="shared" si="23"/>
        <v>825.33845007194464</v>
      </c>
      <c r="I57" s="29">
        <f t="shared" si="6"/>
        <v>0.96</v>
      </c>
      <c r="J57" s="109">
        <f t="shared" si="7"/>
        <v>-7.7114153694809522</v>
      </c>
      <c r="K57" s="24">
        <f t="shared" si="8"/>
        <v>764.16</v>
      </c>
      <c r="L57" s="29">
        <f t="shared" si="9"/>
        <v>0.96</v>
      </c>
      <c r="M57" s="109">
        <f t="shared" si="10"/>
        <v>-7.6799999989098442</v>
      </c>
      <c r="N57" s="24">
        <f t="shared" si="11"/>
        <v>717.49344469124946</v>
      </c>
      <c r="O57" s="29">
        <f t="shared" si="12"/>
        <v>0.96</v>
      </c>
      <c r="P57" s="109">
        <f t="shared" si="13"/>
        <v>-7.6487126122364346</v>
      </c>
      <c r="Q57" s="24">
        <f t="shared" si="14"/>
        <v>651.20217173485946</v>
      </c>
      <c r="R57" s="29">
        <f t="shared" si="15"/>
        <v>0.96</v>
      </c>
      <c r="S57" s="109">
        <f t="shared" si="16"/>
        <v>-7.5865197016360648</v>
      </c>
      <c r="T57" s="24">
        <f t="shared" si="17"/>
        <v>606.51419393600963</v>
      </c>
      <c r="U57" s="29">
        <f t="shared" si="18"/>
        <v>0.96</v>
      </c>
      <c r="V57" s="109">
        <f t="shared" si="19"/>
        <v>-7.524832490180164</v>
      </c>
      <c r="W57" s="24">
        <f t="shared" si="20"/>
        <v>540.34271791151218</v>
      </c>
      <c r="X57" s="29">
        <f t="shared" si="21"/>
        <v>0.96000000000000008</v>
      </c>
      <c r="Y57" s="109">
        <f t="shared" si="22"/>
        <v>-7.372800000052508</v>
      </c>
    </row>
    <row r="58" spans="1:25">
      <c r="A58" s="22">
        <v>49</v>
      </c>
      <c r="B58" s="29">
        <f t="shared" si="0"/>
        <v>1560.16</v>
      </c>
      <c r="C58" s="29">
        <f t="shared" si="1"/>
        <v>0.98000000000000009</v>
      </c>
      <c r="D58" s="109">
        <f t="shared" si="2"/>
        <v>-7.9195959501417645</v>
      </c>
      <c r="E58" s="24">
        <f t="shared" si="3"/>
        <v>1049.9098222686482</v>
      </c>
      <c r="F58" s="29">
        <f t="shared" si="4"/>
        <v>0.98</v>
      </c>
      <c r="G58" s="109">
        <f t="shared" si="5"/>
        <v>-7.8876610525502064</v>
      </c>
      <c r="H58" s="24">
        <f t="shared" si="23"/>
        <v>842.5330011151101</v>
      </c>
      <c r="I58" s="29">
        <f t="shared" si="6"/>
        <v>0.98</v>
      </c>
      <c r="J58" s="109">
        <f t="shared" si="7"/>
        <v>-7.8558549316827131</v>
      </c>
      <c r="K58" s="24">
        <f t="shared" si="8"/>
        <v>780.08</v>
      </c>
      <c r="L58" s="29">
        <f t="shared" si="9"/>
        <v>0.98000000000000009</v>
      </c>
      <c r="M58" s="109">
        <f t="shared" si="10"/>
        <v>-7.8400000008618171</v>
      </c>
      <c r="N58" s="24">
        <f t="shared" si="11"/>
        <v>732.44122478898385</v>
      </c>
      <c r="O58" s="29">
        <f t="shared" si="12"/>
        <v>0.98</v>
      </c>
      <c r="P58" s="109">
        <f t="shared" si="13"/>
        <v>-7.8241770670009485</v>
      </c>
      <c r="Q58" s="24">
        <f t="shared" si="14"/>
        <v>664.76888364600234</v>
      </c>
      <c r="R58" s="29">
        <f t="shared" si="15"/>
        <v>0.97999999999999987</v>
      </c>
      <c r="S58" s="109">
        <f t="shared" si="16"/>
        <v>-7.7926269374695787</v>
      </c>
      <c r="T58" s="24">
        <f t="shared" si="17"/>
        <v>619.14990630967657</v>
      </c>
      <c r="U58" s="29">
        <f t="shared" si="18"/>
        <v>0.98000000000000009</v>
      </c>
      <c r="V58" s="109">
        <f t="shared" si="19"/>
        <v>-7.7612040305853434</v>
      </c>
      <c r="W58" s="24">
        <f t="shared" si="20"/>
        <v>551.599857868002</v>
      </c>
      <c r="X58" s="29">
        <f t="shared" si="21"/>
        <v>0.98</v>
      </c>
      <c r="Y58" s="109">
        <f t="shared" si="22"/>
        <v>-7.6831999998493616</v>
      </c>
    </row>
    <row r="59" spans="1:25">
      <c r="A59" s="22">
        <v>50</v>
      </c>
      <c r="B59" s="29">
        <f>D4*(LOG(D2)/LOG(D3))^(1/D5)</f>
        <v>1592</v>
      </c>
      <c r="C59" s="29">
        <f t="shared" si="1"/>
        <v>1</v>
      </c>
      <c r="D59" s="109">
        <f t="shared" si="2"/>
        <v>-7.9999999978177749</v>
      </c>
      <c r="E59" s="29">
        <f>G4*(LOG(G2)/LOG(G3))^(1/G5)</f>
        <v>1071.3365533353553</v>
      </c>
      <c r="F59" s="29">
        <f t="shared" si="4"/>
        <v>1</v>
      </c>
      <c r="G59" s="109">
        <f t="shared" si="5"/>
        <v>-7.9999999978177749</v>
      </c>
      <c r="H59" s="29">
        <f>J4*(LOG(J2)/LOG(J3))^(1/J5)</f>
        <v>859.72755215827567</v>
      </c>
      <c r="I59" s="29">
        <f t="shared" si="6"/>
        <v>1</v>
      </c>
      <c r="J59" s="109">
        <f t="shared" si="7"/>
        <v>-7.9999999978177749</v>
      </c>
      <c r="K59" s="29">
        <f>M4*(LOG(M2)/LOG(M3))^(1/M5)</f>
        <v>796</v>
      </c>
      <c r="L59" s="29">
        <f t="shared" si="9"/>
        <v>1</v>
      </c>
      <c r="M59" s="109">
        <f t="shared" si="10"/>
        <v>-7.9999999978177749</v>
      </c>
      <c r="N59" s="29">
        <f>P4*(LOG(P2)/LOG(P3))^(1/P5)</f>
        <v>747.38900488671823</v>
      </c>
      <c r="O59" s="29">
        <f t="shared" si="12"/>
        <v>1</v>
      </c>
      <c r="P59" s="109">
        <f t="shared" si="13"/>
        <v>-7.9999999978177749</v>
      </c>
      <c r="Q59" s="29">
        <f>S4*(LOG(S2)/LOG(S3))^(1/S5)</f>
        <v>678.33559555714533</v>
      </c>
      <c r="R59" s="29">
        <f t="shared" si="15"/>
        <v>1</v>
      </c>
      <c r="S59" s="109">
        <f t="shared" si="16"/>
        <v>-7.9999999978177749</v>
      </c>
      <c r="T59" s="29">
        <f>V4*(LOG(V2)/LOG(V3))^(1/V5)</f>
        <v>631.78561868334339</v>
      </c>
      <c r="U59" s="29">
        <f t="shared" si="18"/>
        <v>1</v>
      </c>
      <c r="V59" s="109">
        <f t="shared" si="19"/>
        <v>-7.9999999978177749</v>
      </c>
      <c r="W59" s="29">
        <f>Y4*(LOG(Y2)/LOG(Y3))^(1/Y5)</f>
        <v>562.85699782449183</v>
      </c>
      <c r="X59" s="29">
        <f t="shared" si="21"/>
        <v>1</v>
      </c>
      <c r="Y59" s="109">
        <f t="shared" si="22"/>
        <v>-7.9999999978177749</v>
      </c>
    </row>
    <row r="60" spans="1:25">
      <c r="E60" s="27"/>
      <c r="F60" s="27"/>
      <c r="H60" s="27"/>
      <c r="I60" s="27"/>
    </row>
    <row r="61" spans="1:25">
      <c r="E61" s="27"/>
      <c r="F61" s="27"/>
      <c r="H61" s="27"/>
      <c r="I61" s="27"/>
    </row>
    <row r="63" spans="1:25">
      <c r="A63" s="22">
        <v>50</v>
      </c>
      <c r="B63" s="29" t="e">
        <f>D8*(LOG(D6)/LOG(D7))^(1/D9)</f>
        <v>#VALUE!</v>
      </c>
      <c r="C63" s="29"/>
      <c r="D63" s="109" t="e">
        <f>1-WEIBULL(B63,$D$5,$D$6,TRUE)</f>
        <v>#VALUE!</v>
      </c>
      <c r="E63" s="29" t="e">
        <f>G8*(LOG(G6)/LOG(G7))^(1/G9)</f>
        <v>#VALUE!</v>
      </c>
      <c r="F63" s="29"/>
      <c r="G63" s="109" t="e">
        <f>1-WEIBULL(E63,G$5,G$6,TRUE)</f>
        <v>#VALUE!</v>
      </c>
      <c r="H63" s="29" t="e">
        <f>J8*(LOG(J6)/LOG(J7))^(1/J9)</f>
        <v>#VALUE!</v>
      </c>
      <c r="I63" s="29"/>
      <c r="J63" s="109" t="e">
        <f>1-WEIBULL(H63,J$5,J$6,TRUE)</f>
        <v>#VALUE!</v>
      </c>
      <c r="K63" s="29" t="e">
        <f>M8*(LOG(M6)/LOG(M7))^(1/M9)</f>
        <v>#VALUE!</v>
      </c>
      <c r="L63" s="29"/>
      <c r="M63" s="109" t="e">
        <f>1-WEIBULL(K63,M$5,M$6,TRUE)</f>
        <v>#VALUE!</v>
      </c>
      <c r="N63" s="29" t="e">
        <f>P8*(LOG(P6)/LOG(P7))^(1/P9)</f>
        <v>#VALUE!</v>
      </c>
      <c r="O63" s="29"/>
      <c r="P63" s="109" t="e">
        <f>1-WEIBULL(N63,P$5,P$6,TRUE)</f>
        <v>#VALUE!</v>
      </c>
      <c r="Q63" s="29" t="e">
        <f>S8*(LOG(S6)/LOG(S7))^(1/S9)</f>
        <v>#VALUE!</v>
      </c>
      <c r="R63" s="29"/>
      <c r="S63" s="109" t="e">
        <f>1-WEIBULL(Q63,S$5,S$6,TRUE)</f>
        <v>#VALUE!</v>
      </c>
    </row>
    <row r="67" spans="1:19">
      <c r="B67" t="s">
        <v>583</v>
      </c>
      <c r="D67" t="s">
        <v>585</v>
      </c>
      <c r="E67" t="s">
        <v>583</v>
      </c>
      <c r="G67" t="s">
        <v>585</v>
      </c>
      <c r="H67" t="s">
        <v>583</v>
      </c>
      <c r="J67" t="s">
        <v>585</v>
      </c>
      <c r="K67" t="s">
        <v>583</v>
      </c>
      <c r="M67" t="s">
        <v>585</v>
      </c>
      <c r="N67" t="s">
        <v>583</v>
      </c>
      <c r="P67" t="s">
        <v>585</v>
      </c>
      <c r="Q67" t="s">
        <v>583</v>
      </c>
      <c r="S67" t="s">
        <v>585</v>
      </c>
    </row>
    <row r="68" spans="1:19">
      <c r="A68" s="22">
        <v>0</v>
      </c>
      <c r="B68" s="29">
        <v>0</v>
      </c>
      <c r="C68" s="23">
        <v>0</v>
      </c>
      <c r="D68" s="109">
        <v>1</v>
      </c>
      <c r="E68" s="29">
        <v>0</v>
      </c>
      <c r="F68" s="23">
        <v>0</v>
      </c>
      <c r="G68" s="109">
        <v>1</v>
      </c>
      <c r="H68" s="29">
        <v>0</v>
      </c>
      <c r="I68" s="23">
        <v>0</v>
      </c>
      <c r="J68" s="109">
        <v>1</v>
      </c>
      <c r="K68" s="29">
        <v>0</v>
      </c>
      <c r="L68" s="23">
        <v>0</v>
      </c>
      <c r="M68" s="109">
        <v>1</v>
      </c>
      <c r="N68" s="29">
        <v>0</v>
      </c>
      <c r="O68" s="23">
        <v>0</v>
      </c>
      <c r="P68" s="109">
        <v>1</v>
      </c>
      <c r="Q68" s="29">
        <v>0</v>
      </c>
      <c r="R68" s="23">
        <v>0</v>
      </c>
      <c r="S68" s="109">
        <v>1</v>
      </c>
    </row>
    <row r="69" spans="1:19">
      <c r="A69" s="22">
        <v>1</v>
      </c>
      <c r="B69" s="29">
        <v>15.92</v>
      </c>
      <c r="C69" s="23">
        <v>0.02</v>
      </c>
      <c r="D69" s="109">
        <v>0.69183097091893642</v>
      </c>
      <c r="E69" s="29">
        <v>11.257139956489837</v>
      </c>
      <c r="F69" s="23">
        <v>0.02</v>
      </c>
      <c r="G69" s="109">
        <v>0.99265880687103081</v>
      </c>
      <c r="H69" s="29">
        <v>12.635712373666868</v>
      </c>
      <c r="I69" s="23">
        <v>0.02</v>
      </c>
      <c r="J69" s="109">
        <v>0.94923246447472454</v>
      </c>
      <c r="K69" s="29">
        <v>17.194551043165514</v>
      </c>
      <c r="L69" s="23">
        <v>0.02</v>
      </c>
      <c r="M69" s="109">
        <v>0.5799609841331671</v>
      </c>
      <c r="N69" s="29">
        <v>20.057943114326378</v>
      </c>
      <c r="O69" s="23">
        <v>0.02</v>
      </c>
      <c r="P69" s="109">
        <v>0.3754363579872404</v>
      </c>
      <c r="Q69" s="29">
        <v>31.84</v>
      </c>
      <c r="R69" s="23">
        <v>0.02</v>
      </c>
      <c r="S69" s="109">
        <v>7.3897398573925632E-2</v>
      </c>
    </row>
    <row r="70" spans="1:19">
      <c r="A70" s="22">
        <v>2</v>
      </c>
      <c r="B70" s="29">
        <v>31.84</v>
      </c>
      <c r="C70" s="23">
        <v>0.04</v>
      </c>
      <c r="D70" s="109">
        <v>0.47863009232263831</v>
      </c>
      <c r="E70" s="29">
        <v>22.514279912979674</v>
      </c>
      <c r="F70" s="23">
        <v>0.04</v>
      </c>
      <c r="G70" s="109">
        <v>0.97095700652882444</v>
      </c>
      <c r="H70" s="29">
        <v>25.271424747333736</v>
      </c>
      <c r="I70" s="23">
        <v>0.04</v>
      </c>
      <c r="J70" s="109">
        <v>0.86297854776697036</v>
      </c>
      <c r="K70" s="29">
        <v>34.389102086331029</v>
      </c>
      <c r="L70" s="23">
        <v>0.04</v>
      </c>
      <c r="M70" s="109">
        <v>0.36181495051854584</v>
      </c>
      <c r="N70" s="29">
        <v>40.115886228652755</v>
      </c>
      <c r="O70" s="23">
        <v>0.04</v>
      </c>
      <c r="P70" s="109">
        <v>0.19251219561595445</v>
      </c>
      <c r="Q70" s="29">
        <v>63.68</v>
      </c>
      <c r="R70" s="23">
        <v>0.04</v>
      </c>
      <c r="S70" s="109">
        <v>2.5118864315095801E-2</v>
      </c>
    </row>
    <row r="71" spans="1:19">
      <c r="A71" s="22">
        <v>3</v>
      </c>
      <c r="B71" s="29">
        <v>47.76</v>
      </c>
      <c r="C71" s="23">
        <v>0.06</v>
      </c>
      <c r="D71" s="109">
        <v>0.33113112148259105</v>
      </c>
      <c r="E71" s="29">
        <v>33.771419869469511</v>
      </c>
      <c r="F71" s="23">
        <v>0.06</v>
      </c>
      <c r="G71" s="109">
        <v>0.93583654358352997</v>
      </c>
      <c r="H71" s="29">
        <v>37.907137121000602</v>
      </c>
      <c r="I71" s="23">
        <v>0.06</v>
      </c>
      <c r="J71" s="109">
        <v>0.76282425287277722</v>
      </c>
      <c r="K71" s="29">
        <v>51.58365312949654</v>
      </c>
      <c r="L71" s="23">
        <v>0.06</v>
      </c>
      <c r="M71" s="109">
        <v>0.23123065052699909</v>
      </c>
      <c r="N71" s="29">
        <v>60.173829342979133</v>
      </c>
      <c r="O71" s="23">
        <v>0.06</v>
      </c>
      <c r="P71" s="109">
        <v>0.10718957716709876</v>
      </c>
      <c r="Q71" s="29">
        <v>95.52</v>
      </c>
      <c r="R71" s="23">
        <v>0.06</v>
      </c>
      <c r="S71" s="109">
        <v>1.097509291783183E-2</v>
      </c>
    </row>
    <row r="72" spans="1:19">
      <c r="A72" s="22">
        <v>4</v>
      </c>
      <c r="B72" s="29">
        <v>63.68</v>
      </c>
      <c r="C72" s="23">
        <v>0.08</v>
      </c>
      <c r="D72" s="109">
        <v>0.22908676527677718</v>
      </c>
      <c r="E72" s="29">
        <v>45.028559825959348</v>
      </c>
      <c r="F72" s="23">
        <v>0.08</v>
      </c>
      <c r="G72" s="109">
        <v>0.88879171988481998</v>
      </c>
      <c r="H72" s="29">
        <v>50.542849494667472</v>
      </c>
      <c r="I72" s="23">
        <v>0.08</v>
      </c>
      <c r="J72" s="109">
        <v>0.65914454766444708</v>
      </c>
      <c r="K72" s="29">
        <v>68.778204172662058</v>
      </c>
      <c r="L72" s="23">
        <v>0.08</v>
      </c>
      <c r="M72" s="109">
        <v>0.15000533049010634</v>
      </c>
      <c r="N72" s="29">
        <v>80.23177245730551</v>
      </c>
      <c r="O72" s="23">
        <v>0.08</v>
      </c>
      <c r="P72" s="109">
        <v>6.2604710299955513E-2</v>
      </c>
      <c r="Q72" s="29">
        <v>127.36</v>
      </c>
      <c r="R72" s="23">
        <v>0.08</v>
      </c>
      <c r="S72" s="109">
        <v>5.4608255159935837E-3</v>
      </c>
    </row>
    <row r="73" spans="1:19">
      <c r="A73" s="22">
        <v>5</v>
      </c>
      <c r="B73" s="29">
        <v>79.599999999999994</v>
      </c>
      <c r="C73" s="23">
        <v>0.1</v>
      </c>
      <c r="D73" s="109">
        <v>0.15848931924611132</v>
      </c>
      <c r="E73" s="29">
        <v>56.285699782449186</v>
      </c>
      <c r="F73" s="23">
        <v>0.1</v>
      </c>
      <c r="G73" s="109">
        <v>0.83176377110267097</v>
      </c>
      <c r="H73" s="29">
        <v>63.178561868334334</v>
      </c>
      <c r="I73" s="23">
        <v>0.1</v>
      </c>
      <c r="J73" s="109">
        <v>0.55849306819565869</v>
      </c>
      <c r="K73" s="29">
        <v>85.972755215827561</v>
      </c>
      <c r="L73" s="23">
        <v>0.1</v>
      </c>
      <c r="M73" s="109">
        <v>9.8369320299739327E-2</v>
      </c>
      <c r="N73" s="29">
        <v>100.2897155716319</v>
      </c>
      <c r="O73" s="23">
        <v>0.1</v>
      </c>
      <c r="P73" s="109">
        <v>3.7789963458359166E-2</v>
      </c>
      <c r="Q73" s="29">
        <v>159.19999999999999</v>
      </c>
      <c r="R73" s="23">
        <v>0.1</v>
      </c>
      <c r="S73" s="109">
        <v>2.9524181865416832E-3</v>
      </c>
    </row>
    <row r="74" spans="1:19">
      <c r="A74" s="22">
        <v>6</v>
      </c>
      <c r="B74" s="29">
        <v>95.52</v>
      </c>
      <c r="C74" s="23">
        <v>0.12</v>
      </c>
      <c r="D74" s="109">
        <v>0.10964781961431846</v>
      </c>
      <c r="E74" s="29">
        <v>67.542839738939023</v>
      </c>
      <c r="F74" s="23">
        <v>0.12</v>
      </c>
      <c r="G74" s="109">
        <v>0.76700818769350976</v>
      </c>
      <c r="H74" s="29">
        <v>75.814274242001204</v>
      </c>
      <c r="I74" s="23">
        <v>0.12</v>
      </c>
      <c r="J74" s="109">
        <v>0.46499281784683189</v>
      </c>
      <c r="K74" s="29">
        <v>103.16730625899308</v>
      </c>
      <c r="L74" s="23">
        <v>0.12</v>
      </c>
      <c r="M74" s="109">
        <v>6.5052914114953286E-2</v>
      </c>
      <c r="N74" s="29">
        <v>120.34765868595827</v>
      </c>
      <c r="O74" s="23">
        <v>0.12</v>
      </c>
      <c r="P74" s="109">
        <v>2.3383931220081977E-2</v>
      </c>
      <c r="Q74" s="29">
        <v>191.04</v>
      </c>
      <c r="R74" s="23">
        <v>0.12</v>
      </c>
      <c r="S74" s="109">
        <v>1.6932407348373424E-3</v>
      </c>
    </row>
    <row r="75" spans="1:19">
      <c r="A75" s="22">
        <v>7</v>
      </c>
      <c r="B75" s="29">
        <v>111.44</v>
      </c>
      <c r="C75" s="23">
        <v>0.14000000000000001</v>
      </c>
      <c r="D75" s="109">
        <v>7.5857757502918344E-2</v>
      </c>
      <c r="E75" s="29">
        <v>78.79997969542886</v>
      </c>
      <c r="F75" s="23">
        <v>0.14000000000000001</v>
      </c>
      <c r="G75" s="109">
        <v>0.6969473963563203</v>
      </c>
      <c r="H75" s="29">
        <v>88.449986615668081</v>
      </c>
      <c r="I75" s="23">
        <v>0.14000000000000001</v>
      </c>
      <c r="J75" s="109">
        <v>0.38100824394058574</v>
      </c>
      <c r="K75" s="29">
        <v>120.36185730215858</v>
      </c>
      <c r="L75" s="23">
        <v>0.14000000000000001</v>
      </c>
      <c r="M75" s="109">
        <v>4.331683616728832E-2</v>
      </c>
      <c r="N75" s="29">
        <v>140.40560180028467</v>
      </c>
      <c r="O75" s="23">
        <v>0.14000000000000001</v>
      </c>
      <c r="P75" s="109">
        <v>1.4757399206369981E-2</v>
      </c>
      <c r="Q75" s="29">
        <v>222.88</v>
      </c>
      <c r="R75" s="23">
        <v>0.14000000000000001</v>
      </c>
      <c r="S75" s="109">
        <v>1.015486351205519E-3</v>
      </c>
    </row>
    <row r="76" spans="1:19">
      <c r="A76" s="22">
        <v>8</v>
      </c>
      <c r="B76" s="29">
        <v>127.36</v>
      </c>
      <c r="C76" s="23">
        <v>0.16</v>
      </c>
      <c r="D76" s="109">
        <v>5.248074602497721E-2</v>
      </c>
      <c r="E76" s="29">
        <v>90.057119651918697</v>
      </c>
      <c r="F76" s="23">
        <v>0.16</v>
      </c>
      <c r="G76" s="109">
        <v>0.62402214213897655</v>
      </c>
      <c r="H76" s="29">
        <v>101.08569898933494</v>
      </c>
      <c r="I76" s="23">
        <v>0.16</v>
      </c>
      <c r="J76" s="109">
        <v>0.30760968147407097</v>
      </c>
      <c r="K76" s="29">
        <v>137.55640834532412</v>
      </c>
      <c r="L76" s="23">
        <v>0.16</v>
      </c>
      <c r="M76" s="109">
        <v>2.9010868099746845E-2</v>
      </c>
      <c r="N76" s="29">
        <v>160.46354491461102</v>
      </c>
      <c r="O76" s="23">
        <v>0.16</v>
      </c>
      <c r="P76" s="109">
        <v>9.4654724874165819E-3</v>
      </c>
      <c r="Q76" s="29">
        <v>254.72</v>
      </c>
      <c r="R76" s="23">
        <v>0.16</v>
      </c>
      <c r="S76" s="109">
        <v>6.3095734448015417E-4</v>
      </c>
    </row>
    <row r="77" spans="1:19">
      <c r="A77" s="22">
        <v>9</v>
      </c>
      <c r="B77" s="29">
        <v>143.28</v>
      </c>
      <c r="C77" s="23">
        <v>0.18</v>
      </c>
      <c r="D77" s="109">
        <v>3.6307805477010069E-2</v>
      </c>
      <c r="E77" s="29">
        <v>101.31425960840853</v>
      </c>
      <c r="F77" s="23">
        <v>0.18</v>
      </c>
      <c r="G77" s="109">
        <v>0.55055409848479453</v>
      </c>
      <c r="H77" s="29">
        <v>113.72141136300181</v>
      </c>
      <c r="I77" s="23">
        <v>0.18</v>
      </c>
      <c r="J77" s="109">
        <v>0.24494001553701239</v>
      </c>
      <c r="K77" s="29">
        <v>154.75095938848963</v>
      </c>
      <c r="L77" s="23">
        <v>0.18</v>
      </c>
      <c r="M77" s="109">
        <v>1.9526899490106553E-2</v>
      </c>
      <c r="N77" s="29">
        <v>180.52148802893743</v>
      </c>
      <c r="O77" s="23">
        <v>0.18</v>
      </c>
      <c r="P77" s="109">
        <v>6.1549695856009112E-3</v>
      </c>
      <c r="Q77" s="29">
        <v>286.56</v>
      </c>
      <c r="R77" s="23">
        <v>0.18</v>
      </c>
      <c r="S77" s="109">
        <v>4.0354079969806556E-4</v>
      </c>
    </row>
    <row r="78" spans="1:19">
      <c r="A78" s="22">
        <v>10</v>
      </c>
      <c r="B78" s="29">
        <v>159.19999999999999</v>
      </c>
      <c r="C78" s="23">
        <v>0.2</v>
      </c>
      <c r="D78" s="109">
        <v>2.5118864315095801E-2</v>
      </c>
      <c r="E78" s="29">
        <v>112.57139956489837</v>
      </c>
      <c r="F78" s="23">
        <v>0.2</v>
      </c>
      <c r="G78" s="109">
        <v>0.47863009232263831</v>
      </c>
      <c r="H78" s="29">
        <v>126.35712373666867</v>
      </c>
      <c r="I78" s="23">
        <v>0.2</v>
      </c>
      <c r="J78" s="109">
        <v>0.19251219561595445</v>
      </c>
      <c r="K78" s="29">
        <v>171.94551043165512</v>
      </c>
      <c r="L78" s="23">
        <v>0.2</v>
      </c>
      <c r="M78" s="109">
        <v>1.3201086934136907E-2</v>
      </c>
      <c r="N78" s="29">
        <v>200.5794311432638</v>
      </c>
      <c r="O78" s="23">
        <v>0.2</v>
      </c>
      <c r="P78" s="109">
        <v>4.0498780883979624E-3</v>
      </c>
      <c r="Q78" s="29">
        <v>318.39999999999998</v>
      </c>
      <c r="R78" s="23">
        <v>0.2</v>
      </c>
      <c r="S78" s="109">
        <v>2.6441813394773028E-4</v>
      </c>
    </row>
    <row r="79" spans="1:19">
      <c r="A79" s="22">
        <v>11</v>
      </c>
      <c r="B79" s="29">
        <v>175.12</v>
      </c>
      <c r="C79" s="23">
        <v>0.22</v>
      </c>
      <c r="D79" s="109">
        <v>1.7378008287493696E-2</v>
      </c>
      <c r="E79" s="29">
        <v>123.82853952138819</v>
      </c>
      <c r="F79" s="23">
        <v>0.22</v>
      </c>
      <c r="G79" s="109">
        <v>0.41001524050661331</v>
      </c>
      <c r="H79" s="29">
        <v>138.99283611033553</v>
      </c>
      <c r="I79" s="23">
        <v>0.22</v>
      </c>
      <c r="J79" s="109">
        <v>0.14944687090152875</v>
      </c>
      <c r="K79" s="29">
        <v>189.14006147482064</v>
      </c>
      <c r="L79" s="23">
        <v>0.22</v>
      </c>
      <c r="M79" s="109">
        <v>8.9594389078455627E-3</v>
      </c>
      <c r="N79" s="29">
        <v>220.63737425759015</v>
      </c>
      <c r="O79" s="23">
        <v>0.22</v>
      </c>
      <c r="P79" s="109">
        <v>2.6924930941385483E-3</v>
      </c>
      <c r="Q79" s="29">
        <v>350.24</v>
      </c>
      <c r="R79" s="23">
        <v>0.22</v>
      </c>
      <c r="S79" s="109">
        <v>1.7687538253785551E-4</v>
      </c>
    </row>
    <row r="80" spans="1:19">
      <c r="A80" s="22">
        <v>12</v>
      </c>
      <c r="B80" s="29">
        <v>191.04</v>
      </c>
      <c r="C80" s="23">
        <v>0.24</v>
      </c>
      <c r="D80" s="109">
        <v>1.2022644346174172E-2</v>
      </c>
      <c r="E80" s="29">
        <v>135.08567947787805</v>
      </c>
      <c r="F80" s="23">
        <v>0.24</v>
      </c>
      <c r="G80" s="109">
        <v>0.34609872548535248</v>
      </c>
      <c r="H80" s="29">
        <v>151.62854848400241</v>
      </c>
      <c r="I80" s="23">
        <v>0.24</v>
      </c>
      <c r="J80" s="109">
        <v>0.1146557761991176</v>
      </c>
      <c r="K80" s="29">
        <v>206.33461251798616</v>
      </c>
      <c r="L80" s="23">
        <v>0.24</v>
      </c>
      <c r="M80" s="109">
        <v>6.1020738930446239E-3</v>
      </c>
      <c r="N80" s="29">
        <v>240.69531737191653</v>
      </c>
      <c r="O80" s="23">
        <v>0.24</v>
      </c>
      <c r="P80" s="109">
        <v>1.8065799562586582E-3</v>
      </c>
      <c r="Q80" s="29">
        <v>382.08</v>
      </c>
      <c r="R80" s="23">
        <v>0.24</v>
      </c>
      <c r="S80" s="109">
        <v>1.2045266455507075E-4</v>
      </c>
    </row>
    <row r="81" spans="1:19">
      <c r="A81" s="22">
        <v>13</v>
      </c>
      <c r="B81" s="29">
        <v>206.96</v>
      </c>
      <c r="C81" s="23">
        <v>0.26</v>
      </c>
      <c r="D81" s="109">
        <v>8.3176377110266708E-3</v>
      </c>
      <c r="E81" s="29">
        <v>146.3428194343679</v>
      </c>
      <c r="F81" s="23">
        <v>0.26</v>
      </c>
      <c r="G81" s="109">
        <v>0.28787238108352486</v>
      </c>
      <c r="H81" s="29">
        <v>164.26426085766929</v>
      </c>
      <c r="I81" s="23">
        <v>0.26</v>
      </c>
      <c r="J81" s="109">
        <v>8.6976903312158904E-2</v>
      </c>
      <c r="K81" s="29">
        <v>223.52916356115168</v>
      </c>
      <c r="L81" s="23">
        <v>0.26</v>
      </c>
      <c r="M81" s="109">
        <v>4.1692702297146944E-3</v>
      </c>
      <c r="N81" s="29">
        <v>260.75326048624288</v>
      </c>
      <c r="O81" s="23">
        <v>0.26</v>
      </c>
      <c r="P81" s="109">
        <v>1.2221862954041596E-3</v>
      </c>
      <c r="Q81" s="29">
        <v>413.92</v>
      </c>
      <c r="R81" s="23">
        <v>0.26</v>
      </c>
      <c r="S81" s="109">
        <v>8.3326739599431932E-5</v>
      </c>
    </row>
    <row r="82" spans="1:19">
      <c r="A82" s="22">
        <v>14</v>
      </c>
      <c r="B82" s="29">
        <v>222.88</v>
      </c>
      <c r="C82" s="23">
        <v>0.28000000000000003</v>
      </c>
      <c r="D82" s="109">
        <v>5.7543993733715215E-3</v>
      </c>
      <c r="E82" s="29">
        <v>157.59995939085772</v>
      </c>
      <c r="F82" s="23">
        <v>0.28000000000000003</v>
      </c>
      <c r="G82" s="109">
        <v>0.23593914430440477</v>
      </c>
      <c r="H82" s="29">
        <v>176.89997323133616</v>
      </c>
      <c r="I82" s="23">
        <v>0.28000000000000003</v>
      </c>
      <c r="J82" s="109">
        <v>6.5268467054813484E-2</v>
      </c>
      <c r="K82" s="29">
        <v>240.72371460431717</v>
      </c>
      <c r="L82" s="23">
        <v>0.28000000000000003</v>
      </c>
      <c r="M82" s="109">
        <v>2.8570082723343715E-3</v>
      </c>
      <c r="N82" s="29">
        <v>280.81120360056934</v>
      </c>
      <c r="O82" s="23">
        <v>0.28000000000000003</v>
      </c>
      <c r="P82" s="109">
        <v>8.3301697619131421E-4</v>
      </c>
      <c r="Q82" s="29">
        <v>445.76</v>
      </c>
      <c r="R82" s="23">
        <v>0.28000000000000003</v>
      </c>
      <c r="S82" s="109">
        <v>5.8451801704828554E-5</v>
      </c>
    </row>
    <row r="83" spans="1:19">
      <c r="A83" s="22">
        <v>15</v>
      </c>
      <c r="B83" s="29">
        <v>238.8</v>
      </c>
      <c r="C83" s="23">
        <v>0.3</v>
      </c>
      <c r="D83" s="109">
        <v>3.9810717055349665E-3</v>
      </c>
      <c r="E83" s="29">
        <v>168.85709934734754</v>
      </c>
      <c r="F83" s="23">
        <v>0.3</v>
      </c>
      <c r="G83" s="109">
        <v>0.19054607179632477</v>
      </c>
      <c r="H83" s="29">
        <v>189.53568560500301</v>
      </c>
      <c r="I83" s="23">
        <v>0.3</v>
      </c>
      <c r="J83" s="109">
        <v>4.8469201158249597E-2</v>
      </c>
      <c r="K83" s="29">
        <v>257.91826564748271</v>
      </c>
      <c r="L83" s="23">
        <v>0.3</v>
      </c>
      <c r="M83" s="109">
        <v>1.9630542638886528E-3</v>
      </c>
      <c r="N83" s="29">
        <v>300.86914671489569</v>
      </c>
      <c r="O83" s="23">
        <v>0.3</v>
      </c>
      <c r="P83" s="109">
        <v>5.7163607483989853E-4</v>
      </c>
      <c r="Q83" s="29">
        <v>477.6</v>
      </c>
      <c r="R83" s="23">
        <v>0.3</v>
      </c>
      <c r="S83" s="109">
        <v>4.1516385884565743E-5</v>
      </c>
    </row>
    <row r="84" spans="1:19">
      <c r="A84" s="22">
        <v>16</v>
      </c>
      <c r="B84" s="29">
        <v>254.72</v>
      </c>
      <c r="C84" s="23">
        <v>0.32</v>
      </c>
      <c r="D84" s="109">
        <v>2.7542287033381907E-3</v>
      </c>
      <c r="E84" s="29">
        <v>180.11423930383739</v>
      </c>
      <c r="F84" s="23">
        <v>0.32</v>
      </c>
      <c r="G84" s="109">
        <v>0.15163519007872883</v>
      </c>
      <c r="H84" s="29">
        <v>202.17139797866989</v>
      </c>
      <c r="I84" s="23">
        <v>0.32</v>
      </c>
      <c r="J84" s="109">
        <v>3.5632419456247955E-2</v>
      </c>
      <c r="K84" s="29">
        <v>275.11281669064823</v>
      </c>
      <c r="L84" s="23">
        <v>0.32</v>
      </c>
      <c r="M84" s="109">
        <v>1.3521873445613286E-3</v>
      </c>
      <c r="N84" s="29">
        <v>320.92708982922204</v>
      </c>
      <c r="O84" s="23">
        <v>0.32</v>
      </c>
      <c r="P84" s="109">
        <v>3.9472135769058614E-4</v>
      </c>
      <c r="Q84" s="29">
        <v>509.44</v>
      </c>
      <c r="R84" s="23">
        <v>0.32</v>
      </c>
      <c r="S84" s="109">
        <v>2.9820615316089594E-5</v>
      </c>
    </row>
    <row r="85" spans="1:19">
      <c r="A85" s="22">
        <v>17</v>
      </c>
      <c r="B85" s="29">
        <v>270.64</v>
      </c>
      <c r="C85" s="23">
        <v>0.34</v>
      </c>
      <c r="D85" s="109">
        <v>1.9054607179632699E-3</v>
      </c>
      <c r="E85" s="29">
        <v>191.37137926032722</v>
      </c>
      <c r="F85" s="23">
        <v>0.34</v>
      </c>
      <c r="G85" s="109">
        <v>0.11890496789850979</v>
      </c>
      <c r="H85" s="29">
        <v>214.80711035233674</v>
      </c>
      <c r="I85" s="23">
        <v>0.34</v>
      </c>
      <c r="J85" s="109">
        <v>2.5940663768786898E-2</v>
      </c>
      <c r="K85" s="29">
        <v>292.30736773381375</v>
      </c>
      <c r="L85" s="23">
        <v>0.34</v>
      </c>
      <c r="M85" s="109">
        <v>9.3357842943064817E-4</v>
      </c>
      <c r="N85" s="29">
        <v>340.98503294354845</v>
      </c>
      <c r="O85" s="23">
        <v>0.34</v>
      </c>
      <c r="P85" s="109">
        <v>2.7413018623589913E-4</v>
      </c>
      <c r="Q85" s="29">
        <v>541.28</v>
      </c>
      <c r="R85" s="23">
        <v>0.34</v>
      </c>
      <c r="S85" s="109">
        <v>2.1639064634593197E-5</v>
      </c>
    </row>
    <row r="86" spans="1:19">
      <c r="A86" s="22">
        <v>18</v>
      </c>
      <c r="B86" s="29">
        <v>286.56</v>
      </c>
      <c r="C86" s="23">
        <v>0.36</v>
      </c>
      <c r="D86" s="109">
        <v>1.3182567385564559E-3</v>
      </c>
      <c r="E86" s="29">
        <v>202.62851921681707</v>
      </c>
      <c r="F86" s="23">
        <v>0.36</v>
      </c>
      <c r="G86" s="109">
        <v>9.1875560166606252E-2</v>
      </c>
      <c r="H86" s="29">
        <v>227.44282272600361</v>
      </c>
      <c r="I86" s="23">
        <v>0.36</v>
      </c>
      <c r="J86" s="109">
        <v>1.8706821403657981E-2</v>
      </c>
      <c r="K86" s="29">
        <v>309.50191877697927</v>
      </c>
      <c r="L86" s="23">
        <v>0.36</v>
      </c>
      <c r="M86" s="109">
        <v>6.4596491666768507E-4</v>
      </c>
      <c r="N86" s="29">
        <v>361.04297605787485</v>
      </c>
      <c r="O86" s="23">
        <v>0.36</v>
      </c>
      <c r="P86" s="109">
        <v>1.9139737961593184E-4</v>
      </c>
      <c r="Q86" s="29">
        <v>573.12</v>
      </c>
      <c r="R86" s="23">
        <v>0.36</v>
      </c>
      <c r="S86" s="109">
        <v>1.5848931924633547E-5</v>
      </c>
    </row>
    <row r="87" spans="1:19">
      <c r="A87" s="22">
        <v>19</v>
      </c>
      <c r="B87" s="29">
        <v>302.48</v>
      </c>
      <c r="C87" s="23">
        <v>0.38</v>
      </c>
      <c r="D87" s="109">
        <v>9.1201083935588123E-4</v>
      </c>
      <c r="E87" s="29">
        <v>213.88565917330689</v>
      </c>
      <c r="F87" s="23">
        <v>0.38</v>
      </c>
      <c r="G87" s="109">
        <v>6.9951978105121326E-2</v>
      </c>
      <c r="H87" s="29">
        <v>240.07853509967049</v>
      </c>
      <c r="I87" s="23">
        <v>0.38</v>
      </c>
      <c r="J87" s="109">
        <v>1.336651355361429E-2</v>
      </c>
      <c r="K87" s="29">
        <v>326.69646982014473</v>
      </c>
      <c r="L87" s="23">
        <v>0.38</v>
      </c>
      <c r="M87" s="109">
        <v>4.4787171360938238E-4</v>
      </c>
      <c r="N87" s="29">
        <v>381.1009191722012</v>
      </c>
      <c r="O87" s="23">
        <v>0.38</v>
      </c>
      <c r="P87" s="109">
        <v>1.342976243312588E-4</v>
      </c>
      <c r="Q87" s="29">
        <v>604.96</v>
      </c>
      <c r="R87" s="23">
        <v>0.38</v>
      </c>
      <c r="S87" s="109">
        <v>1.1707624845480602E-5</v>
      </c>
    </row>
    <row r="88" spans="1:19">
      <c r="A88" s="22">
        <v>20</v>
      </c>
      <c r="B88" s="29">
        <v>318.39999999999998</v>
      </c>
      <c r="C88" s="23">
        <v>0.4</v>
      </c>
      <c r="D88" s="109">
        <v>6.3095734448015417E-4</v>
      </c>
      <c r="E88" s="29">
        <v>225.14279912979674</v>
      </c>
      <c r="F88" s="23">
        <v>0.4</v>
      </c>
      <c r="G88" s="109">
        <v>5.248074602497721E-2</v>
      </c>
      <c r="H88" s="29">
        <v>252.71424747333734</v>
      </c>
      <c r="I88" s="23">
        <v>0.4</v>
      </c>
      <c r="J88" s="109">
        <v>9.4654724874165819E-3</v>
      </c>
      <c r="K88" s="29">
        <v>343.89102086331025</v>
      </c>
      <c r="L88" s="23">
        <v>0.4</v>
      </c>
      <c r="M88" s="109">
        <v>3.11124115938477E-4</v>
      </c>
      <c r="N88" s="29">
        <v>401.15886228652761</v>
      </c>
      <c r="O88" s="23">
        <v>0.4</v>
      </c>
      <c r="P88" s="109">
        <v>9.4670141232433558E-5</v>
      </c>
      <c r="Q88" s="29">
        <v>636.79999999999995</v>
      </c>
      <c r="R88" s="23">
        <v>0.4</v>
      </c>
      <c r="S88" s="109">
        <v>8.7167731481763155E-6</v>
      </c>
    </row>
    <row r="89" spans="1:19">
      <c r="A89" s="22">
        <v>21</v>
      </c>
      <c r="B89" s="29">
        <v>334.32</v>
      </c>
      <c r="C89" s="23">
        <v>0.42</v>
      </c>
      <c r="D89" s="109">
        <v>4.3651583224013635E-4</v>
      </c>
      <c r="E89" s="29">
        <v>236.39993908628657</v>
      </c>
      <c r="F89" s="23">
        <v>0.42</v>
      </c>
      <c r="G89" s="109">
        <v>3.8797165729369087E-2</v>
      </c>
      <c r="H89" s="29">
        <v>265.34995984700419</v>
      </c>
      <c r="I89" s="23">
        <v>0.42</v>
      </c>
      <c r="J89" s="109">
        <v>6.6446349367126345E-3</v>
      </c>
      <c r="K89" s="29">
        <v>361.08557190647582</v>
      </c>
      <c r="L89" s="23">
        <v>0.42</v>
      </c>
      <c r="M89" s="109">
        <v>2.1652257673510089E-4</v>
      </c>
      <c r="N89" s="29">
        <v>421.2168054008539</v>
      </c>
      <c r="O89" s="23">
        <v>0.42</v>
      </c>
      <c r="P89" s="109">
        <v>6.7026258380065151E-5</v>
      </c>
      <c r="Q89" s="29">
        <v>668.64</v>
      </c>
      <c r="R89" s="23">
        <v>0.42</v>
      </c>
      <c r="S89" s="109">
        <v>6.5374358648728759E-6</v>
      </c>
    </row>
    <row r="90" spans="1:19">
      <c r="A90" s="22">
        <v>22</v>
      </c>
      <c r="B90" s="29">
        <v>350.24</v>
      </c>
      <c r="C90" s="23">
        <v>0.44</v>
      </c>
      <c r="D90" s="109">
        <v>3.0199517204021475E-4</v>
      </c>
      <c r="E90" s="29">
        <v>247.65707904277639</v>
      </c>
      <c r="F90" s="23">
        <v>0.44</v>
      </c>
      <c r="G90" s="109">
        <v>2.826181179810161E-2</v>
      </c>
      <c r="H90" s="29">
        <v>277.98567222067106</v>
      </c>
      <c r="I90" s="23">
        <v>0.44</v>
      </c>
      <c r="J90" s="109">
        <v>4.6248339834416008E-3</v>
      </c>
      <c r="K90" s="29">
        <v>378.28012294964128</v>
      </c>
      <c r="L90" s="23">
        <v>0.44</v>
      </c>
      <c r="M90" s="109">
        <v>1.5094574709506592E-4</v>
      </c>
      <c r="N90" s="29">
        <v>441.27474851518031</v>
      </c>
      <c r="O90" s="23">
        <v>0.44</v>
      </c>
      <c r="P90" s="109">
        <v>4.7648850446502244E-5</v>
      </c>
      <c r="Q90" s="29">
        <v>700.48</v>
      </c>
      <c r="R90" s="23">
        <v>0.44</v>
      </c>
      <c r="S90" s="109">
        <v>4.9362862432067445E-6</v>
      </c>
    </row>
    <row r="91" spans="1:19">
      <c r="A91" s="22">
        <v>23</v>
      </c>
      <c r="B91" s="29">
        <v>366.16</v>
      </c>
      <c r="C91" s="23">
        <v>0.46</v>
      </c>
      <c r="D91" s="109">
        <v>2.089296130853846E-4</v>
      </c>
      <c r="E91" s="29">
        <v>258.91421899926621</v>
      </c>
      <c r="F91" s="23">
        <v>0.46</v>
      </c>
      <c r="G91" s="109">
        <v>2.0286167169662916E-2</v>
      </c>
      <c r="H91" s="29">
        <v>290.62138459433794</v>
      </c>
      <c r="I91" s="23">
        <v>0.46</v>
      </c>
      <c r="J91" s="109">
        <v>3.1922916813920121E-3</v>
      </c>
      <c r="K91" s="29">
        <v>395.4746739928068</v>
      </c>
      <c r="L91" s="23">
        <v>0.46</v>
      </c>
      <c r="M91" s="109">
        <v>1.0540213511944785E-4</v>
      </c>
      <c r="N91" s="29">
        <v>461.33269162950671</v>
      </c>
      <c r="O91" s="23">
        <v>0.46</v>
      </c>
      <c r="P91" s="109">
        <v>3.4004390776609661E-5</v>
      </c>
      <c r="Q91" s="29">
        <v>732.32</v>
      </c>
      <c r="R91" s="23">
        <v>0.46</v>
      </c>
      <c r="S91" s="109">
        <v>3.7509045567318822E-6</v>
      </c>
    </row>
    <row r="92" spans="1:19">
      <c r="A92" s="22">
        <v>24</v>
      </c>
      <c r="B92" s="29">
        <v>382.08</v>
      </c>
      <c r="C92" s="23">
        <v>0.48</v>
      </c>
      <c r="D92" s="109">
        <v>1.445439770746404E-4</v>
      </c>
      <c r="E92" s="29">
        <v>270.17135895575609</v>
      </c>
      <c r="F92" s="23">
        <v>0.48</v>
      </c>
      <c r="G92" s="109">
        <v>1.4348285182325893E-2</v>
      </c>
      <c r="H92" s="29">
        <v>303.25709696800482</v>
      </c>
      <c r="I92" s="23">
        <v>0.48</v>
      </c>
      <c r="J92" s="109">
        <v>2.1855963643663268E-3</v>
      </c>
      <c r="K92" s="29">
        <v>412.66922503597232</v>
      </c>
      <c r="L92" s="23">
        <v>0.48</v>
      </c>
      <c r="M92" s="109">
        <v>7.3714822459103324E-5</v>
      </c>
      <c r="N92" s="29">
        <v>481.39063474383306</v>
      </c>
      <c r="O92" s="23">
        <v>0.48</v>
      </c>
      <c r="P92" s="109">
        <v>2.4355782374474444E-5</v>
      </c>
      <c r="Q92" s="29">
        <v>764.16</v>
      </c>
      <c r="R92" s="23">
        <v>0.48</v>
      </c>
      <c r="S92" s="109">
        <v>2.8670641860628621E-6</v>
      </c>
    </row>
    <row r="93" spans="1:19">
      <c r="A93" s="22">
        <v>25</v>
      </c>
      <c r="B93" s="29">
        <v>398</v>
      </c>
      <c r="C93" s="23">
        <v>0.5</v>
      </c>
      <c r="D93" s="109">
        <v>9.9999999999988987E-5</v>
      </c>
      <c r="E93" s="29">
        <v>281.42849891224591</v>
      </c>
      <c r="F93" s="23">
        <v>0.5</v>
      </c>
      <c r="G93" s="109">
        <v>0.01</v>
      </c>
      <c r="H93" s="29">
        <v>315.89280934167169</v>
      </c>
      <c r="I93" s="23">
        <v>0.5</v>
      </c>
      <c r="J93" s="109">
        <v>1.4844749562507031E-3</v>
      </c>
      <c r="K93" s="29">
        <v>429.86377607913784</v>
      </c>
      <c r="L93" s="23">
        <v>0.5</v>
      </c>
      <c r="M93" s="109">
        <v>5.1630478481334841E-5</v>
      </c>
      <c r="N93" s="29">
        <v>501.44857785815947</v>
      </c>
      <c r="O93" s="23">
        <v>0.5</v>
      </c>
      <c r="P93" s="109">
        <v>1.7505379890758732E-5</v>
      </c>
      <c r="Q93" s="29">
        <v>796</v>
      </c>
      <c r="R93" s="23">
        <v>0.5</v>
      </c>
      <c r="S93" s="109">
        <v>2.2036658957613753E-6</v>
      </c>
    </row>
    <row r="94" spans="1:19">
      <c r="A94" s="22">
        <v>26</v>
      </c>
      <c r="B94" s="29">
        <v>413.92</v>
      </c>
      <c r="C94" s="23">
        <v>0.52</v>
      </c>
      <c r="D94" s="109">
        <v>6.9183097091918277E-5</v>
      </c>
      <c r="E94" s="29">
        <v>292.68563886873579</v>
      </c>
      <c r="F94" s="23">
        <v>0.52</v>
      </c>
      <c r="G94" s="109">
        <v>6.8675210614881355E-3</v>
      </c>
      <c r="H94" s="29">
        <v>328.52852171533857</v>
      </c>
      <c r="I94" s="23">
        <v>0.52</v>
      </c>
      <c r="J94" s="109">
        <v>1.0004176352351735E-3</v>
      </c>
      <c r="K94" s="29">
        <v>447.05832712230335</v>
      </c>
      <c r="L94" s="23">
        <v>0.52</v>
      </c>
      <c r="M94" s="109">
        <v>3.6213875785007232E-5</v>
      </c>
      <c r="N94" s="29">
        <v>521.50652097248576</v>
      </c>
      <c r="O94" s="23">
        <v>0.52</v>
      </c>
      <c r="P94" s="109">
        <v>1.262317430650306E-5</v>
      </c>
      <c r="Q94" s="29">
        <v>827.84</v>
      </c>
      <c r="R94" s="23">
        <v>0.52</v>
      </c>
      <c r="S94" s="109">
        <v>1.7026208966042233E-6</v>
      </c>
    </row>
    <row r="95" spans="1:19">
      <c r="A95" s="22">
        <v>27</v>
      </c>
      <c r="B95" s="29">
        <v>429.84</v>
      </c>
      <c r="C95" s="23">
        <v>0.54</v>
      </c>
      <c r="D95" s="109">
        <v>4.7863009232318454E-5</v>
      </c>
      <c r="E95" s="29">
        <v>303.94277882522556</v>
      </c>
      <c r="F95" s="23">
        <v>0.54</v>
      </c>
      <c r="G95" s="109">
        <v>4.6472924167619833E-3</v>
      </c>
      <c r="H95" s="29">
        <v>341.16423408900539</v>
      </c>
      <c r="I95" s="23">
        <v>0.54</v>
      </c>
      <c r="J95" s="109">
        <v>6.6905418770091263E-4</v>
      </c>
      <c r="K95" s="29">
        <v>464.25287816546887</v>
      </c>
      <c r="L95" s="23">
        <v>0.54</v>
      </c>
      <c r="M95" s="109">
        <v>2.5435208843238577E-5</v>
      </c>
      <c r="N95" s="29">
        <v>541.56446408681222</v>
      </c>
      <c r="O95" s="23">
        <v>0.54</v>
      </c>
      <c r="P95" s="109">
        <v>9.1311370947755321E-6</v>
      </c>
      <c r="Q95" s="29">
        <v>859.68</v>
      </c>
      <c r="R95" s="23">
        <v>0.54</v>
      </c>
      <c r="S95" s="109">
        <v>1.3219791856755592E-6</v>
      </c>
    </row>
    <row r="96" spans="1:19">
      <c r="A96" s="22">
        <v>28</v>
      </c>
      <c r="B96" s="29">
        <v>445.76</v>
      </c>
      <c r="C96" s="23">
        <v>0.56000000000000005</v>
      </c>
      <c r="D96" s="109">
        <v>3.3113112148264179E-5</v>
      </c>
      <c r="E96" s="29">
        <v>315.19991878171544</v>
      </c>
      <c r="F96" s="23">
        <v>0.56000000000000005</v>
      </c>
      <c r="G96" s="109">
        <v>3.0988460420120489E-3</v>
      </c>
      <c r="H96" s="29">
        <v>353.79994646267232</v>
      </c>
      <c r="I96" s="23">
        <v>0.56000000000000005</v>
      </c>
      <c r="J96" s="109">
        <v>4.4409407755063857E-4</v>
      </c>
      <c r="K96" s="29">
        <v>481.44742920863433</v>
      </c>
      <c r="L96" s="23">
        <v>0.56000000000000005</v>
      </c>
      <c r="M96" s="109">
        <v>1.7888049509973136E-5</v>
      </c>
      <c r="N96" s="29">
        <v>561.62240720113869</v>
      </c>
      <c r="O96" s="23">
        <v>0.56000000000000005</v>
      </c>
      <c r="P96" s="109">
        <v>6.6248755711262319E-6</v>
      </c>
      <c r="Q96" s="29">
        <v>891.52</v>
      </c>
      <c r="R96" s="23">
        <v>0.56000000000000005</v>
      </c>
      <c r="S96" s="109">
        <v>1.0312125294786867E-6</v>
      </c>
    </row>
    <row r="97" spans="1:19">
      <c r="A97" s="22">
        <v>29</v>
      </c>
      <c r="B97" s="29">
        <v>461.68</v>
      </c>
      <c r="C97" s="23">
        <v>0.57999999999999996</v>
      </c>
      <c r="D97" s="109">
        <v>2.2908676527655381E-5</v>
      </c>
      <c r="E97" s="29">
        <v>326.45705873820526</v>
      </c>
      <c r="F97" s="23">
        <v>0.57999999999999996</v>
      </c>
      <c r="G97" s="109">
        <v>2.036104201131983E-3</v>
      </c>
      <c r="H97" s="29">
        <v>366.43565883633914</v>
      </c>
      <c r="I97" s="23">
        <v>0.57999999999999996</v>
      </c>
      <c r="J97" s="109">
        <v>2.9260468728220523E-4</v>
      </c>
      <c r="K97" s="29">
        <v>498.64198025179991</v>
      </c>
      <c r="L97" s="23">
        <v>0.57999999999999996</v>
      </c>
      <c r="M97" s="109">
        <v>1.2596090980920849E-5</v>
      </c>
      <c r="N97" s="29">
        <v>581.68035031546492</v>
      </c>
      <c r="O97" s="23">
        <v>0.57999999999999996</v>
      </c>
      <c r="P97" s="109">
        <v>4.8202494777882521E-6</v>
      </c>
      <c r="Q97" s="29">
        <v>923.36</v>
      </c>
      <c r="R97" s="23">
        <v>0.57999999999999996</v>
      </c>
      <c r="S97" s="109">
        <v>8.0794447476773001E-7</v>
      </c>
    </row>
    <row r="98" spans="1:19">
      <c r="A98" s="22">
        <v>30</v>
      </c>
      <c r="B98" s="29">
        <v>477.6</v>
      </c>
      <c r="C98" s="23">
        <v>0.6</v>
      </c>
      <c r="D98" s="109">
        <v>1.5848931924633547E-5</v>
      </c>
      <c r="E98" s="29">
        <v>337.71419869469509</v>
      </c>
      <c r="F98" s="23">
        <v>0.6</v>
      </c>
      <c r="G98" s="109">
        <v>1.3182567385564559E-3</v>
      </c>
      <c r="H98" s="29">
        <v>379.07137121000602</v>
      </c>
      <c r="I98" s="23">
        <v>0.6</v>
      </c>
      <c r="J98" s="109">
        <v>1.9139737961593184E-4</v>
      </c>
      <c r="K98" s="29">
        <v>515.83653129496543</v>
      </c>
      <c r="L98" s="23">
        <v>0.6</v>
      </c>
      <c r="M98" s="109">
        <v>8.8804108768769652E-6</v>
      </c>
      <c r="N98" s="29">
        <v>601.73829342979138</v>
      </c>
      <c r="O98" s="23">
        <v>0.6</v>
      </c>
      <c r="P98" s="109">
        <v>3.5167949001824184E-6</v>
      </c>
      <c r="Q98" s="29">
        <v>955.2</v>
      </c>
      <c r="R98" s="23">
        <v>0.6</v>
      </c>
      <c r="S98" s="109">
        <v>6.3566257968439288E-7</v>
      </c>
    </row>
    <row r="99" spans="1:19">
      <c r="A99" s="22">
        <v>31</v>
      </c>
      <c r="B99" s="29">
        <v>493.52</v>
      </c>
      <c r="C99" s="23">
        <v>0.62</v>
      </c>
      <c r="D99" s="109">
        <v>1.0964781961386727E-5</v>
      </c>
      <c r="E99" s="29">
        <v>348.97133865118491</v>
      </c>
      <c r="F99" s="23">
        <v>0.62</v>
      </c>
      <c r="G99" s="109">
        <v>8.4100775406925621E-4</v>
      </c>
      <c r="H99" s="29">
        <v>391.70708358367284</v>
      </c>
      <c r="I99" s="23">
        <v>0.62</v>
      </c>
      <c r="J99" s="109">
        <v>1.243060008081498E-4</v>
      </c>
      <c r="K99" s="29">
        <v>533.031082338131</v>
      </c>
      <c r="L99" s="23">
        <v>0.62</v>
      </c>
      <c r="M99" s="109">
        <v>6.2680953757388025E-6</v>
      </c>
      <c r="N99" s="29">
        <v>621.79623654411773</v>
      </c>
      <c r="O99" s="23">
        <v>0.62</v>
      </c>
      <c r="P99" s="109">
        <v>2.5725337495785539E-6</v>
      </c>
      <c r="Q99" s="29">
        <v>987.04</v>
      </c>
      <c r="R99" s="23">
        <v>0.62</v>
      </c>
      <c r="S99" s="109">
        <v>5.0210402269268428E-7</v>
      </c>
    </row>
    <row r="100" spans="1:19">
      <c r="A100" s="22">
        <v>32</v>
      </c>
      <c r="B100" s="29">
        <v>509.44</v>
      </c>
      <c r="C100" s="23">
        <v>0.64</v>
      </c>
      <c r="D100" s="109">
        <v>7.585775750329482E-6</v>
      </c>
      <c r="E100" s="29">
        <v>360.22847860767479</v>
      </c>
      <c r="F100" s="23">
        <v>0.64</v>
      </c>
      <c r="G100" s="109">
        <v>5.2868866585087382E-4</v>
      </c>
      <c r="H100" s="29">
        <v>404.34279595733977</v>
      </c>
      <c r="I100" s="23">
        <v>0.64</v>
      </c>
      <c r="J100" s="109">
        <v>8.016780633879339E-5</v>
      </c>
      <c r="K100" s="29">
        <v>550.22563338129646</v>
      </c>
      <c r="L100" s="23">
        <v>0.64</v>
      </c>
      <c r="M100" s="109">
        <v>4.4292020344727234E-6</v>
      </c>
      <c r="N100" s="29">
        <v>641.85417965844408</v>
      </c>
      <c r="O100" s="23">
        <v>0.64</v>
      </c>
      <c r="P100" s="109">
        <v>1.8865398249134913E-6</v>
      </c>
      <c r="Q100" s="29">
        <v>1018.88</v>
      </c>
      <c r="R100" s="23">
        <v>0.64</v>
      </c>
      <c r="S100" s="109">
        <v>3.9810717056276701E-7</v>
      </c>
    </row>
    <row r="101" spans="1:19">
      <c r="A101" s="22">
        <v>33</v>
      </c>
      <c r="B101" s="29">
        <v>525.36</v>
      </c>
      <c r="C101" s="23">
        <v>0.66</v>
      </c>
      <c r="D101" s="109">
        <v>5.2480746024485825E-6</v>
      </c>
      <c r="E101" s="29">
        <v>371.48561856416461</v>
      </c>
      <c r="F101" s="23">
        <v>0.66</v>
      </c>
      <c r="G101" s="109">
        <v>3.2749147555555247E-4</v>
      </c>
      <c r="H101" s="29">
        <v>416.97850833100665</v>
      </c>
      <c r="I101" s="23">
        <v>0.66</v>
      </c>
      <c r="J101" s="109">
        <v>5.1346130746865448E-5</v>
      </c>
      <c r="K101" s="29">
        <v>567.42018442446192</v>
      </c>
      <c r="L101" s="23">
        <v>0.66</v>
      </c>
      <c r="M101" s="109">
        <v>3.1331848048266053E-6</v>
      </c>
      <c r="N101" s="29">
        <v>661.91212277277054</v>
      </c>
      <c r="O101" s="23">
        <v>0.66</v>
      </c>
      <c r="P101" s="109">
        <v>1.3868173649456139E-6</v>
      </c>
      <c r="Q101" s="29">
        <v>1050.72</v>
      </c>
      <c r="R101" s="23">
        <v>0.66</v>
      </c>
      <c r="S101" s="109">
        <v>3.1678840428650545E-7</v>
      </c>
    </row>
    <row r="102" spans="1:19">
      <c r="A102" s="22">
        <v>34</v>
      </c>
      <c r="B102" s="29">
        <v>541.28</v>
      </c>
      <c r="C102" s="23">
        <v>0.68</v>
      </c>
      <c r="D102" s="109">
        <v>3.6307805476587518E-6</v>
      </c>
      <c r="E102" s="29">
        <v>382.74275852065443</v>
      </c>
      <c r="F102" s="23">
        <v>0.68</v>
      </c>
      <c r="G102" s="109">
        <v>1.9989411112353306E-4</v>
      </c>
      <c r="H102" s="29">
        <v>429.61422070467347</v>
      </c>
      <c r="I102" s="23">
        <v>0.68</v>
      </c>
      <c r="J102" s="109">
        <v>3.266337668295094E-5</v>
      </c>
      <c r="K102" s="29">
        <v>584.6147354676275</v>
      </c>
      <c r="L102" s="23">
        <v>0.68</v>
      </c>
      <c r="M102" s="109">
        <v>2.2187148503993726E-6</v>
      </c>
      <c r="N102" s="29">
        <v>681.97006588709689</v>
      </c>
      <c r="O102" s="23">
        <v>0.68</v>
      </c>
      <c r="P102" s="109">
        <v>1.0218364422387438E-6</v>
      </c>
      <c r="Q102" s="29">
        <v>1082.56</v>
      </c>
      <c r="R102" s="23">
        <v>0.68</v>
      </c>
      <c r="S102" s="109">
        <v>2.5294785388485508E-7</v>
      </c>
    </row>
    <row r="103" spans="1:19">
      <c r="A103" s="22">
        <v>35</v>
      </c>
      <c r="B103" s="29">
        <v>557.20000000000005</v>
      </c>
      <c r="C103" s="23">
        <v>0.7</v>
      </c>
      <c r="D103" s="109">
        <v>2.5118864315221145E-6</v>
      </c>
      <c r="E103" s="29">
        <v>393.99989847714431</v>
      </c>
      <c r="F103" s="23">
        <v>0.7</v>
      </c>
      <c r="G103" s="109">
        <v>1.2022644346176836E-4</v>
      </c>
      <c r="H103" s="29">
        <v>442.2499330783404</v>
      </c>
      <c r="I103" s="23">
        <v>0.7</v>
      </c>
      <c r="J103" s="109">
        <v>2.0639722380311198E-5</v>
      </c>
      <c r="K103" s="29">
        <v>601.80928651079296</v>
      </c>
      <c r="L103" s="23">
        <v>0.7</v>
      </c>
      <c r="M103" s="109">
        <v>1.5727410574983836E-6</v>
      </c>
      <c r="N103" s="29">
        <v>702.02800900142324</v>
      </c>
      <c r="O103" s="23">
        <v>0.7</v>
      </c>
      <c r="P103" s="109">
        <v>7.5459749993012082E-7</v>
      </c>
      <c r="Q103" s="29">
        <v>1114.4000000000001</v>
      </c>
      <c r="R103" s="23">
        <v>0.7</v>
      </c>
      <c r="S103" s="109">
        <v>2.0263748545801263E-7</v>
      </c>
    </row>
    <row r="104" spans="1:19">
      <c r="A104" s="22">
        <v>36</v>
      </c>
      <c r="B104" s="29">
        <v>573.12</v>
      </c>
      <c r="C104" s="23">
        <v>0.72</v>
      </c>
      <c r="D104" s="109">
        <v>1.7378008287938229E-6</v>
      </c>
      <c r="E104" s="29">
        <v>405.25703843363414</v>
      </c>
      <c r="F104" s="23">
        <v>0.72</v>
      </c>
      <c r="G104" s="109">
        <v>7.1252482475192558E-5</v>
      </c>
      <c r="H104" s="29">
        <v>454.88564545200722</v>
      </c>
      <c r="I104" s="23">
        <v>0.72</v>
      </c>
      <c r="J104" s="109">
        <v>1.2956208502612476E-5</v>
      </c>
      <c r="K104" s="29">
        <v>619.00383755395853</v>
      </c>
      <c r="L104" s="23">
        <v>0.72</v>
      </c>
      <c r="M104" s="109">
        <v>1.115936271722795E-6</v>
      </c>
      <c r="N104" s="29">
        <v>722.08595211574971</v>
      </c>
      <c r="O104" s="23">
        <v>0.72</v>
      </c>
      <c r="P104" s="109">
        <v>5.5845296442758041E-7</v>
      </c>
      <c r="Q104" s="29">
        <v>1146.24</v>
      </c>
      <c r="R104" s="23">
        <v>0.72</v>
      </c>
      <c r="S104" s="109">
        <v>1.6284517700970724E-7</v>
      </c>
    </row>
    <row r="105" spans="1:19">
      <c r="A105" s="22">
        <v>37</v>
      </c>
      <c r="B105" s="29">
        <v>589.04</v>
      </c>
      <c r="C105" s="23">
        <v>0.74</v>
      </c>
      <c r="D105" s="109">
        <v>1.2022644345632827E-6</v>
      </c>
      <c r="E105" s="29">
        <v>416.5141783901239</v>
      </c>
      <c r="F105" s="23">
        <v>0.74</v>
      </c>
      <c r="G105" s="109">
        <v>4.1610218851739766E-5</v>
      </c>
      <c r="H105" s="29">
        <v>467.52135782567416</v>
      </c>
      <c r="I105" s="23">
        <v>0.74</v>
      </c>
      <c r="J105" s="109">
        <v>8.0802247712785658E-6</v>
      </c>
      <c r="K105" s="29">
        <v>636.19838859712399</v>
      </c>
      <c r="L105" s="23">
        <v>0.74</v>
      </c>
      <c r="M105" s="109">
        <v>7.9256517004910876E-7</v>
      </c>
      <c r="N105" s="29">
        <v>742.14389523007605</v>
      </c>
      <c r="O105" s="23">
        <v>0.74</v>
      </c>
      <c r="P105" s="109">
        <v>4.141547659264333E-7</v>
      </c>
      <c r="Q105" s="29">
        <v>1178.08</v>
      </c>
      <c r="R105" s="23">
        <v>0.74</v>
      </c>
      <c r="S105" s="109">
        <v>1.3126223252779567E-7</v>
      </c>
    </row>
    <row r="106" spans="1:19">
      <c r="A106" s="22">
        <v>38</v>
      </c>
      <c r="B106" s="29">
        <v>604.96</v>
      </c>
      <c r="C106" s="23">
        <v>0.76</v>
      </c>
      <c r="D106" s="109">
        <v>8.317637710808512E-7</v>
      </c>
      <c r="E106" s="29">
        <v>427.77131834661378</v>
      </c>
      <c r="F106" s="23">
        <v>0.76</v>
      </c>
      <c r="G106" s="109">
        <v>2.3944181728685621E-5</v>
      </c>
      <c r="H106" s="29">
        <v>480.15707019934098</v>
      </c>
      <c r="I106" s="23">
        <v>0.76</v>
      </c>
      <c r="J106" s="109">
        <v>5.0070149100189809E-6</v>
      </c>
      <c r="K106" s="29">
        <v>653.39293964028946</v>
      </c>
      <c r="L106" s="23">
        <v>0.76</v>
      </c>
      <c r="M106" s="109">
        <v>5.6341929344227992E-7</v>
      </c>
      <c r="N106" s="29">
        <v>762.2018383444024</v>
      </c>
      <c r="O106" s="23">
        <v>0.76</v>
      </c>
      <c r="P106" s="109">
        <v>3.0776064086079913E-7</v>
      </c>
      <c r="Q106" s="29">
        <v>1209.92</v>
      </c>
      <c r="R106" s="23">
        <v>0.76</v>
      </c>
      <c r="S106" s="109">
        <v>1.0611131351367931E-7</v>
      </c>
    </row>
    <row r="107" spans="1:19">
      <c r="A107" s="22">
        <v>39</v>
      </c>
      <c r="B107" s="29">
        <v>620.88</v>
      </c>
      <c r="C107" s="23">
        <v>0.78</v>
      </c>
      <c r="D107" s="109">
        <v>5.7543993736697274E-7</v>
      </c>
      <c r="E107" s="29">
        <v>439.0284583031036</v>
      </c>
      <c r="F107" s="23">
        <v>0.78</v>
      </c>
      <c r="G107" s="109">
        <v>1.3576880641408273E-5</v>
      </c>
      <c r="H107" s="29">
        <v>492.79278257300786</v>
      </c>
      <c r="I107" s="23">
        <v>0.78</v>
      </c>
      <c r="J107" s="109">
        <v>3.0830546240423473E-6</v>
      </c>
      <c r="K107" s="29">
        <v>670.58749068345492</v>
      </c>
      <c r="L107" s="23">
        <v>0.78</v>
      </c>
      <c r="M107" s="109">
        <v>4.0088332264875959E-7</v>
      </c>
      <c r="N107" s="29">
        <v>782.25978145872887</v>
      </c>
      <c r="O107" s="23">
        <v>0.78</v>
      </c>
      <c r="P107" s="109">
        <v>2.2914435837684266E-7</v>
      </c>
      <c r="Q107" s="29">
        <v>1241.76</v>
      </c>
      <c r="R107" s="23">
        <v>0.78</v>
      </c>
      <c r="S107" s="109">
        <v>8.6018389411357532E-8</v>
      </c>
    </row>
    <row r="108" spans="1:19">
      <c r="A108" s="22">
        <v>40</v>
      </c>
      <c r="B108" s="29">
        <v>636.79999999999995</v>
      </c>
      <c r="C108" s="23">
        <v>0.8</v>
      </c>
      <c r="D108" s="109">
        <v>3.9810717056276701E-7</v>
      </c>
      <c r="E108" s="29">
        <v>450.28559825959348</v>
      </c>
      <c r="F108" s="23">
        <v>0.8</v>
      </c>
      <c r="G108" s="109">
        <v>7.585775750329482E-6</v>
      </c>
      <c r="H108" s="29">
        <v>505.42849494667468</v>
      </c>
      <c r="I108" s="23">
        <v>0.8</v>
      </c>
      <c r="J108" s="109">
        <v>1.8865398249134913E-6</v>
      </c>
      <c r="K108" s="29">
        <v>687.78204172662049</v>
      </c>
      <c r="L108" s="23">
        <v>0.8</v>
      </c>
      <c r="M108" s="109">
        <v>2.8548469577227564E-7</v>
      </c>
      <c r="N108" s="29">
        <v>802.31772457305522</v>
      </c>
      <c r="O108" s="23">
        <v>0.8</v>
      </c>
      <c r="P108" s="109">
        <v>1.7093221249542268E-7</v>
      </c>
      <c r="Q108" s="29">
        <v>1273.5999999999999</v>
      </c>
      <c r="R108" s="23">
        <v>0.8</v>
      </c>
      <c r="S108" s="109">
        <v>6.9916949563264552E-8</v>
      </c>
    </row>
    <row r="109" spans="1:19">
      <c r="A109" s="22">
        <v>41</v>
      </c>
      <c r="B109" s="29">
        <v>652.72</v>
      </c>
      <c r="C109" s="23">
        <v>0.82</v>
      </c>
      <c r="D109" s="109">
        <v>2.7542287028836654E-7</v>
      </c>
      <c r="E109" s="29">
        <v>461.54273821608331</v>
      </c>
      <c r="F109" s="23">
        <v>0.82</v>
      </c>
      <c r="G109" s="109">
        <v>4.1763799295546633E-6</v>
      </c>
      <c r="H109" s="29">
        <v>518.06420732034155</v>
      </c>
      <c r="I109" s="23">
        <v>0.82</v>
      </c>
      <c r="J109" s="109">
        <v>1.1472745226059899E-6</v>
      </c>
      <c r="K109" s="29">
        <v>704.97659276978607</v>
      </c>
      <c r="L109" s="23">
        <v>0.82</v>
      </c>
      <c r="M109" s="109">
        <v>2.0347724161151604E-7</v>
      </c>
      <c r="N109" s="29">
        <v>822.37566768738145</v>
      </c>
      <c r="O109" s="23">
        <v>0.82</v>
      </c>
      <c r="P109" s="109">
        <v>1.2774143876015387E-7</v>
      </c>
      <c r="Q109" s="29">
        <v>1305.44</v>
      </c>
      <c r="R109" s="23">
        <v>0.82</v>
      </c>
      <c r="S109" s="109">
        <v>5.697599125831232E-8</v>
      </c>
    </row>
    <row r="110" spans="1:19">
      <c r="A110" s="22">
        <v>42</v>
      </c>
      <c r="B110" s="29">
        <v>668.64</v>
      </c>
      <c r="C110" s="23">
        <v>0.84</v>
      </c>
      <c r="D110" s="109">
        <v>1.9054607180990502E-7</v>
      </c>
      <c r="E110" s="29">
        <v>472.79987817257313</v>
      </c>
      <c r="F110" s="23">
        <v>0.84</v>
      </c>
      <c r="G110" s="109">
        <v>2.265687454983123E-6</v>
      </c>
      <c r="H110" s="29">
        <v>530.69991969400837</v>
      </c>
      <c r="I110" s="23">
        <v>0.84</v>
      </c>
      <c r="J110" s="109">
        <v>6.9345497144546187E-7</v>
      </c>
      <c r="K110" s="29">
        <v>722.17114381295164</v>
      </c>
      <c r="L110" s="23">
        <v>0.84</v>
      </c>
      <c r="M110" s="109">
        <v>1.4514669510745648E-7</v>
      </c>
      <c r="N110" s="29">
        <v>842.4336108017078</v>
      </c>
      <c r="O110" s="23">
        <v>0.84</v>
      </c>
      <c r="P110" s="109">
        <v>9.5633208130330161E-8</v>
      </c>
      <c r="Q110" s="29">
        <v>1337.28</v>
      </c>
      <c r="R110" s="23">
        <v>0.84</v>
      </c>
      <c r="S110" s="109">
        <v>4.6545627352401198E-8</v>
      </c>
    </row>
    <row r="111" spans="1:19">
      <c r="A111" s="22">
        <v>43</v>
      </c>
      <c r="B111" s="29">
        <v>684.56</v>
      </c>
      <c r="C111" s="23">
        <v>0.86</v>
      </c>
      <c r="D111" s="109">
        <v>1.3182567382141741E-7</v>
      </c>
      <c r="E111" s="29">
        <v>484.05701812906301</v>
      </c>
      <c r="F111" s="23">
        <v>0.86</v>
      </c>
      <c r="G111" s="109">
        <v>1.2111557630145597E-6</v>
      </c>
      <c r="H111" s="29">
        <v>543.33563206767531</v>
      </c>
      <c r="I111" s="23">
        <v>0.86</v>
      </c>
      <c r="J111" s="109">
        <v>4.1662993899294065E-7</v>
      </c>
      <c r="K111" s="29">
        <v>739.36569485611699</v>
      </c>
      <c r="L111" s="23">
        <v>0.86</v>
      </c>
      <c r="M111" s="109">
        <v>1.0362090652193956E-7</v>
      </c>
      <c r="N111" s="29">
        <v>862.49155391603426</v>
      </c>
      <c r="O111" s="23">
        <v>0.86</v>
      </c>
      <c r="P111" s="109">
        <v>7.1718608496418312E-8</v>
      </c>
      <c r="Q111" s="29">
        <v>1369.12</v>
      </c>
      <c r="R111" s="23">
        <v>0.86</v>
      </c>
      <c r="S111" s="109">
        <v>3.8115814393613334E-8</v>
      </c>
    </row>
    <row r="112" spans="1:19">
      <c r="A112" s="22">
        <v>44</v>
      </c>
      <c r="B112" s="29">
        <v>700.48</v>
      </c>
      <c r="C112" s="23">
        <v>0.88</v>
      </c>
      <c r="D112" s="109">
        <v>9.1201083907144209E-8</v>
      </c>
      <c r="E112" s="29">
        <v>495.31415808555278</v>
      </c>
      <c r="F112" s="23">
        <v>0.88</v>
      </c>
      <c r="G112" s="109">
        <v>6.3796962268547475E-7</v>
      </c>
      <c r="H112" s="29">
        <v>555.97134444134213</v>
      </c>
      <c r="I112" s="23">
        <v>0.88</v>
      </c>
      <c r="J112" s="109">
        <v>2.4882534233050535E-7</v>
      </c>
      <c r="K112" s="29">
        <v>756.56024589928256</v>
      </c>
      <c r="L112" s="23">
        <v>0.88</v>
      </c>
      <c r="M112" s="109">
        <v>7.4033389196870303E-8</v>
      </c>
      <c r="N112" s="29">
        <v>882.54949703036061</v>
      </c>
      <c r="O112" s="23">
        <v>0.88</v>
      </c>
      <c r="P112" s="109">
        <v>5.3874041783252835E-8</v>
      </c>
      <c r="Q112" s="29">
        <v>1400.96</v>
      </c>
      <c r="R112" s="23">
        <v>0.88</v>
      </c>
      <c r="S112" s="109">
        <v>3.1284901003125754E-8</v>
      </c>
    </row>
    <row r="113" spans="1:19">
      <c r="A113" s="22">
        <v>45</v>
      </c>
      <c r="B113" s="29">
        <v>716.4</v>
      </c>
      <c r="C113" s="23">
        <v>0.9</v>
      </c>
      <c r="D113" s="109">
        <v>6.3095734414986282E-8</v>
      </c>
      <c r="E113" s="29">
        <v>506.5712980420426</v>
      </c>
      <c r="F113" s="23">
        <v>0.9</v>
      </c>
      <c r="G113" s="109">
        <v>3.3113112152260982E-7</v>
      </c>
      <c r="H113" s="29">
        <v>568.60705681500906</v>
      </c>
      <c r="I113" s="23">
        <v>0.9</v>
      </c>
      <c r="J113" s="109">
        <v>1.4773393097744503E-7</v>
      </c>
      <c r="K113" s="29">
        <v>773.75479694244814</v>
      </c>
      <c r="L113" s="23">
        <v>0.9</v>
      </c>
      <c r="M113" s="109">
        <v>5.2934570171636608E-8</v>
      </c>
      <c r="N113" s="29">
        <v>902.60744014468696</v>
      </c>
      <c r="O113" s="23">
        <v>0.9</v>
      </c>
      <c r="P113" s="109">
        <v>4.0535105605421506E-8</v>
      </c>
      <c r="Q113" s="29">
        <v>1432.8</v>
      </c>
      <c r="R113" s="23">
        <v>0.9</v>
      </c>
      <c r="S113" s="109">
        <v>2.5735559572304112E-8</v>
      </c>
    </row>
    <row r="114" spans="1:19">
      <c r="A114" s="22">
        <v>46</v>
      </c>
      <c r="B114" s="29">
        <v>732.32</v>
      </c>
      <c r="C114" s="23">
        <v>0.92</v>
      </c>
      <c r="D114" s="109">
        <v>4.3651583236936631E-8</v>
      </c>
      <c r="E114" s="29">
        <v>517.82843799853242</v>
      </c>
      <c r="F114" s="23">
        <v>0.92</v>
      </c>
      <c r="G114" s="109">
        <v>1.6935577085153142E-7</v>
      </c>
      <c r="H114" s="29">
        <v>581.24276918867588</v>
      </c>
      <c r="I114" s="23">
        <v>0.92</v>
      </c>
      <c r="J114" s="109">
        <v>8.7203917975564593E-8</v>
      </c>
      <c r="K114" s="29">
        <v>790.9493479856136</v>
      </c>
      <c r="L114" s="23">
        <v>0.92</v>
      </c>
      <c r="M114" s="109">
        <v>3.7876912606371604E-8</v>
      </c>
      <c r="N114" s="29">
        <v>922.66538325901342</v>
      </c>
      <c r="O114" s="23">
        <v>0.92</v>
      </c>
      <c r="P114" s="109">
        <v>3.0546931872876826E-8</v>
      </c>
      <c r="Q114" s="29">
        <v>1464.64</v>
      </c>
      <c r="R114" s="23">
        <v>0.92</v>
      </c>
      <c r="S114" s="109">
        <v>2.1216295831294474E-8</v>
      </c>
    </row>
    <row r="115" spans="1:19">
      <c r="A115" s="22">
        <v>47</v>
      </c>
      <c r="B115" s="29">
        <v>748.24</v>
      </c>
      <c r="C115" s="23">
        <v>0.94</v>
      </c>
      <c r="D115" s="109">
        <v>3.0199517220275141E-8</v>
      </c>
      <c r="E115" s="29">
        <v>529.08557795502236</v>
      </c>
      <c r="F115" s="23">
        <v>0.94</v>
      </c>
      <c r="G115" s="109">
        <v>8.5349307177295941E-8</v>
      </c>
      <c r="H115" s="29">
        <v>593.87848156234281</v>
      </c>
      <c r="I115" s="23">
        <v>0.94</v>
      </c>
      <c r="J115" s="109">
        <v>5.1178728810441498E-8</v>
      </c>
      <c r="K115" s="29">
        <v>808.14389902877917</v>
      </c>
      <c r="L115" s="23">
        <v>0.94</v>
      </c>
      <c r="M115" s="109">
        <v>2.7122233126064543E-8</v>
      </c>
      <c r="N115" s="29">
        <v>942.72332637333977</v>
      </c>
      <c r="O115" s="23">
        <v>0.94</v>
      </c>
      <c r="P115" s="109">
        <v>2.3055251818782097E-8</v>
      </c>
      <c r="Q115" s="29">
        <v>1496.48</v>
      </c>
      <c r="R115" s="23">
        <v>0.94</v>
      </c>
      <c r="S115" s="109">
        <v>1.7527187368138186E-8</v>
      </c>
    </row>
    <row r="116" spans="1:19">
      <c r="A116" s="22">
        <v>48</v>
      </c>
      <c r="B116" s="29">
        <v>764.16</v>
      </c>
      <c r="C116" s="23">
        <v>0.96</v>
      </c>
      <c r="D116" s="109">
        <v>2.0892961360985396E-8</v>
      </c>
      <c r="E116" s="29">
        <v>540.34271791151218</v>
      </c>
      <c r="F116" s="23">
        <v>0.96</v>
      </c>
      <c r="G116" s="109">
        <v>4.2383810572310665E-8</v>
      </c>
      <c r="H116" s="29">
        <v>606.51419393600963</v>
      </c>
      <c r="I116" s="23">
        <v>0.96</v>
      </c>
      <c r="J116" s="109">
        <v>2.9865343198487437E-8</v>
      </c>
      <c r="K116" s="29">
        <v>825.33845007194464</v>
      </c>
      <c r="L116" s="23">
        <v>0.96</v>
      </c>
      <c r="M116" s="109">
        <v>1.943500382850516E-8</v>
      </c>
      <c r="N116" s="29">
        <v>962.78126948766612</v>
      </c>
      <c r="O116" s="23">
        <v>0.96</v>
      </c>
      <c r="P116" s="109">
        <v>1.7426912912732462E-8</v>
      </c>
      <c r="Q116" s="29">
        <v>1528.32</v>
      </c>
      <c r="R116" s="23">
        <v>0.96</v>
      </c>
      <c r="S116" s="109">
        <v>1.4508844348171124E-8</v>
      </c>
    </row>
    <row r="117" spans="1:19">
      <c r="A117" s="22">
        <v>49</v>
      </c>
      <c r="B117" s="29">
        <v>780.08</v>
      </c>
      <c r="C117" s="23">
        <v>0.98</v>
      </c>
      <c r="D117" s="109">
        <v>1.4454397678775877E-8</v>
      </c>
      <c r="E117" s="29">
        <v>551.599857868002</v>
      </c>
      <c r="F117" s="23">
        <v>0.98</v>
      </c>
      <c r="G117" s="109">
        <v>2.0739582051731986E-8</v>
      </c>
      <c r="H117" s="29">
        <v>619.14990630967657</v>
      </c>
      <c r="I117" s="23">
        <v>0.98</v>
      </c>
      <c r="J117" s="109">
        <v>1.7329896517814802E-8</v>
      </c>
      <c r="K117" s="29">
        <v>842.5330011151101</v>
      </c>
      <c r="L117" s="23">
        <v>0.98</v>
      </c>
      <c r="M117" s="109">
        <v>1.3936222398314158E-8</v>
      </c>
      <c r="N117" s="29">
        <v>982.83921260199259</v>
      </c>
      <c r="O117" s="23">
        <v>0.98</v>
      </c>
      <c r="P117" s="109">
        <v>1.3191753578389864E-8</v>
      </c>
      <c r="Q117" s="29">
        <v>1560.16</v>
      </c>
      <c r="R117" s="23">
        <v>0.98</v>
      </c>
      <c r="S117" s="109">
        <v>1.2033834928537601E-8</v>
      </c>
    </row>
    <row r="118" spans="1:19">
      <c r="A118" s="22">
        <v>50</v>
      </c>
      <c r="B118" s="29">
        <v>796</v>
      </c>
      <c r="C118" s="23">
        <v>1</v>
      </c>
      <c r="D118" s="109">
        <v>1.0000000050247593E-8</v>
      </c>
      <c r="E118" s="29">
        <v>562.85699782449183</v>
      </c>
      <c r="F118" s="23">
        <v>1</v>
      </c>
      <c r="G118" s="109">
        <v>1.0000000050247593E-8</v>
      </c>
      <c r="H118" s="29">
        <v>631.78561868334339</v>
      </c>
      <c r="I118" s="23">
        <v>1</v>
      </c>
      <c r="J118" s="109">
        <v>1.0000000050247593E-8</v>
      </c>
      <c r="K118" s="29">
        <v>859.72755215827567</v>
      </c>
      <c r="L118" s="23">
        <v>1</v>
      </c>
      <c r="M118" s="109">
        <v>1.0000000050247593E-8</v>
      </c>
      <c r="N118" s="29">
        <v>1002.8971557163189</v>
      </c>
      <c r="O118" s="23">
        <v>1</v>
      </c>
      <c r="P118" s="109">
        <v>1.0000000050247593E-8</v>
      </c>
      <c r="Q118" s="29">
        <v>1592</v>
      </c>
      <c r="R118" s="23">
        <v>1</v>
      </c>
      <c r="S118" s="109">
        <v>1.0000000050247593E-8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3D480-FAF6-4961-9E3C-694D9A069285}">
  <sheetPr codeName="Sheet6"/>
  <dimension ref="A1:C28"/>
  <sheetViews>
    <sheetView workbookViewId="0">
      <selection activeCell="G13" sqref="G13"/>
    </sheetView>
  </sheetViews>
  <sheetFormatPr defaultRowHeight="12.75"/>
  <cols>
    <col min="2" max="2" width="12.83203125" bestFit="1" customWidth="1"/>
  </cols>
  <sheetData>
    <row r="1" spans="1:3" ht="24.75" customHeight="1">
      <c r="A1" s="192" t="s">
        <v>586</v>
      </c>
    </row>
    <row r="3" spans="1:3">
      <c r="A3" s="341" t="s">
        <v>587</v>
      </c>
      <c r="B3" s="341"/>
      <c r="C3" t="s">
        <v>588</v>
      </c>
    </row>
    <row r="4" spans="1:3">
      <c r="A4" s="341" t="s">
        <v>589</v>
      </c>
      <c r="B4" s="341"/>
      <c r="C4">
        <v>7</v>
      </c>
    </row>
    <row r="5" spans="1:3">
      <c r="A5" s="341" t="s">
        <v>590</v>
      </c>
      <c r="B5" s="341"/>
      <c r="C5">
        <v>2</v>
      </c>
    </row>
    <row r="6" spans="1:3">
      <c r="A6" s="341" t="s">
        <v>591</v>
      </c>
      <c r="B6" s="341"/>
      <c r="C6">
        <v>0.2</v>
      </c>
    </row>
    <row r="7" spans="1:3">
      <c r="A7" s="341" t="s">
        <v>592</v>
      </c>
      <c r="B7" s="341"/>
    </row>
    <row r="8" spans="1:3">
      <c r="A8" s="193" t="s">
        <v>593</v>
      </c>
      <c r="B8" s="28"/>
      <c r="C8" s="28"/>
    </row>
    <row r="9" spans="1:3">
      <c r="A9" s="28">
        <v>1</v>
      </c>
      <c r="B9" s="56">
        <v>2.5498696489310535</v>
      </c>
      <c r="C9" s="176">
        <v>517.75911791552983</v>
      </c>
    </row>
    <row r="10" spans="1:3">
      <c r="A10" s="28">
        <v>2</v>
      </c>
      <c r="B10" s="56">
        <v>16.077638635425551</v>
      </c>
      <c r="C10" s="176">
        <v>438.10386900544836</v>
      </c>
    </row>
    <row r="11" spans="1:3">
      <c r="A11" s="28">
        <v>3</v>
      </c>
      <c r="B11" s="56">
        <v>101.41278004570054</v>
      </c>
      <c r="C11" s="176">
        <v>358.44862009536683</v>
      </c>
    </row>
    <row r="12" spans="1:3">
      <c r="A12" s="28">
        <v>4</v>
      </c>
      <c r="B12" s="56">
        <v>639.98966587317602</v>
      </c>
      <c r="C12" s="176">
        <v>278.79337118528531</v>
      </c>
    </row>
    <row r="13" spans="1:3">
      <c r="A13" s="28">
        <v>5</v>
      </c>
      <c r="B13" s="56">
        <v>4041.4596483547966</v>
      </c>
      <c r="C13" s="176">
        <v>199.13812227520373</v>
      </c>
    </row>
    <row r="14" spans="1:3">
      <c r="A14" s="28">
        <v>6</v>
      </c>
      <c r="B14" s="56">
        <v>25547.594222825381</v>
      </c>
      <c r="C14" s="176">
        <v>119.48287336512224</v>
      </c>
    </row>
    <row r="15" spans="1:3">
      <c r="A15" s="28">
        <v>7</v>
      </c>
      <c r="B15" s="56">
        <v>161958.12764415573</v>
      </c>
      <c r="C15" s="176">
        <v>39.827624455040763</v>
      </c>
    </row>
    <row r="16" spans="1:3">
      <c r="A16" s="28">
        <v>8</v>
      </c>
      <c r="B16" s="28"/>
      <c r="C16" s="28"/>
    </row>
    <row r="17" spans="1:3">
      <c r="A17" s="28">
        <v>9</v>
      </c>
      <c r="B17" s="28"/>
      <c r="C17" s="28"/>
    </row>
    <row r="18" spans="1:3">
      <c r="A18" s="28">
        <v>10</v>
      </c>
      <c r="B18" s="28"/>
      <c r="C18" s="28"/>
    </row>
    <row r="19" spans="1:3">
      <c r="A19" s="28">
        <v>11</v>
      </c>
      <c r="B19" s="28"/>
      <c r="C19" s="28"/>
    </row>
    <row r="20" spans="1:3">
      <c r="A20" s="28">
        <v>12</v>
      </c>
      <c r="B20" s="28"/>
      <c r="C20" s="28"/>
    </row>
    <row r="21" spans="1:3">
      <c r="A21" s="28">
        <v>13</v>
      </c>
      <c r="B21" s="28"/>
      <c r="C21" s="28"/>
    </row>
    <row r="22" spans="1:3">
      <c r="A22" s="28">
        <v>14</v>
      </c>
      <c r="B22" s="28"/>
      <c r="C22" s="28"/>
    </row>
    <row r="23" spans="1:3">
      <c r="A23" s="28">
        <v>15</v>
      </c>
      <c r="B23" s="28"/>
      <c r="C23" s="28"/>
    </row>
    <row r="24" spans="1:3">
      <c r="A24" s="28">
        <v>16</v>
      </c>
      <c r="B24" s="28"/>
      <c r="C24" s="28"/>
    </row>
    <row r="25" spans="1:3">
      <c r="A25" s="28">
        <v>17</v>
      </c>
      <c r="B25" s="28"/>
      <c r="C25" s="28"/>
    </row>
    <row r="26" spans="1:3">
      <c r="A26" s="28">
        <v>18</v>
      </c>
      <c r="B26" s="28"/>
      <c r="C26" s="28"/>
    </row>
    <row r="27" spans="1:3">
      <c r="A27" s="28">
        <v>19</v>
      </c>
      <c r="B27" s="28"/>
      <c r="C27" s="28"/>
    </row>
    <row r="28" spans="1:3">
      <c r="A28" s="28">
        <v>20</v>
      </c>
      <c r="B28" s="28"/>
      <c r="C28" s="28"/>
    </row>
  </sheetData>
  <mergeCells count="5">
    <mergeCell ref="A3:B3"/>
    <mergeCell ref="A4:B4"/>
    <mergeCell ref="A7:B7"/>
    <mergeCell ref="A5:B5"/>
    <mergeCell ref="A6:B6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400050</xdr:colOff>
                    <xdr:row>9</xdr:row>
                    <xdr:rowOff>38100</xdr:rowOff>
                  </from>
                  <to>
                    <xdr:col>6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D0306-EC63-4929-9927-CFB78F34953E}">
  <sheetPr codeName="Sheet11"/>
  <dimension ref="A3:E19"/>
  <sheetViews>
    <sheetView workbookViewId="0">
      <selection activeCell="A41" sqref="A41"/>
    </sheetView>
  </sheetViews>
  <sheetFormatPr defaultRowHeight="12.75"/>
  <sheetData>
    <row r="3" spans="1:5">
      <c r="A3" t="s">
        <v>594</v>
      </c>
      <c r="D3">
        <v>0</v>
      </c>
      <c r="E3">
        <v>0</v>
      </c>
    </row>
    <row r="4" spans="1:5">
      <c r="A4" t="s">
        <v>595</v>
      </c>
      <c r="D4">
        <v>0</v>
      </c>
      <c r="E4">
        <v>1</v>
      </c>
    </row>
    <row r="5" spans="1:5">
      <c r="A5" t="s">
        <v>596</v>
      </c>
      <c r="D5">
        <v>0.5</v>
      </c>
      <c r="E5">
        <v>1</v>
      </c>
    </row>
    <row r="6" spans="1:5">
      <c r="A6" t="s">
        <v>597</v>
      </c>
      <c r="D6">
        <v>0.5</v>
      </c>
      <c r="E6">
        <v>-1</v>
      </c>
    </row>
    <row r="7" spans="1:5">
      <c r="A7" t="s">
        <v>598</v>
      </c>
      <c r="D7">
        <v>1</v>
      </c>
      <c r="E7">
        <v>-1</v>
      </c>
    </row>
    <row r="8" spans="1:5">
      <c r="A8" t="s">
        <v>594</v>
      </c>
      <c r="D8">
        <v>1</v>
      </c>
      <c r="E8">
        <v>0</v>
      </c>
    </row>
    <row r="12" spans="1:5">
      <c r="D12">
        <v>0</v>
      </c>
      <c r="E12">
        <v>0</v>
      </c>
    </row>
    <row r="13" spans="1:5">
      <c r="D13">
        <v>0</v>
      </c>
      <c r="E13">
        <v>1</v>
      </c>
    </row>
    <row r="14" spans="1:5">
      <c r="D14">
        <v>0.25</v>
      </c>
      <c r="E14">
        <v>1</v>
      </c>
    </row>
    <row r="15" spans="1:5">
      <c r="D15">
        <v>0.25</v>
      </c>
      <c r="E15">
        <v>1.5</v>
      </c>
    </row>
    <row r="16" spans="1:5">
      <c r="D16">
        <v>0.5</v>
      </c>
      <c r="E16">
        <v>1.5</v>
      </c>
    </row>
    <row r="17" spans="4:5">
      <c r="D17">
        <v>0.5</v>
      </c>
      <c r="E17">
        <v>-1</v>
      </c>
    </row>
    <row r="18" spans="4:5">
      <c r="D18">
        <v>1</v>
      </c>
      <c r="E18">
        <v>-1</v>
      </c>
    </row>
    <row r="19" spans="4:5">
      <c r="D19">
        <v>1</v>
      </c>
      <c r="E19">
        <v>0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2FC8F-C487-4318-A567-2F334A95D88F}">
  <sheetPr codeName="Sheet12"/>
  <dimension ref="A3:R38"/>
  <sheetViews>
    <sheetView showGridLines="0" topLeftCell="A13" workbookViewId="0">
      <selection activeCell="I62" sqref="I62"/>
    </sheetView>
  </sheetViews>
  <sheetFormatPr defaultColWidth="12.83203125" defaultRowHeight="12.75"/>
  <sheetData>
    <row r="3" spans="1:18" ht="15">
      <c r="A3" s="207" t="s">
        <v>599</v>
      </c>
      <c r="B3" s="208">
        <v>4</v>
      </c>
      <c r="C3" s="208">
        <v>5</v>
      </c>
      <c r="D3" s="208">
        <v>6</v>
      </c>
      <c r="E3" s="208">
        <v>7</v>
      </c>
      <c r="F3" s="208">
        <v>8</v>
      </c>
      <c r="G3" s="208">
        <v>9</v>
      </c>
      <c r="H3" s="208">
        <v>10</v>
      </c>
      <c r="I3" s="208">
        <v>11</v>
      </c>
      <c r="J3" s="208">
        <v>12</v>
      </c>
      <c r="K3" s="208">
        <v>13</v>
      </c>
      <c r="L3" s="208">
        <v>14</v>
      </c>
      <c r="M3" s="208">
        <v>15</v>
      </c>
      <c r="N3" s="208">
        <v>16</v>
      </c>
      <c r="O3" s="208">
        <v>17</v>
      </c>
      <c r="P3" s="208">
        <v>18</v>
      </c>
      <c r="Q3" s="209"/>
      <c r="R3" s="208"/>
    </row>
    <row r="4" spans="1:18" ht="15">
      <c r="A4" s="210">
        <v>1</v>
      </c>
      <c r="B4" s="208">
        <v>311</v>
      </c>
      <c r="C4" s="208">
        <v>2734</v>
      </c>
      <c r="D4" s="208">
        <v>6402</v>
      </c>
      <c r="E4" s="208">
        <v>7132</v>
      </c>
      <c r="F4" s="208">
        <v>5071</v>
      </c>
      <c r="G4" s="208">
        <v>2711</v>
      </c>
      <c r="H4" s="208">
        <v>1202</v>
      </c>
      <c r="I4" s="208">
        <v>470</v>
      </c>
      <c r="J4" s="208">
        <v>169</v>
      </c>
      <c r="K4" s="208">
        <v>57</v>
      </c>
      <c r="L4" s="208">
        <v>19</v>
      </c>
      <c r="M4" s="208">
        <v>6</v>
      </c>
      <c r="N4" s="208">
        <v>2</v>
      </c>
      <c r="O4" s="208">
        <v>1</v>
      </c>
      <c r="P4" s="208">
        <v>0</v>
      </c>
      <c r="Q4" s="208">
        <f t="shared" ref="Q4:Q19" si="0">SUM(B4:P4)</f>
        <v>26287</v>
      </c>
      <c r="R4" s="208">
        <f t="shared" ref="R4:R17" si="1">Q4/$Q$18</f>
        <v>0.26286999999999999</v>
      </c>
    </row>
    <row r="5" spans="1:18" ht="15">
      <c r="A5" s="210">
        <v>2</v>
      </c>
      <c r="B5" s="208">
        <v>20</v>
      </c>
      <c r="C5" s="208">
        <v>764</v>
      </c>
      <c r="D5" s="208">
        <v>4453</v>
      </c>
      <c r="E5" s="208">
        <v>8841</v>
      </c>
      <c r="F5" s="208">
        <v>9045</v>
      </c>
      <c r="G5" s="208">
        <v>6020</v>
      </c>
      <c r="H5" s="208">
        <v>3000</v>
      </c>
      <c r="I5" s="208">
        <v>1225</v>
      </c>
      <c r="J5" s="208">
        <v>435</v>
      </c>
      <c r="K5" s="208">
        <v>140</v>
      </c>
      <c r="L5" s="208">
        <v>42</v>
      </c>
      <c r="M5" s="208">
        <v>12</v>
      </c>
      <c r="N5" s="208">
        <v>3</v>
      </c>
      <c r="O5" s="208">
        <v>1</v>
      </c>
      <c r="P5" s="208">
        <v>0</v>
      </c>
      <c r="Q5" s="208">
        <f t="shared" si="0"/>
        <v>34001</v>
      </c>
      <c r="R5" s="208">
        <f t="shared" si="1"/>
        <v>0.34000999999999998</v>
      </c>
    </row>
    <row r="6" spans="1:18" ht="15">
      <c r="A6" s="210">
        <v>3</v>
      </c>
      <c r="B6" s="208">
        <v>0</v>
      </c>
      <c r="C6" s="208">
        <v>57</v>
      </c>
      <c r="D6" s="208">
        <v>902</v>
      </c>
      <c r="E6" s="208">
        <v>3474</v>
      </c>
      <c r="F6" s="208">
        <v>5549</v>
      </c>
      <c r="G6" s="208">
        <v>4973</v>
      </c>
      <c r="H6" s="208">
        <v>3004</v>
      </c>
      <c r="I6" s="208">
        <v>1377</v>
      </c>
      <c r="J6" s="208">
        <v>518</v>
      </c>
      <c r="K6" s="208">
        <v>169</v>
      </c>
      <c r="L6" s="208">
        <v>50</v>
      </c>
      <c r="M6" s="208">
        <v>14</v>
      </c>
      <c r="N6" s="208">
        <v>4</v>
      </c>
      <c r="O6" s="208">
        <v>1</v>
      </c>
      <c r="P6" s="208">
        <v>0</v>
      </c>
      <c r="Q6" s="208">
        <f t="shared" si="0"/>
        <v>20092</v>
      </c>
      <c r="R6" s="208">
        <f t="shared" si="1"/>
        <v>0.20091999999999999</v>
      </c>
    </row>
    <row r="7" spans="1:18" ht="15">
      <c r="A7" s="210">
        <v>4</v>
      </c>
      <c r="B7" s="208">
        <v>0</v>
      </c>
      <c r="C7" s="208">
        <v>4</v>
      </c>
      <c r="D7" s="208">
        <v>150</v>
      </c>
      <c r="E7" s="208">
        <v>1007</v>
      </c>
      <c r="F7" s="208">
        <v>2401</v>
      </c>
      <c r="G7" s="208">
        <v>2881</v>
      </c>
      <c r="H7" s="208">
        <v>2156</v>
      </c>
      <c r="I7" s="208">
        <v>1154</v>
      </c>
      <c r="J7" s="208">
        <v>485</v>
      </c>
      <c r="K7" s="208">
        <v>171</v>
      </c>
      <c r="L7" s="208">
        <v>53</v>
      </c>
      <c r="M7" s="208">
        <v>15</v>
      </c>
      <c r="N7" s="208">
        <v>4</v>
      </c>
      <c r="O7" s="208">
        <v>1</v>
      </c>
      <c r="P7" s="208">
        <v>0</v>
      </c>
      <c r="Q7" s="208">
        <f t="shared" si="0"/>
        <v>10482</v>
      </c>
      <c r="R7" s="208">
        <f t="shared" si="1"/>
        <v>0.10482</v>
      </c>
    </row>
    <row r="8" spans="1:18" ht="15">
      <c r="A8" s="210">
        <v>5</v>
      </c>
      <c r="B8" s="208">
        <v>0</v>
      </c>
      <c r="C8" s="208">
        <v>0</v>
      </c>
      <c r="D8" s="208">
        <v>25</v>
      </c>
      <c r="E8" s="208">
        <v>258</v>
      </c>
      <c r="F8" s="208">
        <v>859</v>
      </c>
      <c r="G8" s="208">
        <v>1338</v>
      </c>
      <c r="H8" s="208">
        <v>1230</v>
      </c>
      <c r="I8" s="208">
        <v>776</v>
      </c>
      <c r="J8" s="208">
        <v>372</v>
      </c>
      <c r="K8" s="208">
        <v>146</v>
      </c>
      <c r="L8" s="208">
        <v>49</v>
      </c>
      <c r="M8" s="208">
        <v>15</v>
      </c>
      <c r="N8" s="208">
        <v>4</v>
      </c>
      <c r="O8" s="208">
        <v>1</v>
      </c>
      <c r="P8" s="208">
        <v>0</v>
      </c>
      <c r="Q8" s="208">
        <f t="shared" si="0"/>
        <v>5073</v>
      </c>
      <c r="R8" s="208">
        <f t="shared" si="1"/>
        <v>5.0729999999999997E-2</v>
      </c>
    </row>
    <row r="9" spans="1:18" ht="15">
      <c r="A9" s="210">
        <v>6</v>
      </c>
      <c r="B9" s="208">
        <v>0</v>
      </c>
      <c r="C9" s="208">
        <v>0</v>
      </c>
      <c r="D9" s="208">
        <v>4</v>
      </c>
      <c r="E9" s="208">
        <v>63</v>
      </c>
      <c r="F9" s="208">
        <v>277</v>
      </c>
      <c r="G9" s="208">
        <v>540</v>
      </c>
      <c r="H9" s="208">
        <v>597</v>
      </c>
      <c r="I9" s="208">
        <v>440</v>
      </c>
      <c r="J9" s="208">
        <v>240</v>
      </c>
      <c r="K9" s="208">
        <v>105</v>
      </c>
      <c r="L9" s="208">
        <v>39</v>
      </c>
      <c r="M9" s="208">
        <v>13</v>
      </c>
      <c r="N9" s="208">
        <v>4</v>
      </c>
      <c r="O9" s="208">
        <v>1</v>
      </c>
      <c r="P9" s="208">
        <v>0</v>
      </c>
      <c r="Q9" s="208">
        <f t="shared" si="0"/>
        <v>2323</v>
      </c>
      <c r="R9" s="208">
        <f t="shared" si="1"/>
        <v>2.3230000000000001E-2</v>
      </c>
    </row>
    <row r="10" spans="1:18" ht="15">
      <c r="A10" s="210">
        <v>7</v>
      </c>
      <c r="B10" s="208">
        <v>0</v>
      </c>
      <c r="C10" s="208">
        <v>0</v>
      </c>
      <c r="D10" s="208">
        <v>1</v>
      </c>
      <c r="E10" s="208">
        <v>15</v>
      </c>
      <c r="F10" s="208">
        <v>84</v>
      </c>
      <c r="G10" s="208">
        <v>198</v>
      </c>
      <c r="H10" s="208">
        <v>258</v>
      </c>
      <c r="I10" s="208">
        <v>219</v>
      </c>
      <c r="J10" s="208">
        <v>136</v>
      </c>
      <c r="K10" s="208">
        <v>66</v>
      </c>
      <c r="L10" s="208">
        <v>27</v>
      </c>
      <c r="M10" s="208">
        <v>10</v>
      </c>
      <c r="N10" s="208">
        <v>3</v>
      </c>
      <c r="O10" s="208">
        <v>1</v>
      </c>
      <c r="P10" s="208">
        <v>0</v>
      </c>
      <c r="Q10" s="208">
        <f t="shared" si="0"/>
        <v>1018</v>
      </c>
      <c r="R10" s="208">
        <f t="shared" si="1"/>
        <v>1.018E-2</v>
      </c>
    </row>
    <row r="11" spans="1:18" ht="15">
      <c r="A11" s="210">
        <v>8</v>
      </c>
      <c r="B11" s="208">
        <v>0</v>
      </c>
      <c r="C11" s="208">
        <v>0</v>
      </c>
      <c r="D11" s="208">
        <v>0</v>
      </c>
      <c r="E11" s="208">
        <v>4</v>
      </c>
      <c r="F11" s="208">
        <v>25</v>
      </c>
      <c r="G11" s="208">
        <v>69</v>
      </c>
      <c r="H11" s="208">
        <v>103</v>
      </c>
      <c r="I11" s="208">
        <v>99</v>
      </c>
      <c r="J11" s="208">
        <v>69</v>
      </c>
      <c r="K11" s="208">
        <v>37</v>
      </c>
      <c r="L11" s="208">
        <v>17</v>
      </c>
      <c r="M11" s="208">
        <v>6</v>
      </c>
      <c r="N11" s="208">
        <v>2</v>
      </c>
      <c r="O11" s="208">
        <v>1</v>
      </c>
      <c r="P11" s="208">
        <v>0</v>
      </c>
      <c r="Q11" s="208">
        <f t="shared" si="0"/>
        <v>432</v>
      </c>
      <c r="R11" s="208">
        <f t="shared" si="1"/>
        <v>4.3200000000000001E-3</v>
      </c>
    </row>
    <row r="12" spans="1:18" ht="15">
      <c r="A12" s="210">
        <v>9</v>
      </c>
      <c r="B12" s="208">
        <v>0</v>
      </c>
      <c r="C12" s="208">
        <v>0</v>
      </c>
      <c r="D12" s="208">
        <v>0</v>
      </c>
      <c r="E12" s="208">
        <v>1</v>
      </c>
      <c r="F12" s="208">
        <v>7</v>
      </c>
      <c r="G12" s="208">
        <v>23</v>
      </c>
      <c r="H12" s="208">
        <v>39</v>
      </c>
      <c r="I12" s="208">
        <v>42</v>
      </c>
      <c r="J12" s="208">
        <v>32</v>
      </c>
      <c r="K12" s="208">
        <v>19</v>
      </c>
      <c r="L12" s="208">
        <v>9</v>
      </c>
      <c r="M12" s="208">
        <v>4</v>
      </c>
      <c r="N12" s="208">
        <v>1</v>
      </c>
      <c r="O12" s="208">
        <v>1</v>
      </c>
      <c r="P12" s="208">
        <v>0</v>
      </c>
      <c r="Q12" s="208">
        <f t="shared" si="0"/>
        <v>178</v>
      </c>
      <c r="R12" s="208">
        <f t="shared" si="1"/>
        <v>1.7799999999999999E-3</v>
      </c>
    </row>
    <row r="13" spans="1:18" ht="15">
      <c r="A13" s="210">
        <v>10</v>
      </c>
      <c r="B13" s="208">
        <v>0</v>
      </c>
      <c r="C13" s="208">
        <v>0</v>
      </c>
      <c r="D13" s="208">
        <v>0</v>
      </c>
      <c r="E13" s="208">
        <v>0</v>
      </c>
      <c r="F13" s="208">
        <v>2</v>
      </c>
      <c r="G13" s="208">
        <v>7</v>
      </c>
      <c r="H13" s="208">
        <v>14</v>
      </c>
      <c r="I13" s="208">
        <v>16</v>
      </c>
      <c r="J13" s="208">
        <v>14</v>
      </c>
      <c r="K13" s="208">
        <v>9</v>
      </c>
      <c r="L13" s="208">
        <v>5</v>
      </c>
      <c r="M13" s="208">
        <v>2</v>
      </c>
      <c r="N13" s="208">
        <v>1</v>
      </c>
      <c r="O13" s="208">
        <v>0</v>
      </c>
      <c r="P13" s="208">
        <v>0</v>
      </c>
      <c r="Q13" s="208">
        <f t="shared" si="0"/>
        <v>70</v>
      </c>
      <c r="R13" s="208">
        <f t="shared" si="1"/>
        <v>6.9999999999999999E-4</v>
      </c>
    </row>
    <row r="14" spans="1:18" ht="15">
      <c r="A14" s="210">
        <v>11</v>
      </c>
      <c r="B14" s="208">
        <v>0</v>
      </c>
      <c r="C14" s="208">
        <v>0</v>
      </c>
      <c r="D14" s="208">
        <v>0</v>
      </c>
      <c r="E14" s="208">
        <v>0</v>
      </c>
      <c r="F14" s="208">
        <v>1</v>
      </c>
      <c r="G14" s="208">
        <v>2</v>
      </c>
      <c r="H14" s="208">
        <v>5</v>
      </c>
      <c r="I14" s="208">
        <v>6</v>
      </c>
      <c r="J14" s="208">
        <v>6</v>
      </c>
      <c r="K14" s="208">
        <v>4</v>
      </c>
      <c r="L14" s="208">
        <v>2</v>
      </c>
      <c r="M14" s="208">
        <v>1</v>
      </c>
      <c r="N14" s="208">
        <v>1</v>
      </c>
      <c r="O14" s="208">
        <v>0</v>
      </c>
      <c r="P14" s="208">
        <v>0</v>
      </c>
      <c r="Q14" s="208">
        <f t="shared" si="0"/>
        <v>28</v>
      </c>
      <c r="R14" s="208">
        <f t="shared" si="1"/>
        <v>2.7999999999999998E-4</v>
      </c>
    </row>
    <row r="15" spans="1:18" ht="15">
      <c r="A15" s="210">
        <v>12</v>
      </c>
      <c r="B15" s="208">
        <v>0</v>
      </c>
      <c r="C15" s="208">
        <v>0</v>
      </c>
      <c r="D15" s="208">
        <v>0</v>
      </c>
      <c r="E15" s="208">
        <v>0</v>
      </c>
      <c r="F15" s="208">
        <v>0</v>
      </c>
      <c r="G15" s="208">
        <v>1</v>
      </c>
      <c r="H15" s="208">
        <v>2</v>
      </c>
      <c r="I15" s="208">
        <v>2</v>
      </c>
      <c r="J15" s="208">
        <v>2</v>
      </c>
      <c r="K15" s="208">
        <v>2</v>
      </c>
      <c r="L15" s="208">
        <v>1</v>
      </c>
      <c r="M15" s="208">
        <v>1</v>
      </c>
      <c r="N15" s="208">
        <v>0</v>
      </c>
      <c r="O15" s="208">
        <v>0</v>
      </c>
      <c r="P15" s="208">
        <v>0</v>
      </c>
      <c r="Q15" s="208">
        <f t="shared" si="0"/>
        <v>11</v>
      </c>
      <c r="R15" s="208">
        <f t="shared" si="1"/>
        <v>1.1E-4</v>
      </c>
    </row>
    <row r="16" spans="1:18" ht="15">
      <c r="A16" s="210">
        <v>13</v>
      </c>
      <c r="B16" s="208">
        <v>0</v>
      </c>
      <c r="C16" s="208">
        <v>0</v>
      </c>
      <c r="D16" s="208">
        <v>0</v>
      </c>
      <c r="E16" s="208">
        <v>0</v>
      </c>
      <c r="F16" s="208">
        <v>0</v>
      </c>
      <c r="G16" s="208">
        <v>0</v>
      </c>
      <c r="H16" s="208">
        <v>1</v>
      </c>
      <c r="I16" s="208">
        <v>1</v>
      </c>
      <c r="J16" s="208">
        <v>1</v>
      </c>
      <c r="K16" s="208">
        <v>1</v>
      </c>
      <c r="L16" s="208">
        <v>0</v>
      </c>
      <c r="M16" s="208">
        <v>0</v>
      </c>
      <c r="N16" s="208">
        <v>0</v>
      </c>
      <c r="O16" s="208">
        <v>0</v>
      </c>
      <c r="P16" s="208">
        <v>0</v>
      </c>
      <c r="Q16" s="208">
        <f t="shared" si="0"/>
        <v>4</v>
      </c>
      <c r="R16" s="208">
        <f t="shared" si="1"/>
        <v>4.0000000000000003E-5</v>
      </c>
    </row>
    <row r="17" spans="1:18" ht="15">
      <c r="A17" s="211">
        <v>14</v>
      </c>
      <c r="B17" s="208">
        <v>0</v>
      </c>
      <c r="C17" s="208">
        <v>0</v>
      </c>
      <c r="D17" s="208">
        <v>0</v>
      </c>
      <c r="E17" s="208">
        <v>0</v>
      </c>
      <c r="F17" s="208">
        <v>0</v>
      </c>
      <c r="G17" s="208">
        <v>0</v>
      </c>
      <c r="H17" s="208">
        <v>0</v>
      </c>
      <c r="I17" s="208">
        <v>0</v>
      </c>
      <c r="J17" s="208">
        <v>1</v>
      </c>
      <c r="K17" s="208">
        <v>0</v>
      </c>
      <c r="L17" s="208">
        <v>0</v>
      </c>
      <c r="M17" s="208">
        <v>0</v>
      </c>
      <c r="N17" s="208">
        <v>0</v>
      </c>
      <c r="O17" s="208">
        <v>0</v>
      </c>
      <c r="P17" s="208">
        <v>0</v>
      </c>
      <c r="Q17" s="208">
        <f t="shared" si="0"/>
        <v>1</v>
      </c>
      <c r="R17" s="208">
        <f t="shared" si="1"/>
        <v>1.0000000000000001E-5</v>
      </c>
    </row>
    <row r="18" spans="1:18" ht="15">
      <c r="A18" s="208"/>
      <c r="B18" s="208">
        <f t="shared" ref="B18:P18" si="2">SUM(B4:B17)</f>
        <v>331</v>
      </c>
      <c r="C18" s="208">
        <f t="shared" si="2"/>
        <v>3559</v>
      </c>
      <c r="D18" s="208">
        <f t="shared" si="2"/>
        <v>11937</v>
      </c>
      <c r="E18" s="208">
        <f t="shared" si="2"/>
        <v>20795</v>
      </c>
      <c r="F18" s="208">
        <f t="shared" si="2"/>
        <v>23321</v>
      </c>
      <c r="G18" s="208">
        <f t="shared" si="2"/>
        <v>18763</v>
      </c>
      <c r="H18" s="208">
        <f t="shared" si="2"/>
        <v>11611</v>
      </c>
      <c r="I18" s="208">
        <f t="shared" si="2"/>
        <v>5827</v>
      </c>
      <c r="J18" s="208">
        <f t="shared" si="2"/>
        <v>2480</v>
      </c>
      <c r="K18" s="208">
        <f t="shared" si="2"/>
        <v>926</v>
      </c>
      <c r="L18" s="208">
        <f t="shared" si="2"/>
        <v>313</v>
      </c>
      <c r="M18" s="208">
        <f t="shared" si="2"/>
        <v>99</v>
      </c>
      <c r="N18" s="208">
        <f t="shared" si="2"/>
        <v>29</v>
      </c>
      <c r="O18" s="208">
        <f t="shared" si="2"/>
        <v>9</v>
      </c>
      <c r="P18" s="208">
        <f t="shared" si="2"/>
        <v>0</v>
      </c>
      <c r="Q18" s="208">
        <f t="shared" si="0"/>
        <v>100000</v>
      </c>
      <c r="R18" s="208">
        <f>SUM(R4:R17)</f>
        <v>0.99999999999999989</v>
      </c>
    </row>
    <row r="19" spans="1:18" ht="15">
      <c r="A19" s="208"/>
      <c r="B19" s="208">
        <f t="shared" ref="B19:P19" si="3">B18/$Q$18</f>
        <v>3.31E-3</v>
      </c>
      <c r="C19" s="208">
        <f t="shared" si="3"/>
        <v>3.5589999999999997E-2</v>
      </c>
      <c r="D19" s="208">
        <f t="shared" si="3"/>
        <v>0.11937</v>
      </c>
      <c r="E19" s="208">
        <f t="shared" si="3"/>
        <v>0.20795</v>
      </c>
      <c r="F19" s="208">
        <f t="shared" si="3"/>
        <v>0.23321</v>
      </c>
      <c r="G19" s="208">
        <f t="shared" si="3"/>
        <v>0.18762999999999999</v>
      </c>
      <c r="H19" s="208">
        <f t="shared" si="3"/>
        <v>0.11611</v>
      </c>
      <c r="I19" s="208">
        <f t="shared" si="3"/>
        <v>5.8270000000000002E-2</v>
      </c>
      <c r="J19" s="208">
        <f t="shared" si="3"/>
        <v>2.4799999999999999E-2</v>
      </c>
      <c r="K19" s="208">
        <f t="shared" si="3"/>
        <v>9.2599999999999991E-3</v>
      </c>
      <c r="L19" s="208">
        <f t="shared" si="3"/>
        <v>3.13E-3</v>
      </c>
      <c r="M19" s="208">
        <f t="shared" si="3"/>
        <v>9.8999999999999999E-4</v>
      </c>
      <c r="N19" s="208">
        <f t="shared" si="3"/>
        <v>2.9E-4</v>
      </c>
      <c r="O19" s="208">
        <f t="shared" si="3"/>
        <v>9.0000000000000006E-5</v>
      </c>
      <c r="P19" s="208">
        <f t="shared" si="3"/>
        <v>0</v>
      </c>
      <c r="Q19" s="208">
        <f t="shared" si="0"/>
        <v>1.0000000000000002</v>
      </c>
      <c r="R19" s="208"/>
    </row>
    <row r="23" spans="1:18">
      <c r="A23" s="57" t="s">
        <v>600</v>
      </c>
      <c r="B23" s="57" t="s">
        <v>601</v>
      </c>
      <c r="C23" s="57" t="s">
        <v>602</v>
      </c>
    </row>
    <row r="24" spans="1:18">
      <c r="A24">
        <f t="shared" ref="A24:A37" si="4">A4</f>
        <v>1</v>
      </c>
      <c r="B24">
        <f t="shared" ref="B24:B37" si="5">Q4</f>
        <v>26287</v>
      </c>
      <c r="C24" s="212">
        <f t="shared" ref="C24:C37" si="6">B24/$B$38</f>
        <v>0.26286999999999999</v>
      </c>
      <c r="D24" s="212">
        <f t="shared" ref="D24:D37" si="7">C24/0.5</f>
        <v>0.52573999999999999</v>
      </c>
    </row>
    <row r="25" spans="1:18">
      <c r="A25">
        <f t="shared" si="4"/>
        <v>2</v>
      </c>
      <c r="B25">
        <f t="shared" si="5"/>
        <v>34001</v>
      </c>
      <c r="C25" s="212">
        <f t="shared" si="6"/>
        <v>0.34000999999999998</v>
      </c>
      <c r="D25" s="212">
        <f t="shared" si="7"/>
        <v>0.68001999999999996</v>
      </c>
    </row>
    <row r="26" spans="1:18">
      <c r="A26">
        <f t="shared" si="4"/>
        <v>3</v>
      </c>
      <c r="B26">
        <f t="shared" si="5"/>
        <v>20092</v>
      </c>
      <c r="C26" s="212">
        <f t="shared" si="6"/>
        <v>0.20091999999999999</v>
      </c>
      <c r="D26" s="212">
        <f t="shared" si="7"/>
        <v>0.40183999999999997</v>
      </c>
    </row>
    <row r="27" spans="1:18">
      <c r="A27">
        <f t="shared" si="4"/>
        <v>4</v>
      </c>
      <c r="B27">
        <f t="shared" si="5"/>
        <v>10482</v>
      </c>
      <c r="C27" s="212">
        <f t="shared" si="6"/>
        <v>0.10482</v>
      </c>
      <c r="D27" s="212">
        <f t="shared" si="7"/>
        <v>0.20963999999999999</v>
      </c>
    </row>
    <row r="28" spans="1:18">
      <c r="A28">
        <f t="shared" si="4"/>
        <v>5</v>
      </c>
      <c r="B28">
        <f t="shared" si="5"/>
        <v>5073</v>
      </c>
      <c r="C28" s="212">
        <f t="shared" si="6"/>
        <v>5.0729999999999997E-2</v>
      </c>
      <c r="D28" s="212">
        <f t="shared" si="7"/>
        <v>0.10145999999999999</v>
      </c>
    </row>
    <row r="29" spans="1:18">
      <c r="A29">
        <f t="shared" si="4"/>
        <v>6</v>
      </c>
      <c r="B29">
        <f t="shared" si="5"/>
        <v>2323</v>
      </c>
      <c r="C29" s="212">
        <f t="shared" si="6"/>
        <v>2.3230000000000001E-2</v>
      </c>
      <c r="D29" s="212">
        <f t="shared" si="7"/>
        <v>4.6460000000000001E-2</v>
      </c>
    </row>
    <row r="30" spans="1:18">
      <c r="A30">
        <f t="shared" si="4"/>
        <v>7</v>
      </c>
      <c r="B30">
        <f t="shared" si="5"/>
        <v>1018</v>
      </c>
      <c r="C30" s="212">
        <f t="shared" si="6"/>
        <v>1.018E-2</v>
      </c>
      <c r="D30" s="212">
        <f t="shared" si="7"/>
        <v>2.036E-2</v>
      </c>
    </row>
    <row r="31" spans="1:18">
      <c r="A31">
        <f t="shared" si="4"/>
        <v>8</v>
      </c>
      <c r="B31">
        <f t="shared" si="5"/>
        <v>432</v>
      </c>
      <c r="C31" s="212">
        <f t="shared" si="6"/>
        <v>4.3200000000000001E-3</v>
      </c>
      <c r="D31" s="212">
        <f t="shared" si="7"/>
        <v>8.6400000000000001E-3</v>
      </c>
    </row>
    <row r="32" spans="1:18">
      <c r="A32">
        <f t="shared" si="4"/>
        <v>9</v>
      </c>
      <c r="B32">
        <f t="shared" si="5"/>
        <v>178</v>
      </c>
      <c r="C32" s="212">
        <f t="shared" si="6"/>
        <v>1.7799999999999999E-3</v>
      </c>
      <c r="D32" s="212">
        <f t="shared" si="7"/>
        <v>3.5599999999999998E-3</v>
      </c>
    </row>
    <row r="33" spans="1:4">
      <c r="A33">
        <f t="shared" si="4"/>
        <v>10</v>
      </c>
      <c r="B33">
        <f t="shared" si="5"/>
        <v>70</v>
      </c>
      <c r="C33" s="212">
        <f t="shared" si="6"/>
        <v>6.9999999999999999E-4</v>
      </c>
      <c r="D33" s="212">
        <f t="shared" si="7"/>
        <v>1.4E-3</v>
      </c>
    </row>
    <row r="34" spans="1:4">
      <c r="A34">
        <f t="shared" si="4"/>
        <v>11</v>
      </c>
      <c r="B34">
        <f t="shared" si="5"/>
        <v>28</v>
      </c>
      <c r="C34" s="212">
        <f t="shared" si="6"/>
        <v>2.7999999999999998E-4</v>
      </c>
      <c r="D34" s="212">
        <f t="shared" si="7"/>
        <v>5.5999999999999995E-4</v>
      </c>
    </row>
    <row r="35" spans="1:4">
      <c r="A35">
        <f t="shared" si="4"/>
        <v>12</v>
      </c>
      <c r="B35">
        <f t="shared" si="5"/>
        <v>11</v>
      </c>
      <c r="C35" s="212">
        <f t="shared" si="6"/>
        <v>1.1E-4</v>
      </c>
      <c r="D35" s="212">
        <f t="shared" si="7"/>
        <v>2.2000000000000001E-4</v>
      </c>
    </row>
    <row r="36" spans="1:4">
      <c r="A36">
        <f t="shared" si="4"/>
        <v>13</v>
      </c>
      <c r="B36">
        <f t="shared" si="5"/>
        <v>4</v>
      </c>
      <c r="C36" s="212">
        <f t="shared" si="6"/>
        <v>4.0000000000000003E-5</v>
      </c>
      <c r="D36" s="212">
        <f t="shared" si="7"/>
        <v>8.0000000000000007E-5</v>
      </c>
    </row>
    <row r="37" spans="1:4">
      <c r="A37">
        <f t="shared" si="4"/>
        <v>14</v>
      </c>
      <c r="B37">
        <f t="shared" si="5"/>
        <v>1</v>
      </c>
      <c r="C37" s="212">
        <f t="shared" si="6"/>
        <v>1.0000000000000001E-5</v>
      </c>
      <c r="D37" s="212">
        <f t="shared" si="7"/>
        <v>2.0000000000000002E-5</v>
      </c>
    </row>
    <row r="38" spans="1:4">
      <c r="B38">
        <f>SUM(B24:B37)</f>
        <v>100000</v>
      </c>
      <c r="C38" s="212">
        <f>SUM(C24:C37)</f>
        <v>0.99999999999999989</v>
      </c>
      <c r="D38" s="212">
        <f>SUM(D24:D37)</f>
        <v>1.9999999999999998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342EE-8337-455E-9CAC-B999FC7923AE}">
  <sheetPr codeName="Sheet13"/>
  <dimension ref="A10:K122"/>
  <sheetViews>
    <sheetView topLeftCell="A72" workbookViewId="0">
      <selection activeCell="N92" sqref="N92"/>
    </sheetView>
  </sheetViews>
  <sheetFormatPr defaultRowHeight="12.75"/>
  <cols>
    <col min="3" max="3" width="10.6640625" bestFit="1" customWidth="1"/>
    <col min="5" max="5" width="10.6640625" bestFit="1" customWidth="1"/>
  </cols>
  <sheetData>
    <row r="10" spans="1:2">
      <c r="B10" s="19" t="s">
        <v>603</v>
      </c>
    </row>
    <row r="11" spans="1:2">
      <c r="A11" s="22" t="s">
        <v>604</v>
      </c>
      <c r="B11" s="223">
        <v>1.12E-2</v>
      </c>
    </row>
    <row r="12" spans="1:2">
      <c r="A12" s="22" t="s">
        <v>367</v>
      </c>
      <c r="B12" s="225">
        <v>-7.1999999999999998E-3</v>
      </c>
    </row>
    <row r="13" spans="1:2">
      <c r="A13" s="22" t="s">
        <v>605</v>
      </c>
      <c r="B13" s="225">
        <v>3.2000000000000002E-3</v>
      </c>
    </row>
    <row r="14" spans="1:2">
      <c r="A14" s="22" t="s">
        <v>255</v>
      </c>
      <c r="B14" s="225">
        <v>8.0000000000000004E-4</v>
      </c>
    </row>
    <row r="15" spans="1:2">
      <c r="A15" s="22" t="s">
        <v>150</v>
      </c>
      <c r="B15" s="225">
        <v>8.8000000000000005E-3</v>
      </c>
    </row>
    <row r="16" spans="1:2">
      <c r="A16" s="22" t="s">
        <v>606</v>
      </c>
      <c r="B16" s="225">
        <v>-2.3999999999999998E-3</v>
      </c>
    </row>
    <row r="17" spans="1:3">
      <c r="A17" s="22" t="s">
        <v>607</v>
      </c>
      <c r="B17" s="225">
        <v>2E-3</v>
      </c>
    </row>
    <row r="18" spans="1:3">
      <c r="A18" s="22" t="s">
        <v>608</v>
      </c>
      <c r="B18" s="225">
        <v>-2.3999999999999998E-3</v>
      </c>
    </row>
    <row r="19" spans="1:3">
      <c r="A19" s="22" t="s">
        <v>609</v>
      </c>
      <c r="B19" s="225">
        <v>7.1999999999999998E-3</v>
      </c>
    </row>
    <row r="20" spans="1:3">
      <c r="A20" s="22" t="s">
        <v>610</v>
      </c>
      <c r="B20" s="225">
        <v>0</v>
      </c>
    </row>
    <row r="21" spans="1:3">
      <c r="A21" s="22" t="s">
        <v>142</v>
      </c>
      <c r="B21" s="225">
        <v>1.04E-2</v>
      </c>
    </row>
    <row r="22" spans="1:3">
      <c r="A22" s="22" t="s">
        <v>364</v>
      </c>
      <c r="B22" s="225">
        <v>5.5999999999999999E-3</v>
      </c>
    </row>
    <row r="23" spans="1:3">
      <c r="A23" s="22" t="s">
        <v>365</v>
      </c>
      <c r="B23" s="225">
        <v>1.12E-2</v>
      </c>
    </row>
    <row r="29" spans="1:3">
      <c r="B29" t="s">
        <v>611</v>
      </c>
      <c r="C29">
        <v>210000</v>
      </c>
    </row>
    <row r="30" spans="1:3">
      <c r="B30" t="s">
        <v>612</v>
      </c>
      <c r="C30">
        <v>1200</v>
      </c>
    </row>
    <row r="31" spans="1:3">
      <c r="B31" t="s">
        <v>613</v>
      </c>
      <c r="C31">
        <v>0.2</v>
      </c>
    </row>
    <row r="32" spans="1:3">
      <c r="B32" s="19" t="s">
        <v>603</v>
      </c>
    </row>
    <row r="33" spans="1:5">
      <c r="A33">
        <v>0</v>
      </c>
      <c r="B33">
        <v>0</v>
      </c>
      <c r="C33" t="e">
        <f ca="1">stress($C$29,B33,$C$30,$C$31)</f>
        <v>#NAME?</v>
      </c>
    </row>
    <row r="34" spans="1:5">
      <c r="A34">
        <v>1</v>
      </c>
      <c r="B34">
        <v>1.4999999999999999E-2</v>
      </c>
      <c r="C34" t="e">
        <f ca="1">stress($C$29,B34,$C$30,$C$31)</f>
        <v>#NAME?</v>
      </c>
    </row>
    <row r="35" spans="1:5">
      <c r="A35">
        <v>2</v>
      </c>
      <c r="B35">
        <v>-1.4999999999999999E-2</v>
      </c>
      <c r="C35" t="e">
        <f ca="1">stress($C$29,B35,$C$30,$C$31)</f>
        <v>#NAME?</v>
      </c>
    </row>
    <row r="36" spans="1:5">
      <c r="A36">
        <v>3</v>
      </c>
      <c r="B36">
        <v>1.4999999999999999E-2</v>
      </c>
      <c r="C36" t="e">
        <f ca="1">stress($C$29,B36,$C$30,$C$31)</f>
        <v>#NAME?</v>
      </c>
    </row>
    <row r="37" spans="1:5">
      <c r="A37">
        <v>4</v>
      </c>
      <c r="B37">
        <v>-1.4999999999999999E-2</v>
      </c>
      <c r="C37" t="e">
        <f ca="1">stress($C$29,B37,$C$30,$C$31)</f>
        <v>#NAME?</v>
      </c>
    </row>
    <row r="42" spans="1:5">
      <c r="B42">
        <v>0</v>
      </c>
      <c r="C42">
        <v>0</v>
      </c>
      <c r="D42">
        <f>C42</f>
        <v>0</v>
      </c>
      <c r="E42" s="240" t="e">
        <f ca="1">stress_range($C$29,C42,$C$30,$C$31)</f>
        <v>#NAME?</v>
      </c>
    </row>
    <row r="43" spans="1:5">
      <c r="A43">
        <v>1</v>
      </c>
      <c r="B43">
        <f>0.015*A43/50</f>
        <v>2.9999999999999997E-4</v>
      </c>
      <c r="C43">
        <f t="shared" ref="C43:C57" si="0">$B$42+B43</f>
        <v>2.9999999999999997E-4</v>
      </c>
      <c r="D43">
        <f t="shared" ref="D43:D57" si="1">C43</f>
        <v>2.9999999999999997E-4</v>
      </c>
      <c r="E43" s="240" t="e">
        <f t="shared" ref="E43:E57" ca="1" si="2">stress($C$29,C43,$C$30,$C$31)</f>
        <v>#NAME?</v>
      </c>
    </row>
    <row r="44" spans="1:5">
      <c r="A44">
        <v>2</v>
      </c>
      <c r="B44">
        <f t="shared" ref="B44:B57" si="3">0.015*A44/50</f>
        <v>5.9999999999999995E-4</v>
      </c>
      <c r="C44">
        <f t="shared" si="0"/>
        <v>5.9999999999999995E-4</v>
      </c>
      <c r="D44">
        <f t="shared" si="1"/>
        <v>5.9999999999999995E-4</v>
      </c>
      <c r="E44" s="240" t="e">
        <f ca="1">stress($C$29,C44,$C$30,$C$31)</f>
        <v>#NAME?</v>
      </c>
    </row>
    <row r="45" spans="1:5">
      <c r="A45">
        <v>3</v>
      </c>
      <c r="B45">
        <f t="shared" si="3"/>
        <v>8.9999999999999998E-4</v>
      </c>
      <c r="C45">
        <f t="shared" si="0"/>
        <v>8.9999999999999998E-4</v>
      </c>
      <c r="D45">
        <f t="shared" si="1"/>
        <v>8.9999999999999998E-4</v>
      </c>
      <c r="E45" s="240" t="e">
        <f t="shared" ca="1" si="2"/>
        <v>#NAME?</v>
      </c>
    </row>
    <row r="46" spans="1:5">
      <c r="A46">
        <v>4</v>
      </c>
      <c r="B46">
        <f t="shared" si="3"/>
        <v>1.1999999999999999E-3</v>
      </c>
      <c r="C46">
        <f t="shared" si="0"/>
        <v>1.1999999999999999E-3</v>
      </c>
      <c r="D46">
        <f t="shared" si="1"/>
        <v>1.1999999999999999E-3</v>
      </c>
      <c r="E46" s="240" t="e">
        <f t="shared" ca="1" si="2"/>
        <v>#NAME?</v>
      </c>
    </row>
    <row r="47" spans="1:5">
      <c r="A47">
        <v>5</v>
      </c>
      <c r="B47">
        <f t="shared" si="3"/>
        <v>1.5E-3</v>
      </c>
      <c r="C47">
        <f t="shared" si="0"/>
        <v>1.5E-3</v>
      </c>
      <c r="D47">
        <f t="shared" si="1"/>
        <v>1.5E-3</v>
      </c>
      <c r="E47" s="240" t="e">
        <f t="shared" ca="1" si="2"/>
        <v>#NAME?</v>
      </c>
    </row>
    <row r="48" spans="1:5">
      <c r="A48">
        <v>6</v>
      </c>
      <c r="B48">
        <f t="shared" si="3"/>
        <v>1.8E-3</v>
      </c>
      <c r="C48">
        <f t="shared" si="0"/>
        <v>1.8E-3</v>
      </c>
      <c r="D48">
        <f t="shared" si="1"/>
        <v>1.8E-3</v>
      </c>
      <c r="E48" s="240" t="e">
        <f ca="1">stress($C$29,C48,$C$30,$C$31)</f>
        <v>#NAME?</v>
      </c>
    </row>
    <row r="49" spans="1:5">
      <c r="A49">
        <v>7</v>
      </c>
      <c r="B49">
        <f t="shared" si="3"/>
        <v>2.0999999999999999E-3</v>
      </c>
      <c r="C49">
        <f t="shared" si="0"/>
        <v>2.0999999999999999E-3</v>
      </c>
      <c r="D49">
        <f t="shared" si="1"/>
        <v>2.0999999999999999E-3</v>
      </c>
      <c r="E49" s="240" t="e">
        <f t="shared" ca="1" si="2"/>
        <v>#NAME?</v>
      </c>
    </row>
    <row r="50" spans="1:5">
      <c r="A50">
        <v>8</v>
      </c>
      <c r="B50">
        <f t="shared" si="3"/>
        <v>2.3999999999999998E-3</v>
      </c>
      <c r="C50">
        <f t="shared" si="0"/>
        <v>2.3999999999999998E-3</v>
      </c>
      <c r="D50">
        <f t="shared" si="1"/>
        <v>2.3999999999999998E-3</v>
      </c>
      <c r="E50" s="240" t="e">
        <f t="shared" ca="1" si="2"/>
        <v>#NAME?</v>
      </c>
    </row>
    <row r="51" spans="1:5">
      <c r="A51">
        <v>9</v>
      </c>
      <c r="B51">
        <f t="shared" si="3"/>
        <v>2.7000000000000001E-3</v>
      </c>
      <c r="C51">
        <f t="shared" si="0"/>
        <v>2.7000000000000001E-3</v>
      </c>
      <c r="D51">
        <f t="shared" si="1"/>
        <v>2.7000000000000001E-3</v>
      </c>
      <c r="E51" s="240" t="e">
        <f t="shared" ca="1" si="2"/>
        <v>#NAME?</v>
      </c>
    </row>
    <row r="52" spans="1:5">
      <c r="A52">
        <v>10</v>
      </c>
      <c r="B52">
        <f t="shared" si="3"/>
        <v>3.0000000000000001E-3</v>
      </c>
      <c r="C52">
        <f t="shared" si="0"/>
        <v>3.0000000000000001E-3</v>
      </c>
      <c r="D52">
        <f t="shared" si="1"/>
        <v>3.0000000000000001E-3</v>
      </c>
      <c r="E52" s="240" t="e">
        <f t="shared" ca="1" si="2"/>
        <v>#NAME?</v>
      </c>
    </row>
    <row r="53" spans="1:5">
      <c r="A53">
        <v>11</v>
      </c>
      <c r="B53">
        <f t="shared" si="3"/>
        <v>3.2999999999999995E-3</v>
      </c>
      <c r="C53">
        <f t="shared" si="0"/>
        <v>3.2999999999999995E-3</v>
      </c>
      <c r="D53">
        <f t="shared" si="1"/>
        <v>3.2999999999999995E-3</v>
      </c>
      <c r="E53" s="240" t="e">
        <f t="shared" ca="1" si="2"/>
        <v>#NAME?</v>
      </c>
    </row>
    <row r="54" spans="1:5">
      <c r="A54">
        <v>12</v>
      </c>
      <c r="B54">
        <f t="shared" si="3"/>
        <v>3.5999999999999999E-3</v>
      </c>
      <c r="C54">
        <f t="shared" si="0"/>
        <v>3.5999999999999999E-3</v>
      </c>
      <c r="D54">
        <f t="shared" si="1"/>
        <v>3.5999999999999999E-3</v>
      </c>
      <c r="E54" s="240" t="e">
        <f t="shared" ca="1" si="2"/>
        <v>#NAME?</v>
      </c>
    </row>
    <row r="55" spans="1:5">
      <c r="A55">
        <v>13</v>
      </c>
      <c r="B55">
        <f t="shared" si="3"/>
        <v>3.9000000000000003E-3</v>
      </c>
      <c r="C55">
        <f t="shared" si="0"/>
        <v>3.9000000000000003E-3</v>
      </c>
      <c r="D55">
        <f t="shared" si="1"/>
        <v>3.9000000000000003E-3</v>
      </c>
      <c r="E55" s="240" t="e">
        <f t="shared" ca="1" si="2"/>
        <v>#NAME?</v>
      </c>
    </row>
    <row r="56" spans="1:5">
      <c r="A56">
        <v>14</v>
      </c>
      <c r="B56">
        <f t="shared" si="3"/>
        <v>4.1999999999999997E-3</v>
      </c>
      <c r="C56">
        <f t="shared" si="0"/>
        <v>4.1999999999999997E-3</v>
      </c>
      <c r="D56">
        <f t="shared" si="1"/>
        <v>4.1999999999999997E-3</v>
      </c>
      <c r="E56" s="240" t="e">
        <f t="shared" ca="1" si="2"/>
        <v>#NAME?</v>
      </c>
    </row>
    <row r="57" spans="1:5">
      <c r="A57">
        <v>15</v>
      </c>
      <c r="B57">
        <f t="shared" si="3"/>
        <v>4.4999999999999997E-3</v>
      </c>
      <c r="C57">
        <f t="shared" si="0"/>
        <v>4.4999999999999997E-3</v>
      </c>
      <c r="D57">
        <f t="shared" si="1"/>
        <v>4.4999999999999997E-3</v>
      </c>
      <c r="E57" s="240" t="e">
        <f t="shared" ca="1" si="2"/>
        <v>#NAME?</v>
      </c>
    </row>
    <row r="58" spans="1:5">
      <c r="A58">
        <v>1</v>
      </c>
      <c r="B58">
        <f>($B$42+$B$62)*A58/5</f>
        <v>3.0000000000000001E-3</v>
      </c>
      <c r="C58">
        <f>$B$42+B58</f>
        <v>3.0000000000000001E-3</v>
      </c>
      <c r="D58">
        <f t="shared" ref="D58:D92" si="4">C58</f>
        <v>3.0000000000000001E-3</v>
      </c>
      <c r="E58" s="240" t="e">
        <f ca="1">stress($C$29,C58,$C$30,$C$31)</f>
        <v>#NAME?</v>
      </c>
    </row>
    <row r="59" spans="1:5">
      <c r="A59">
        <v>2</v>
      </c>
      <c r="B59">
        <f>($B$42+$B$62)*A59/5</f>
        <v>6.0000000000000001E-3</v>
      </c>
      <c r="C59">
        <f>$B$42+B59</f>
        <v>6.0000000000000001E-3</v>
      </c>
      <c r="D59">
        <f t="shared" si="4"/>
        <v>6.0000000000000001E-3</v>
      </c>
      <c r="E59" s="240" t="e">
        <f ca="1">stress($C$29,C59,$C$30,$C$31)</f>
        <v>#NAME?</v>
      </c>
    </row>
    <row r="60" spans="1:5">
      <c r="A60">
        <v>3</v>
      </c>
      <c r="B60">
        <f>($B$42+$B$62)*A60/5</f>
        <v>8.9999999999999993E-3</v>
      </c>
      <c r="C60">
        <f>$B$42+B60</f>
        <v>8.9999999999999993E-3</v>
      </c>
      <c r="D60">
        <f t="shared" si="4"/>
        <v>8.9999999999999993E-3</v>
      </c>
      <c r="E60" s="240" t="e">
        <f ca="1">stress($C$29,C60,$C$30,$C$31)</f>
        <v>#NAME?</v>
      </c>
    </row>
    <row r="61" spans="1:5">
      <c r="A61">
        <v>4</v>
      </c>
      <c r="B61">
        <f>($B$42+$B$62)*A61/5</f>
        <v>1.2E-2</v>
      </c>
      <c r="C61">
        <f>$B$42+B61</f>
        <v>1.2E-2</v>
      </c>
      <c r="D61">
        <f t="shared" si="4"/>
        <v>1.2E-2</v>
      </c>
      <c r="E61" s="240" t="e">
        <f ca="1">stress($C$29,C61,$C$30,$C$31)</f>
        <v>#NAME?</v>
      </c>
    </row>
    <row r="62" spans="1:5">
      <c r="A62">
        <v>5</v>
      </c>
      <c r="B62">
        <v>1.4999999999999999E-2</v>
      </c>
      <c r="C62">
        <f>$B$42+B62</f>
        <v>1.4999999999999999E-2</v>
      </c>
      <c r="D62">
        <f t="shared" si="4"/>
        <v>1.4999999999999999E-2</v>
      </c>
      <c r="E62" s="240" t="e">
        <f ca="1">stress($C$29,C62,$C$30,$C$31)</f>
        <v>#NAME?</v>
      </c>
    </row>
    <row r="63" spans="1:5">
      <c r="A63">
        <v>1</v>
      </c>
      <c r="B63">
        <f>$B$62-($B$62-$B$93)*A63/30</f>
        <v>1.49E-2</v>
      </c>
      <c r="C63">
        <f t="shared" ref="C63:C102" si="5">-$B$62+B63</f>
        <v>-9.9999999999999395E-5</v>
      </c>
      <c r="D63">
        <f t="shared" si="4"/>
        <v>-9.9999999999999395E-5</v>
      </c>
      <c r="E63" s="240" t="e">
        <f ca="1">$E$62+stress_range($C$29,C63,$C$30,$C$31)</f>
        <v>#NAME?</v>
      </c>
    </row>
    <row r="64" spans="1:5">
      <c r="A64">
        <v>2</v>
      </c>
      <c r="B64">
        <f t="shared" ref="B64:B92" si="6">$B$62-($B$62-$B$93)*A64/30</f>
        <v>1.4799999999999999E-2</v>
      </c>
      <c r="C64">
        <f t="shared" si="5"/>
        <v>-2.0000000000000052E-4</v>
      </c>
      <c r="D64">
        <f t="shared" si="4"/>
        <v>-2.0000000000000052E-4</v>
      </c>
      <c r="E64" s="240" t="e">
        <f ca="1">$E$62+stress_range($C$29,C64,$C$30,$C$31)</f>
        <v>#NAME?</v>
      </c>
    </row>
    <row r="65" spans="1:5">
      <c r="A65">
        <v>3</v>
      </c>
      <c r="B65">
        <f t="shared" si="6"/>
        <v>1.47E-2</v>
      </c>
      <c r="C65">
        <f t="shared" si="5"/>
        <v>-2.9999999999999992E-4</v>
      </c>
      <c r="D65">
        <f t="shared" si="4"/>
        <v>-2.9999999999999992E-4</v>
      </c>
      <c r="E65" s="240" t="e">
        <f ca="1">$E$62+stress_range($C$29,C65,$C$30,$C$31)</f>
        <v>#NAME?</v>
      </c>
    </row>
    <row r="66" spans="1:5">
      <c r="A66">
        <v>4</v>
      </c>
      <c r="B66">
        <f t="shared" si="6"/>
        <v>1.46E-2</v>
      </c>
      <c r="C66">
        <f t="shared" si="5"/>
        <v>-3.9999999999999931E-4</v>
      </c>
      <c r="D66">
        <f t="shared" si="4"/>
        <v>-3.9999999999999931E-4</v>
      </c>
      <c r="E66" s="240" t="e">
        <f ca="1">$E$62+stress_range($C$29,C66,$C$30,$C$31)</f>
        <v>#NAME?</v>
      </c>
    </row>
    <row r="67" spans="1:5">
      <c r="A67">
        <v>5</v>
      </c>
      <c r="B67">
        <f t="shared" si="6"/>
        <v>1.4499999999999999E-2</v>
      </c>
      <c r="C67">
        <f t="shared" si="5"/>
        <v>-5.0000000000000044E-4</v>
      </c>
      <c r="D67">
        <f t="shared" si="4"/>
        <v>-5.0000000000000044E-4</v>
      </c>
      <c r="E67" s="240" t="e">
        <f t="shared" ref="E67:E122" ca="1" si="7">$E$62+stress_range($C$29,C67,$C$30,$C$31)</f>
        <v>#NAME?</v>
      </c>
    </row>
    <row r="68" spans="1:5">
      <c r="A68">
        <v>6</v>
      </c>
      <c r="B68">
        <f t="shared" si="6"/>
        <v>1.44E-2</v>
      </c>
      <c r="C68">
        <f t="shared" si="5"/>
        <v>-5.9999999999999984E-4</v>
      </c>
      <c r="D68">
        <f t="shared" si="4"/>
        <v>-5.9999999999999984E-4</v>
      </c>
      <c r="E68" s="240" t="e">
        <f t="shared" ca="1" si="7"/>
        <v>#NAME?</v>
      </c>
    </row>
    <row r="69" spans="1:5">
      <c r="A69">
        <v>7</v>
      </c>
      <c r="B69">
        <f t="shared" si="6"/>
        <v>1.43E-2</v>
      </c>
      <c r="C69">
        <f t="shared" si="5"/>
        <v>-6.9999999999999923E-4</v>
      </c>
      <c r="D69">
        <f t="shared" si="4"/>
        <v>-6.9999999999999923E-4</v>
      </c>
      <c r="E69" s="240" t="e">
        <f t="shared" ca="1" si="7"/>
        <v>#NAME?</v>
      </c>
    </row>
    <row r="70" spans="1:5">
      <c r="A70">
        <v>8</v>
      </c>
      <c r="B70">
        <f t="shared" si="6"/>
        <v>1.4199999999999999E-2</v>
      </c>
      <c r="C70">
        <f t="shared" si="5"/>
        <v>-8.0000000000000036E-4</v>
      </c>
      <c r="D70">
        <f t="shared" si="4"/>
        <v>-8.0000000000000036E-4</v>
      </c>
      <c r="E70" s="240" t="e">
        <f t="shared" ca="1" si="7"/>
        <v>#NAME?</v>
      </c>
    </row>
    <row r="71" spans="1:5">
      <c r="A71">
        <v>9</v>
      </c>
      <c r="B71">
        <f t="shared" si="6"/>
        <v>1.41E-2</v>
      </c>
      <c r="C71">
        <f t="shared" si="5"/>
        <v>-8.9999999999999976E-4</v>
      </c>
      <c r="D71">
        <f t="shared" si="4"/>
        <v>-8.9999999999999976E-4</v>
      </c>
      <c r="E71" s="240" t="e">
        <f t="shared" ca="1" si="7"/>
        <v>#NAME?</v>
      </c>
    </row>
    <row r="72" spans="1:5">
      <c r="A72">
        <v>10</v>
      </c>
      <c r="B72">
        <f t="shared" si="6"/>
        <v>1.4E-2</v>
      </c>
      <c r="C72">
        <f t="shared" si="5"/>
        <v>-9.9999999999999915E-4</v>
      </c>
      <c r="D72">
        <f t="shared" si="4"/>
        <v>-9.9999999999999915E-4</v>
      </c>
      <c r="E72" s="240" t="e">
        <f t="shared" ca="1" si="7"/>
        <v>#NAME?</v>
      </c>
    </row>
    <row r="73" spans="1:5">
      <c r="A73">
        <v>11</v>
      </c>
      <c r="B73">
        <f t="shared" si="6"/>
        <v>1.3899999999999999E-2</v>
      </c>
      <c r="C73">
        <f t="shared" si="5"/>
        <v>-1.1000000000000003E-3</v>
      </c>
      <c r="D73">
        <f t="shared" si="4"/>
        <v>-1.1000000000000003E-3</v>
      </c>
      <c r="E73" s="240" t="e">
        <f t="shared" ca="1" si="7"/>
        <v>#NAME?</v>
      </c>
    </row>
    <row r="74" spans="1:5">
      <c r="A74">
        <v>12</v>
      </c>
      <c r="B74">
        <f t="shared" si="6"/>
        <v>1.38E-2</v>
      </c>
      <c r="C74">
        <f t="shared" si="5"/>
        <v>-1.1999999999999997E-3</v>
      </c>
      <c r="D74">
        <f t="shared" si="4"/>
        <v>-1.1999999999999997E-3</v>
      </c>
      <c r="E74" s="240" t="e">
        <f t="shared" ca="1" si="7"/>
        <v>#NAME?</v>
      </c>
    </row>
    <row r="75" spans="1:5">
      <c r="A75">
        <v>13</v>
      </c>
      <c r="B75">
        <f t="shared" si="6"/>
        <v>1.37E-2</v>
      </c>
      <c r="C75">
        <f t="shared" si="5"/>
        <v>-1.2999999999999991E-3</v>
      </c>
      <c r="D75">
        <f t="shared" si="4"/>
        <v>-1.2999999999999991E-3</v>
      </c>
      <c r="E75" s="240" t="e">
        <f t="shared" ca="1" si="7"/>
        <v>#NAME?</v>
      </c>
    </row>
    <row r="76" spans="1:5">
      <c r="A76">
        <v>14</v>
      </c>
      <c r="B76">
        <f t="shared" si="6"/>
        <v>1.3599999999999999E-2</v>
      </c>
      <c r="C76">
        <f t="shared" si="5"/>
        <v>-1.4000000000000002E-3</v>
      </c>
      <c r="D76">
        <f t="shared" si="4"/>
        <v>-1.4000000000000002E-3</v>
      </c>
      <c r="E76" s="240" t="e">
        <f t="shared" ca="1" si="7"/>
        <v>#NAME?</v>
      </c>
    </row>
    <row r="77" spans="1:5">
      <c r="A77">
        <v>15</v>
      </c>
      <c r="B77">
        <f t="shared" si="6"/>
        <v>1.35E-2</v>
      </c>
      <c r="C77">
        <f t="shared" si="5"/>
        <v>-1.4999999999999996E-3</v>
      </c>
      <c r="D77">
        <f t="shared" si="4"/>
        <v>-1.4999999999999996E-3</v>
      </c>
      <c r="E77" s="240" t="e">
        <f t="shared" ca="1" si="7"/>
        <v>#NAME?</v>
      </c>
    </row>
    <row r="78" spans="1:5">
      <c r="A78">
        <v>16</v>
      </c>
      <c r="B78">
        <f t="shared" si="6"/>
        <v>1.34E-2</v>
      </c>
      <c r="C78">
        <f t="shared" si="5"/>
        <v>-1.599999999999999E-3</v>
      </c>
      <c r="D78">
        <f t="shared" si="4"/>
        <v>-1.599999999999999E-3</v>
      </c>
      <c r="E78" s="240" t="e">
        <f t="shared" ca="1" si="7"/>
        <v>#NAME?</v>
      </c>
    </row>
    <row r="79" spans="1:5">
      <c r="A79">
        <v>17</v>
      </c>
      <c r="B79">
        <f t="shared" si="6"/>
        <v>1.3299999999999999E-2</v>
      </c>
      <c r="C79">
        <f t="shared" si="5"/>
        <v>-1.7000000000000001E-3</v>
      </c>
      <c r="D79">
        <f t="shared" si="4"/>
        <v>-1.7000000000000001E-3</v>
      </c>
      <c r="E79" s="240" t="e">
        <f t="shared" ca="1" si="7"/>
        <v>#NAME?</v>
      </c>
    </row>
    <row r="80" spans="1:5">
      <c r="A80">
        <v>18</v>
      </c>
      <c r="B80">
        <f t="shared" si="6"/>
        <v>1.32E-2</v>
      </c>
      <c r="C80">
        <f t="shared" si="5"/>
        <v>-1.7999999999999995E-3</v>
      </c>
      <c r="D80">
        <f t="shared" si="4"/>
        <v>-1.7999999999999995E-3</v>
      </c>
      <c r="E80" s="240" t="e">
        <f t="shared" ca="1" si="7"/>
        <v>#NAME?</v>
      </c>
    </row>
    <row r="81" spans="1:11">
      <c r="A81">
        <v>19</v>
      </c>
      <c r="B81">
        <f t="shared" si="6"/>
        <v>1.3100000000000001E-2</v>
      </c>
      <c r="C81">
        <f t="shared" si="5"/>
        <v>-1.8999999999999989E-3</v>
      </c>
      <c r="D81">
        <f t="shared" si="4"/>
        <v>-1.8999999999999989E-3</v>
      </c>
      <c r="E81" s="240" t="e">
        <f t="shared" ca="1" si="7"/>
        <v>#NAME?</v>
      </c>
    </row>
    <row r="82" spans="1:11">
      <c r="A82">
        <v>20</v>
      </c>
      <c r="B82">
        <f t="shared" si="6"/>
        <v>1.2999999999999999E-2</v>
      </c>
      <c r="C82">
        <f t="shared" si="5"/>
        <v>-2E-3</v>
      </c>
      <c r="D82">
        <f t="shared" si="4"/>
        <v>-2E-3</v>
      </c>
      <c r="E82" s="240" t="e">
        <f t="shared" ca="1" si="7"/>
        <v>#NAME?</v>
      </c>
    </row>
    <row r="83" spans="1:11">
      <c r="A83">
        <v>21</v>
      </c>
      <c r="B83">
        <f t="shared" si="6"/>
        <v>1.29E-2</v>
      </c>
      <c r="C83">
        <f t="shared" si="5"/>
        <v>-2.0999999999999994E-3</v>
      </c>
      <c r="D83">
        <f t="shared" si="4"/>
        <v>-2.0999999999999994E-3</v>
      </c>
      <c r="E83" s="240" t="e">
        <f t="shared" ca="1" si="7"/>
        <v>#NAME?</v>
      </c>
    </row>
    <row r="84" spans="1:11">
      <c r="A84">
        <v>22</v>
      </c>
      <c r="B84">
        <f t="shared" si="6"/>
        <v>1.2800000000000001E-2</v>
      </c>
      <c r="C84">
        <f t="shared" si="5"/>
        <v>-2.1999999999999988E-3</v>
      </c>
      <c r="D84">
        <f t="shared" si="4"/>
        <v>-2.1999999999999988E-3</v>
      </c>
      <c r="E84" s="240" t="e">
        <f t="shared" ca="1" si="7"/>
        <v>#NAME?</v>
      </c>
      <c r="I84">
        <v>0</v>
      </c>
      <c r="J84">
        <v>0</v>
      </c>
      <c r="K84">
        <v>0</v>
      </c>
    </row>
    <row r="85" spans="1:11">
      <c r="A85">
        <v>23</v>
      </c>
      <c r="B85">
        <f t="shared" si="6"/>
        <v>1.2699999999999999E-2</v>
      </c>
      <c r="C85">
        <f t="shared" si="5"/>
        <v>-2.3E-3</v>
      </c>
      <c r="D85">
        <f t="shared" si="4"/>
        <v>-2.3E-3</v>
      </c>
      <c r="E85" s="240" t="e">
        <f t="shared" ca="1" si="7"/>
        <v>#NAME?</v>
      </c>
      <c r="I85">
        <f>I86/2</f>
        <v>3.7499999999999999E-3</v>
      </c>
      <c r="J85">
        <f>I85-$I$84</f>
        <v>3.7499999999999999E-3</v>
      </c>
      <c r="K85" s="118" t="e">
        <f ca="1">stress($C$29,J85,$C$30,$C$31)</f>
        <v>#NAME?</v>
      </c>
    </row>
    <row r="86" spans="1:11">
      <c r="A86">
        <v>24</v>
      </c>
      <c r="B86">
        <f t="shared" si="6"/>
        <v>1.26E-2</v>
      </c>
      <c r="C86">
        <f t="shared" si="5"/>
        <v>-2.3999999999999994E-3</v>
      </c>
      <c r="D86">
        <f t="shared" si="4"/>
        <v>-2.3999999999999994E-3</v>
      </c>
      <c r="E86" s="240" t="e">
        <f t="shared" ca="1" si="7"/>
        <v>#NAME?</v>
      </c>
      <c r="I86">
        <f>I87/2</f>
        <v>7.4999999999999997E-3</v>
      </c>
      <c r="J86">
        <f>I86-$I$84</f>
        <v>7.4999999999999997E-3</v>
      </c>
      <c r="K86" s="118" t="e">
        <f ca="1">stress($C$29,J86,$C$30,$C$31)</f>
        <v>#NAME?</v>
      </c>
    </row>
    <row r="87" spans="1:11">
      <c r="A87">
        <v>25</v>
      </c>
      <c r="B87">
        <f t="shared" si="6"/>
        <v>1.2500000000000001E-2</v>
      </c>
      <c r="C87">
        <f t="shared" si="5"/>
        <v>-2.4999999999999988E-3</v>
      </c>
      <c r="D87">
        <f t="shared" si="4"/>
        <v>-2.4999999999999988E-3</v>
      </c>
      <c r="E87" s="240" t="e">
        <f t="shared" ca="1" si="7"/>
        <v>#NAME?</v>
      </c>
      <c r="I87">
        <v>1.4999999999999999E-2</v>
      </c>
      <c r="J87">
        <f>I87-$I$84</f>
        <v>1.4999999999999999E-2</v>
      </c>
      <c r="K87" s="118" t="e">
        <f ca="1">stress($C$29,J87,$C$30,$C$31)</f>
        <v>#NAME?</v>
      </c>
    </row>
    <row r="88" spans="1:11">
      <c r="A88">
        <v>26</v>
      </c>
      <c r="B88">
        <f t="shared" si="6"/>
        <v>1.24E-2</v>
      </c>
      <c r="C88">
        <f t="shared" si="5"/>
        <v>-2.5999999999999999E-3</v>
      </c>
      <c r="D88">
        <f t="shared" si="4"/>
        <v>-2.5999999999999999E-3</v>
      </c>
      <c r="E88" s="240" t="e">
        <f t="shared" ca="1" si="7"/>
        <v>#NAME?</v>
      </c>
      <c r="I88">
        <f>I87-I89/2</f>
        <v>1.125E-2</v>
      </c>
      <c r="J88">
        <f>I88-$I$87</f>
        <v>-3.7499999999999999E-3</v>
      </c>
      <c r="K88" s="118" t="e">
        <f ca="1">$K$87+stress_range($C$29,J88,$C$30,$C$31)</f>
        <v>#NAME?</v>
      </c>
    </row>
    <row r="89" spans="1:11">
      <c r="A89">
        <v>27</v>
      </c>
      <c r="B89">
        <f t="shared" si="6"/>
        <v>1.23E-2</v>
      </c>
      <c r="C89">
        <f t="shared" si="5"/>
        <v>-2.6999999999999993E-3</v>
      </c>
      <c r="D89">
        <f t="shared" si="4"/>
        <v>-2.6999999999999993E-3</v>
      </c>
      <c r="E89" s="240" t="e">
        <f t="shared" ca="1" si="7"/>
        <v>#NAME?</v>
      </c>
      <c r="I89">
        <f>I87/2</f>
        <v>7.4999999999999997E-3</v>
      </c>
      <c r="J89">
        <f>I89-$I$87</f>
        <v>-7.4999999999999997E-3</v>
      </c>
      <c r="K89" s="118" t="e">
        <f ca="1">$K$87+stress_range($C$29,J89,$C$30,$C$31)</f>
        <v>#NAME?</v>
      </c>
    </row>
    <row r="90" spans="1:11">
      <c r="A90">
        <v>28</v>
      </c>
      <c r="B90">
        <f t="shared" si="6"/>
        <v>1.2200000000000001E-2</v>
      </c>
      <c r="C90">
        <f t="shared" si="5"/>
        <v>-2.7999999999999987E-3</v>
      </c>
      <c r="D90">
        <f t="shared" si="4"/>
        <v>-2.7999999999999987E-3</v>
      </c>
      <c r="E90" s="240" t="e">
        <f t="shared" ca="1" si="7"/>
        <v>#NAME?</v>
      </c>
      <c r="I90">
        <f>I89/2</f>
        <v>3.7499999999999999E-3</v>
      </c>
      <c r="J90">
        <f>I90-$I$87</f>
        <v>-1.125E-2</v>
      </c>
      <c r="K90" s="118" t="e">
        <f ca="1">$K$87+stress_range($C$29,J90,$C$30,$C$31)</f>
        <v>#NAME?</v>
      </c>
    </row>
    <row r="91" spans="1:11">
      <c r="A91">
        <v>29</v>
      </c>
      <c r="B91">
        <f t="shared" si="6"/>
        <v>1.21E-2</v>
      </c>
      <c r="C91">
        <f t="shared" si="5"/>
        <v>-2.8999999999999998E-3</v>
      </c>
      <c r="D91">
        <f t="shared" si="4"/>
        <v>-2.8999999999999998E-3</v>
      </c>
      <c r="E91" s="240" t="e">
        <f t="shared" ca="1" si="7"/>
        <v>#NAME?</v>
      </c>
      <c r="I91">
        <v>0</v>
      </c>
      <c r="J91">
        <f>I91-$I$87</f>
        <v>-1.4999999999999999E-2</v>
      </c>
      <c r="K91" s="118" t="e">
        <f ca="1">$K$87+stress_range($C$29,J91,$C$30,$C$31)</f>
        <v>#NAME?</v>
      </c>
    </row>
    <row r="92" spans="1:11">
      <c r="A92">
        <v>30</v>
      </c>
      <c r="B92">
        <f t="shared" si="6"/>
        <v>1.2E-2</v>
      </c>
      <c r="C92">
        <f t="shared" si="5"/>
        <v>-2.9999999999999992E-3</v>
      </c>
      <c r="D92">
        <f t="shared" si="4"/>
        <v>-2.9999999999999992E-3</v>
      </c>
      <c r="E92" s="240" t="e">
        <f t="shared" ca="1" si="7"/>
        <v>#NAME?</v>
      </c>
      <c r="I92">
        <f>I93/2</f>
        <v>-7.4999999999999997E-3</v>
      </c>
      <c r="J92">
        <f>I92-$I$87</f>
        <v>-2.2499999999999999E-2</v>
      </c>
      <c r="K92" s="118" t="e">
        <f ca="1">$K$87+stress_range($C$29,J92,$C$30,$C$31)</f>
        <v>#NAME?</v>
      </c>
    </row>
    <row r="93" spans="1:11">
      <c r="A93">
        <v>4</v>
      </c>
      <c r="B93">
        <f>ABS($B$62-$B$102)*A93/10</f>
        <v>1.2E-2</v>
      </c>
      <c r="C93">
        <f t="shared" si="5"/>
        <v>-2.9999999999999992E-3</v>
      </c>
      <c r="D93">
        <f>C93/2</f>
        <v>-1.4999999999999996E-3</v>
      </c>
      <c r="E93" s="240" t="e">
        <f t="shared" ca="1" si="7"/>
        <v>#NAME?</v>
      </c>
      <c r="I93">
        <v>-1.4999999999999999E-2</v>
      </c>
      <c r="J93">
        <f>I93-I87</f>
        <v>-0.03</v>
      </c>
      <c r="K93" s="118" t="e">
        <f ca="1">K87+stress_range($C$29,J93,$C$30,$C$31)</f>
        <v>#NAME?</v>
      </c>
    </row>
    <row r="94" spans="1:11">
      <c r="A94">
        <v>3</v>
      </c>
      <c r="B94">
        <f t="shared" ref="B94:B101" si="8">($B$62-$B$102)*A94/10</f>
        <v>8.9999999999999993E-3</v>
      </c>
      <c r="C94">
        <f t="shared" si="5"/>
        <v>-6.0000000000000001E-3</v>
      </c>
      <c r="D94">
        <f t="shared" ref="D94:D122" si="9">C94/2</f>
        <v>-3.0000000000000001E-3</v>
      </c>
      <c r="E94" s="240" t="e">
        <f t="shared" ca="1" si="7"/>
        <v>#NAME?</v>
      </c>
      <c r="I94">
        <v>-7.4999999999999997E-3</v>
      </c>
      <c r="J94">
        <f>I94-I93</f>
        <v>7.4999999999999997E-3</v>
      </c>
      <c r="K94" s="118" t="e">
        <f ca="1">K93+stress_range($C$29,J94,$C$30,$C$31)</f>
        <v>#NAME?</v>
      </c>
    </row>
    <row r="95" spans="1:11">
      <c r="A95">
        <v>2</v>
      </c>
      <c r="B95">
        <f t="shared" si="8"/>
        <v>6.0000000000000001E-3</v>
      </c>
      <c r="C95">
        <f t="shared" si="5"/>
        <v>-8.9999999999999993E-3</v>
      </c>
      <c r="D95">
        <f t="shared" si="9"/>
        <v>-4.4999999999999997E-3</v>
      </c>
      <c r="E95" s="240" t="e">
        <f t="shared" ca="1" si="7"/>
        <v>#NAME?</v>
      </c>
      <c r="I95">
        <v>-3.7499999999999999E-3</v>
      </c>
      <c r="J95">
        <f>I95-I93</f>
        <v>1.125E-2</v>
      </c>
      <c r="K95" s="118" t="e">
        <f ca="1">K93+stress_range($C$29,J95,$C$30,$C$31)</f>
        <v>#NAME?</v>
      </c>
    </row>
    <row r="96" spans="1:11">
      <c r="A96">
        <v>1</v>
      </c>
      <c r="B96">
        <f t="shared" si="8"/>
        <v>3.0000000000000001E-3</v>
      </c>
      <c r="C96">
        <f t="shared" si="5"/>
        <v>-1.2E-2</v>
      </c>
      <c r="D96">
        <f t="shared" si="9"/>
        <v>-6.0000000000000001E-3</v>
      </c>
      <c r="E96" s="240" t="e">
        <f t="shared" ca="1" si="7"/>
        <v>#NAME?</v>
      </c>
    </row>
    <row r="97" spans="1:5">
      <c r="A97">
        <v>0</v>
      </c>
      <c r="B97">
        <f t="shared" si="8"/>
        <v>0</v>
      </c>
      <c r="C97">
        <f t="shared" si="5"/>
        <v>-1.4999999999999999E-2</v>
      </c>
      <c r="D97">
        <f t="shared" si="9"/>
        <v>-7.4999999999999997E-3</v>
      </c>
      <c r="E97" s="240" t="e">
        <f t="shared" ca="1" si="7"/>
        <v>#NAME?</v>
      </c>
    </row>
    <row r="98" spans="1:5">
      <c r="A98">
        <v>-1</v>
      </c>
      <c r="B98">
        <f t="shared" si="8"/>
        <v>-3.0000000000000001E-3</v>
      </c>
      <c r="C98">
        <f t="shared" si="5"/>
        <v>-1.7999999999999999E-2</v>
      </c>
      <c r="D98">
        <f t="shared" si="9"/>
        <v>-8.9999999999999993E-3</v>
      </c>
      <c r="E98" s="240" t="e">
        <f t="shared" ca="1" si="7"/>
        <v>#NAME?</v>
      </c>
    </row>
    <row r="99" spans="1:5">
      <c r="A99">
        <v>-2</v>
      </c>
      <c r="B99">
        <f t="shared" si="8"/>
        <v>-6.0000000000000001E-3</v>
      </c>
      <c r="C99">
        <f t="shared" si="5"/>
        <v>-2.0999999999999998E-2</v>
      </c>
      <c r="D99">
        <f t="shared" si="9"/>
        <v>-1.0499999999999999E-2</v>
      </c>
      <c r="E99" s="240" t="e">
        <f t="shared" ca="1" si="7"/>
        <v>#NAME?</v>
      </c>
    </row>
    <row r="100" spans="1:5">
      <c r="A100">
        <v>-3</v>
      </c>
      <c r="B100">
        <f t="shared" si="8"/>
        <v>-8.9999999999999993E-3</v>
      </c>
      <c r="C100">
        <f t="shared" si="5"/>
        <v>-2.4E-2</v>
      </c>
      <c r="D100">
        <f t="shared" si="9"/>
        <v>-1.2E-2</v>
      </c>
      <c r="E100" s="240" t="e">
        <f t="shared" ca="1" si="7"/>
        <v>#NAME?</v>
      </c>
    </row>
    <row r="101" spans="1:5">
      <c r="A101">
        <v>-4</v>
      </c>
      <c r="B101">
        <f t="shared" si="8"/>
        <v>-1.2E-2</v>
      </c>
      <c r="C101">
        <f t="shared" si="5"/>
        <v>-2.7E-2</v>
      </c>
      <c r="D101">
        <f t="shared" si="9"/>
        <v>-1.35E-2</v>
      </c>
      <c r="E101" s="240" t="e">
        <f t="shared" ca="1" si="7"/>
        <v>#NAME?</v>
      </c>
    </row>
    <row r="102" spans="1:5">
      <c r="A102">
        <v>-5</v>
      </c>
      <c r="B102">
        <v>-1.4999999999999999E-2</v>
      </c>
      <c r="C102">
        <f t="shared" si="5"/>
        <v>-0.03</v>
      </c>
      <c r="D102">
        <f t="shared" si="9"/>
        <v>-1.4999999999999999E-2</v>
      </c>
      <c r="E102" s="240" t="e">
        <f t="shared" ca="1" si="7"/>
        <v>#NAME?</v>
      </c>
    </row>
    <row r="103" spans="1:5">
      <c r="A103">
        <v>-4</v>
      </c>
      <c r="B103">
        <f t="shared" ref="B103:B111" si="10">ABS($B$102-$B$112)*A103/10</f>
        <v>-1.2E-2</v>
      </c>
      <c r="C103">
        <f t="shared" ref="C103:C112" si="11">-$B$102+B103</f>
        <v>2.9999999999999992E-3</v>
      </c>
      <c r="D103">
        <f t="shared" si="9"/>
        <v>1.4999999999999996E-3</v>
      </c>
      <c r="E103" s="240" t="e">
        <f ca="1">-stress_range($C$29,C103,$C$30,$C$31)</f>
        <v>#NAME?</v>
      </c>
    </row>
    <row r="104" spans="1:5">
      <c r="A104">
        <v>-3</v>
      </c>
      <c r="B104">
        <f t="shared" si="10"/>
        <v>-8.9999999999999993E-3</v>
      </c>
      <c r="C104">
        <f t="shared" si="11"/>
        <v>6.0000000000000001E-3</v>
      </c>
      <c r="D104">
        <f t="shared" si="9"/>
        <v>3.0000000000000001E-3</v>
      </c>
      <c r="E104" s="240" t="e">
        <f ca="1">-stress_range($C$29,C104,$C$30,$C$31)</f>
        <v>#NAME?</v>
      </c>
    </row>
    <row r="105" spans="1:5">
      <c r="A105">
        <v>-2</v>
      </c>
      <c r="B105">
        <f t="shared" si="10"/>
        <v>-6.0000000000000001E-3</v>
      </c>
      <c r="C105">
        <f t="shared" si="11"/>
        <v>8.9999999999999993E-3</v>
      </c>
      <c r="D105">
        <f t="shared" si="9"/>
        <v>4.4999999999999997E-3</v>
      </c>
      <c r="E105" s="240" t="e">
        <f ca="1">-stress_range($C$29,C105,$C$30,$C$31)</f>
        <v>#NAME?</v>
      </c>
    </row>
    <row r="106" spans="1:5">
      <c r="A106">
        <v>-1</v>
      </c>
      <c r="B106">
        <f t="shared" si="10"/>
        <v>-3.0000000000000001E-3</v>
      </c>
      <c r="C106">
        <f t="shared" si="11"/>
        <v>1.2E-2</v>
      </c>
      <c r="D106">
        <f t="shared" si="9"/>
        <v>6.0000000000000001E-3</v>
      </c>
      <c r="E106" s="240" t="e">
        <f ca="1">-stress_range($C$29,C106,$C$30,$C$31)</f>
        <v>#NAME?</v>
      </c>
    </row>
    <row r="107" spans="1:5">
      <c r="A107">
        <v>0</v>
      </c>
      <c r="B107">
        <f t="shared" si="10"/>
        <v>0</v>
      </c>
      <c r="C107">
        <f t="shared" si="11"/>
        <v>1.4999999999999999E-2</v>
      </c>
      <c r="D107">
        <f t="shared" si="9"/>
        <v>7.4999999999999997E-3</v>
      </c>
      <c r="E107" s="240" t="e">
        <f ca="1">-stress_range($C$29,C107,$C$30,$C$31)</f>
        <v>#NAME?</v>
      </c>
    </row>
    <row r="108" spans="1:5">
      <c r="A108">
        <v>1</v>
      </c>
      <c r="B108">
        <f t="shared" si="10"/>
        <v>3.0000000000000001E-3</v>
      </c>
      <c r="C108">
        <f t="shared" si="11"/>
        <v>1.7999999999999999E-2</v>
      </c>
      <c r="D108">
        <f t="shared" si="9"/>
        <v>8.9999999999999993E-3</v>
      </c>
      <c r="E108" s="240" t="e">
        <f t="shared" ca="1" si="7"/>
        <v>#NAME?</v>
      </c>
    </row>
    <row r="109" spans="1:5">
      <c r="A109">
        <v>2</v>
      </c>
      <c r="B109">
        <f t="shared" si="10"/>
        <v>6.0000000000000001E-3</v>
      </c>
      <c r="C109">
        <f t="shared" si="11"/>
        <v>2.0999999999999998E-2</v>
      </c>
      <c r="D109">
        <f t="shared" si="9"/>
        <v>1.0499999999999999E-2</v>
      </c>
      <c r="E109" s="240" t="e">
        <f t="shared" ca="1" si="7"/>
        <v>#NAME?</v>
      </c>
    </row>
    <row r="110" spans="1:5">
      <c r="A110">
        <v>3</v>
      </c>
      <c r="B110">
        <f t="shared" si="10"/>
        <v>8.9999999999999993E-3</v>
      </c>
      <c r="C110">
        <f t="shared" si="11"/>
        <v>2.4E-2</v>
      </c>
      <c r="D110">
        <f t="shared" si="9"/>
        <v>1.2E-2</v>
      </c>
      <c r="E110" s="240" t="e">
        <f t="shared" ca="1" si="7"/>
        <v>#NAME?</v>
      </c>
    </row>
    <row r="111" spans="1:5">
      <c r="A111">
        <v>4</v>
      </c>
      <c r="B111">
        <f t="shared" si="10"/>
        <v>1.2E-2</v>
      </c>
      <c r="C111">
        <f t="shared" si="11"/>
        <v>2.7E-2</v>
      </c>
      <c r="D111">
        <f t="shared" si="9"/>
        <v>1.35E-2</v>
      </c>
      <c r="E111" s="240" t="e">
        <f t="shared" ca="1" si="7"/>
        <v>#NAME?</v>
      </c>
    </row>
    <row r="112" spans="1:5">
      <c r="A112">
        <v>5</v>
      </c>
      <c r="B112">
        <v>1.4999999999999999E-2</v>
      </c>
      <c r="C112">
        <f t="shared" si="11"/>
        <v>0.03</v>
      </c>
      <c r="D112">
        <f t="shared" si="9"/>
        <v>1.4999999999999999E-2</v>
      </c>
      <c r="E112" s="240" t="e">
        <f t="shared" ca="1" si="7"/>
        <v>#NAME?</v>
      </c>
    </row>
    <row r="113" spans="1:5">
      <c r="A113">
        <v>4</v>
      </c>
      <c r="B113">
        <f t="shared" ref="B113:B121" si="12">ABS($B$112-$B$122)*A113/10</f>
        <v>1.2E-2</v>
      </c>
      <c r="C113">
        <f t="shared" ref="C113:C122" si="13">-$B$112+B113</f>
        <v>-2.9999999999999992E-3</v>
      </c>
      <c r="D113">
        <f t="shared" si="9"/>
        <v>-1.4999999999999996E-3</v>
      </c>
      <c r="E113" s="240" t="e">
        <f t="shared" ca="1" si="7"/>
        <v>#NAME?</v>
      </c>
    </row>
    <row r="114" spans="1:5">
      <c r="A114">
        <v>3</v>
      </c>
      <c r="B114">
        <f t="shared" si="12"/>
        <v>8.9999999999999993E-3</v>
      </c>
      <c r="C114">
        <f t="shared" si="13"/>
        <v>-6.0000000000000001E-3</v>
      </c>
      <c r="D114">
        <f t="shared" si="9"/>
        <v>-3.0000000000000001E-3</v>
      </c>
      <c r="E114" s="240" t="e">
        <f t="shared" ca="1" si="7"/>
        <v>#NAME?</v>
      </c>
    </row>
    <row r="115" spans="1:5">
      <c r="A115">
        <v>2</v>
      </c>
      <c r="B115">
        <f t="shared" si="12"/>
        <v>6.0000000000000001E-3</v>
      </c>
      <c r="C115">
        <f t="shared" si="13"/>
        <v>-8.9999999999999993E-3</v>
      </c>
      <c r="D115">
        <f t="shared" si="9"/>
        <v>-4.4999999999999997E-3</v>
      </c>
      <c r="E115" s="240" t="e">
        <f t="shared" ca="1" si="7"/>
        <v>#NAME?</v>
      </c>
    </row>
    <row r="116" spans="1:5">
      <c r="A116">
        <v>1</v>
      </c>
      <c r="B116">
        <f t="shared" si="12"/>
        <v>3.0000000000000001E-3</v>
      </c>
      <c r="C116">
        <f t="shared" si="13"/>
        <v>-1.2E-2</v>
      </c>
      <c r="D116">
        <f t="shared" si="9"/>
        <v>-6.0000000000000001E-3</v>
      </c>
      <c r="E116" s="240" t="e">
        <f t="shared" ca="1" si="7"/>
        <v>#NAME?</v>
      </c>
    </row>
    <row r="117" spans="1:5">
      <c r="A117">
        <v>0</v>
      </c>
      <c r="B117">
        <f t="shared" si="12"/>
        <v>0</v>
      </c>
      <c r="C117">
        <f t="shared" si="13"/>
        <v>-1.4999999999999999E-2</v>
      </c>
      <c r="D117">
        <f t="shared" si="9"/>
        <v>-7.4999999999999997E-3</v>
      </c>
      <c r="E117" s="240" t="e">
        <f t="shared" ca="1" si="7"/>
        <v>#NAME?</v>
      </c>
    </row>
    <row r="118" spans="1:5">
      <c r="A118">
        <v>-1</v>
      </c>
      <c r="B118">
        <f t="shared" si="12"/>
        <v>-3.0000000000000001E-3</v>
      </c>
      <c r="C118">
        <f t="shared" si="13"/>
        <v>-1.7999999999999999E-2</v>
      </c>
      <c r="D118">
        <f t="shared" si="9"/>
        <v>-8.9999999999999993E-3</v>
      </c>
      <c r="E118" s="240" t="e">
        <f t="shared" ca="1" si="7"/>
        <v>#NAME?</v>
      </c>
    </row>
    <row r="119" spans="1:5">
      <c r="A119">
        <v>-2</v>
      </c>
      <c r="B119">
        <f t="shared" si="12"/>
        <v>-6.0000000000000001E-3</v>
      </c>
      <c r="C119">
        <f t="shared" si="13"/>
        <v>-2.0999999999999998E-2</v>
      </c>
      <c r="D119">
        <f t="shared" si="9"/>
        <v>-1.0499999999999999E-2</v>
      </c>
      <c r="E119" s="240" t="e">
        <f t="shared" ca="1" si="7"/>
        <v>#NAME?</v>
      </c>
    </row>
    <row r="120" spans="1:5">
      <c r="A120">
        <v>-3</v>
      </c>
      <c r="B120">
        <f t="shared" si="12"/>
        <v>-8.9999999999999993E-3</v>
      </c>
      <c r="C120">
        <f t="shared" si="13"/>
        <v>-2.4E-2</v>
      </c>
      <c r="D120">
        <f t="shared" si="9"/>
        <v>-1.2E-2</v>
      </c>
      <c r="E120" s="240" t="e">
        <f t="shared" ca="1" si="7"/>
        <v>#NAME?</v>
      </c>
    </row>
    <row r="121" spans="1:5">
      <c r="A121">
        <v>-4</v>
      </c>
      <c r="B121">
        <f t="shared" si="12"/>
        <v>-1.2E-2</v>
      </c>
      <c r="C121">
        <f t="shared" si="13"/>
        <v>-2.7E-2</v>
      </c>
      <c r="D121">
        <f t="shared" si="9"/>
        <v>-1.35E-2</v>
      </c>
      <c r="E121" s="240" t="e">
        <f t="shared" ca="1" si="7"/>
        <v>#NAME?</v>
      </c>
    </row>
    <row r="122" spans="1:5">
      <c r="A122">
        <v>-5</v>
      </c>
      <c r="B122">
        <v>-1.4999999999999999E-2</v>
      </c>
      <c r="C122">
        <f t="shared" si="13"/>
        <v>-0.03</v>
      </c>
      <c r="D122">
        <f t="shared" si="9"/>
        <v>-1.4999999999999999E-2</v>
      </c>
      <c r="E122" s="240" t="e">
        <f t="shared" ca="1" si="7"/>
        <v>#NAME?</v>
      </c>
    </row>
  </sheetData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8130" r:id="rId4">
          <objectPr defaultSize="0" autoPict="0" r:id="rId5">
            <anchor moveWithCells="1">
              <from>
                <xdr:col>1</xdr:col>
                <xdr:colOff>28575</xdr:colOff>
                <xdr:row>3</xdr:row>
                <xdr:rowOff>95250</xdr:rowOff>
              </from>
              <to>
                <xdr:col>4</xdr:col>
                <xdr:colOff>66675</xdr:colOff>
                <xdr:row>7</xdr:row>
                <xdr:rowOff>19050</xdr:rowOff>
              </to>
            </anchor>
          </objectPr>
        </oleObject>
      </mc:Choice>
      <mc:Fallback>
        <oleObject progId="Equation.3" shapeId="48130" r:id="rId4"/>
      </mc:Fallback>
    </mc:AlternateContent>
  </oleObjec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47D9F-08D6-4B44-B24F-C9EB1DCBA5AE}">
  <sheetPr codeName="Sheet1"/>
  <dimension ref="A1:T53"/>
  <sheetViews>
    <sheetView topLeftCell="A64" workbookViewId="0">
      <selection activeCell="P36" sqref="P36"/>
    </sheetView>
  </sheetViews>
  <sheetFormatPr defaultRowHeight="12.75"/>
  <cols>
    <col min="3" max="3" width="11" customWidth="1"/>
    <col min="4" max="4" width="10.6640625" bestFit="1" customWidth="1"/>
    <col min="17" max="17" width="11" bestFit="1" customWidth="1"/>
  </cols>
  <sheetData>
    <row r="1" spans="1:3">
      <c r="A1" s="115" t="s">
        <v>614</v>
      </c>
    </row>
    <row r="3" spans="1:3">
      <c r="B3" t="s">
        <v>611</v>
      </c>
      <c r="C3">
        <v>30000</v>
      </c>
    </row>
    <row r="4" spans="1:3">
      <c r="B4" t="s">
        <v>612</v>
      </c>
      <c r="C4">
        <v>154</v>
      </c>
    </row>
    <row r="5" spans="1:3">
      <c r="B5" t="s">
        <v>613</v>
      </c>
      <c r="C5">
        <v>0.123</v>
      </c>
    </row>
    <row r="6" spans="1:3">
      <c r="B6" s="19" t="s">
        <v>615</v>
      </c>
      <c r="C6" s="19" t="s">
        <v>580</v>
      </c>
    </row>
    <row r="7" spans="1:3">
      <c r="A7">
        <v>0</v>
      </c>
      <c r="B7" s="168">
        <v>0</v>
      </c>
      <c r="C7" s="249" t="e">
        <f t="shared" ref="C7:C14" ca="1" si="0">stress($C$3,B7,$C$4,$C$5)</f>
        <v>#NAME?</v>
      </c>
    </row>
    <row r="8" spans="1:3">
      <c r="A8">
        <v>1</v>
      </c>
      <c r="B8" s="168">
        <v>5.0000000000000001E-4</v>
      </c>
      <c r="C8" s="249" t="e">
        <f t="shared" ca="1" si="0"/>
        <v>#NAME?</v>
      </c>
    </row>
    <row r="9" spans="1:3">
      <c r="A9">
        <v>2</v>
      </c>
      <c r="B9" s="168">
        <v>1E-3</v>
      </c>
      <c r="C9" s="249" t="e">
        <f t="shared" ca="1" si="0"/>
        <v>#NAME?</v>
      </c>
    </row>
    <row r="10" spans="1:3">
      <c r="A10">
        <v>3</v>
      </c>
      <c r="B10" s="168">
        <v>1.5E-3</v>
      </c>
      <c r="C10" s="249" t="e">
        <f t="shared" ca="1" si="0"/>
        <v>#NAME?</v>
      </c>
    </row>
    <row r="11" spans="1:3">
      <c r="A11">
        <v>6</v>
      </c>
      <c r="B11" s="168">
        <v>2E-3</v>
      </c>
      <c r="C11" s="249" t="e">
        <f t="shared" ca="1" si="0"/>
        <v>#NAME?</v>
      </c>
    </row>
    <row r="12" spans="1:3">
      <c r="A12">
        <v>7</v>
      </c>
      <c r="B12" s="168">
        <v>3.0000000000000001E-3</v>
      </c>
      <c r="C12" s="249" t="e">
        <f t="shared" ca="1" si="0"/>
        <v>#NAME?</v>
      </c>
    </row>
    <row r="13" spans="1:3">
      <c r="A13">
        <v>8</v>
      </c>
      <c r="B13" s="168">
        <v>4.0000000000000001E-3</v>
      </c>
      <c r="C13" s="249" t="e">
        <f t="shared" ca="1" si="0"/>
        <v>#NAME?</v>
      </c>
    </row>
    <row r="14" spans="1:3">
      <c r="A14">
        <v>9</v>
      </c>
      <c r="B14" s="168">
        <v>5.0000000000000001E-3</v>
      </c>
      <c r="C14" s="249" t="e">
        <f t="shared" ca="1" si="0"/>
        <v>#NAME?</v>
      </c>
    </row>
    <row r="15" spans="1:3">
      <c r="A15">
        <v>10</v>
      </c>
      <c r="B15" s="168">
        <v>6.0000000000000001E-3</v>
      </c>
      <c r="C15" s="249" t="e">
        <f t="shared" ref="C15:C20" ca="1" si="1">stress($C$3,B15,$C$4,$C$5)</f>
        <v>#NAME?</v>
      </c>
    </row>
    <row r="16" spans="1:3">
      <c r="A16">
        <v>11</v>
      </c>
      <c r="B16" s="168">
        <v>7.0000000000000001E-3</v>
      </c>
      <c r="C16" s="249" t="e">
        <f t="shared" ca="1" si="1"/>
        <v>#NAME?</v>
      </c>
    </row>
    <row r="17" spans="1:18">
      <c r="A17">
        <v>12</v>
      </c>
      <c r="B17" s="168">
        <v>8.0000000000000002E-3</v>
      </c>
      <c r="C17" s="249" t="e">
        <f t="shared" ca="1" si="1"/>
        <v>#NAME?</v>
      </c>
      <c r="Q17" s="45" t="s">
        <v>159</v>
      </c>
      <c r="R17" s="19" t="s">
        <v>616</v>
      </c>
    </row>
    <row r="18" spans="1:18">
      <c r="A18">
        <v>13</v>
      </c>
      <c r="B18" s="168">
        <v>8.9999999999999993E-3</v>
      </c>
      <c r="C18" s="249" t="e">
        <f t="shared" ca="1" si="1"/>
        <v>#NAME?</v>
      </c>
      <c r="Q18" s="19">
        <v>0.2</v>
      </c>
      <c r="R18">
        <f>1-1/2.71828182845904^0.2</f>
        <v>0.18126924692201785</v>
      </c>
    </row>
    <row r="19" spans="1:18">
      <c r="A19">
        <v>14</v>
      </c>
      <c r="B19" s="168">
        <v>0.01</v>
      </c>
      <c r="C19" s="249" t="e">
        <f t="shared" ca="1" si="1"/>
        <v>#NAME?</v>
      </c>
    </row>
    <row r="20" spans="1:18">
      <c r="A20">
        <v>15</v>
      </c>
      <c r="B20" s="168">
        <v>1.0999999999999999E-2</v>
      </c>
      <c r="C20" s="249" t="e">
        <f t="shared" ca="1" si="1"/>
        <v>#NAME?</v>
      </c>
    </row>
    <row r="21" spans="1:18">
      <c r="A21">
        <v>16</v>
      </c>
      <c r="B21" s="168">
        <v>1.2E-2</v>
      </c>
      <c r="C21" s="249" t="e">
        <f t="shared" ref="C21:C29" ca="1" si="2">stress($C$3,B21,$C$4,$C$5)</f>
        <v>#NAME?</v>
      </c>
      <c r="Q21" s="45" t="s">
        <v>617</v>
      </c>
    </row>
    <row r="22" spans="1:18">
      <c r="A22">
        <v>17</v>
      </c>
      <c r="B22" s="168">
        <v>1.2999999999999999E-2</v>
      </c>
      <c r="C22" s="249" t="e">
        <f t="shared" ca="1" si="2"/>
        <v>#NAME?</v>
      </c>
    </row>
    <row r="23" spans="1:18">
      <c r="A23">
        <v>18</v>
      </c>
      <c r="B23" s="168">
        <v>1.4E-2</v>
      </c>
      <c r="C23" s="249" t="e">
        <f t="shared" ca="1" si="2"/>
        <v>#NAME?</v>
      </c>
    </row>
    <row r="24" spans="1:18">
      <c r="A24">
        <v>19</v>
      </c>
      <c r="B24" s="168">
        <v>1.4999999999999999E-2</v>
      </c>
      <c r="C24" s="249" t="e">
        <f t="shared" ca="1" si="2"/>
        <v>#NAME?</v>
      </c>
    </row>
    <row r="25" spans="1:18">
      <c r="A25">
        <v>20</v>
      </c>
      <c r="B25" s="168">
        <v>1.6E-2</v>
      </c>
      <c r="C25" s="249" t="e">
        <f t="shared" ca="1" si="2"/>
        <v>#NAME?</v>
      </c>
    </row>
    <row r="26" spans="1:18">
      <c r="A26">
        <v>21</v>
      </c>
      <c r="B26" s="168">
        <v>1.7000000000000001E-2</v>
      </c>
      <c r="C26" s="249" t="e">
        <f t="shared" ca="1" si="2"/>
        <v>#NAME?</v>
      </c>
    </row>
    <row r="27" spans="1:18">
      <c r="A27">
        <v>22</v>
      </c>
      <c r="B27" s="168">
        <v>1.7999999999999999E-2</v>
      </c>
      <c r="C27" s="249" t="e">
        <f t="shared" ca="1" si="2"/>
        <v>#NAME?</v>
      </c>
    </row>
    <row r="28" spans="1:18">
      <c r="A28">
        <v>23</v>
      </c>
      <c r="B28" s="168">
        <v>1.9E-2</v>
      </c>
      <c r="C28" s="249" t="e">
        <f t="shared" ca="1" si="2"/>
        <v>#NAME?</v>
      </c>
    </row>
    <row r="29" spans="1:18">
      <c r="A29">
        <v>24</v>
      </c>
      <c r="B29" s="168">
        <v>0.02</v>
      </c>
      <c r="C29" s="249" t="e">
        <f t="shared" ca="1" si="2"/>
        <v>#NAME?</v>
      </c>
    </row>
    <row r="32" spans="1:18">
      <c r="A32">
        <v>0</v>
      </c>
      <c r="B32">
        <v>0</v>
      </c>
      <c r="C32">
        <v>0</v>
      </c>
      <c r="D32" s="249">
        <v>0</v>
      </c>
    </row>
    <row r="33" spans="1:20">
      <c r="A33">
        <v>1</v>
      </c>
      <c r="B33">
        <v>4.0000000000000001E-3</v>
      </c>
      <c r="C33">
        <f>B33-$I$78</f>
        <v>4.0000000000000001E-3</v>
      </c>
      <c r="D33" s="249" t="e">
        <f ca="1">stress($C$3,C33,$C$4,$C$5)</f>
        <v>#NAME?</v>
      </c>
    </row>
    <row r="34" spans="1:20">
      <c r="A34">
        <v>2</v>
      </c>
      <c r="B34">
        <v>-4.0000000000000001E-3</v>
      </c>
      <c r="C34">
        <f>C33-B34</f>
        <v>8.0000000000000002E-3</v>
      </c>
      <c r="D34" s="249" t="e">
        <f ca="1">stress($C$3,C34,$C$4,$C$5)</f>
        <v>#NAME?</v>
      </c>
      <c r="E34" s="249" t="e">
        <f ca="1">D33+D34</f>
        <v>#NAME?</v>
      </c>
    </row>
    <row r="35" spans="1:20">
      <c r="A35">
        <v>3</v>
      </c>
      <c r="B35">
        <v>4.0000000000000001E-3</v>
      </c>
      <c r="C35">
        <f>B35-$I$78</f>
        <v>4.0000000000000001E-3</v>
      </c>
      <c r="D35" s="249" t="e">
        <f ca="1">stress($C$3,C35,$C$4,$C$5)</f>
        <v>#NAME?</v>
      </c>
    </row>
    <row r="36" spans="1:20">
      <c r="A36">
        <v>4</v>
      </c>
      <c r="B36">
        <v>-4.0000000000000001E-3</v>
      </c>
      <c r="C36">
        <f>B36-$I$81</f>
        <v>-4.0000000000000001E-3</v>
      </c>
      <c r="D36" s="249" t="e">
        <f ca="1">stress($C$3,C36,$C$4,$C$5)</f>
        <v>#NAME?</v>
      </c>
    </row>
    <row r="37" spans="1:20">
      <c r="A37">
        <v>5</v>
      </c>
      <c r="B37">
        <v>4.0000000000000001E-3</v>
      </c>
      <c r="C37">
        <f>B37-$I$81</f>
        <v>4.0000000000000001E-3</v>
      </c>
      <c r="D37" s="249" t="e">
        <f ca="1">stress($C$3,C37,$C$4,$C$5)</f>
        <v>#NAME?</v>
      </c>
    </row>
    <row r="39" spans="1:20">
      <c r="B39">
        <v>1</v>
      </c>
      <c r="C39">
        <v>2</v>
      </c>
      <c r="D39">
        <v>3</v>
      </c>
      <c r="E39">
        <v>4</v>
      </c>
    </row>
    <row r="40" spans="1:20">
      <c r="B40">
        <v>0</v>
      </c>
      <c r="C40">
        <f>B41</f>
        <v>0.02</v>
      </c>
      <c r="D40">
        <f>C41</f>
        <v>0.01</v>
      </c>
      <c r="E40">
        <f>D41</f>
        <v>1.4999999999999999E-2</v>
      </c>
    </row>
    <row r="41" spans="1:20">
      <c r="B41">
        <v>0.02</v>
      </c>
      <c r="C41">
        <v>0.01</v>
      </c>
      <c r="D41">
        <f>0.01+0.005</f>
        <v>1.4999999999999999E-2</v>
      </c>
      <c r="E41">
        <v>0.02</v>
      </c>
    </row>
    <row r="42" spans="1:20">
      <c r="G42">
        <v>1</v>
      </c>
      <c r="H42">
        <v>2</v>
      </c>
      <c r="I42">
        <v>3</v>
      </c>
      <c r="J42">
        <v>4</v>
      </c>
      <c r="L42">
        <v>1</v>
      </c>
      <c r="M42">
        <v>2</v>
      </c>
      <c r="N42">
        <v>3</v>
      </c>
      <c r="O42">
        <v>4</v>
      </c>
      <c r="Q42">
        <v>1</v>
      </c>
      <c r="R42">
        <v>2</v>
      </c>
      <c r="S42">
        <v>3</v>
      </c>
      <c r="T42">
        <v>4</v>
      </c>
    </row>
    <row r="43" spans="1:20">
      <c r="A43">
        <v>0</v>
      </c>
      <c r="B43" s="168">
        <f>($B$41-$B$40)*A43/10</f>
        <v>0</v>
      </c>
      <c r="C43">
        <f>$B$53-($C$40-$C$41)*A43/10</f>
        <v>0.02</v>
      </c>
      <c r="D43">
        <f t="shared" ref="D43:D53" si="3">$C$53-($D$40-$D$41)*A43/10</f>
        <v>0.01</v>
      </c>
      <c r="E43">
        <f>$D$53-($E$40-$E$41)*A43/10</f>
        <v>1.4999999999999999E-2</v>
      </c>
      <c r="G43" s="168">
        <f>B43</f>
        <v>0</v>
      </c>
      <c r="H43">
        <f t="shared" ref="H43:H53" si="4">$B$53-C43</f>
        <v>0</v>
      </c>
      <c r="I43">
        <f>ABS($C$53-D43)</f>
        <v>0</v>
      </c>
      <c r="J43">
        <f>D53+ABS($D$53-E43)</f>
        <v>1.4999999999999999E-2</v>
      </c>
      <c r="L43" s="249" t="e">
        <f ca="1">stress($C$3,G43,$C$4,$C$5)</f>
        <v>#NAME?</v>
      </c>
      <c r="M43" s="249" t="e">
        <f t="shared" ref="M43:M52" ca="1" si="5">stress_range($C$3,H43,$C$4,$C$5)</f>
        <v>#NAME?</v>
      </c>
      <c r="N43" s="249" t="e">
        <f t="shared" ref="N43:N52" ca="1" si="6">stress_range($C$3,I43,$C$4,$C$5)</f>
        <v>#NAME?</v>
      </c>
      <c r="O43" s="249" t="e">
        <f t="shared" ref="O43:O53" ca="1" si="7">stress($C$3,J43,$C$4,$C$5)</f>
        <v>#NAME?</v>
      </c>
      <c r="Q43" s="249" t="e">
        <f ca="1">L43</f>
        <v>#NAME?</v>
      </c>
      <c r="R43" s="249" t="e">
        <f t="shared" ref="R43:R53" ca="1" si="8">$Q$53-M43</f>
        <v>#NAME?</v>
      </c>
      <c r="S43" s="249" t="e">
        <f ca="1">$R$53+N43</f>
        <v>#NAME?</v>
      </c>
      <c r="T43" s="249" t="e">
        <f ca="1">O43</f>
        <v>#NAME?</v>
      </c>
    </row>
    <row r="44" spans="1:20">
      <c r="A44">
        <v>1</v>
      </c>
      <c r="B44">
        <f t="shared" ref="B44:B53" si="9">($B$41-$B$40)*A44/10</f>
        <v>2E-3</v>
      </c>
      <c r="C44">
        <f t="shared" ref="C44:C53" si="10">$B$53-($C$40-$C$41)*A44/10</f>
        <v>1.9E-2</v>
      </c>
      <c r="D44">
        <f t="shared" si="3"/>
        <v>1.0500000000000001E-2</v>
      </c>
      <c r="E44">
        <f t="shared" ref="E44:E53" si="11">$D$53-($E$40-$E$41)*A44/10</f>
        <v>1.55E-2</v>
      </c>
      <c r="G44">
        <f>B44</f>
        <v>2E-3</v>
      </c>
      <c r="H44">
        <f>$B$53-C44</f>
        <v>1.0000000000000009E-3</v>
      </c>
      <c r="I44">
        <f>ABS($C$53-D44)</f>
        <v>5.0000000000000044E-4</v>
      </c>
      <c r="J44">
        <f t="shared" ref="J44:J53" si="12">$D$53+ABS($D$53-E44)</f>
        <v>1.55E-2</v>
      </c>
      <c r="L44" s="249" t="e">
        <f ca="1">stress($C$3,G44,$C$4,$C$5)</f>
        <v>#NAME?</v>
      </c>
      <c r="M44" s="249" t="e">
        <f t="shared" ca="1" si="5"/>
        <v>#NAME?</v>
      </c>
      <c r="N44" s="249" t="e">
        <f ca="1">stress_range($C$3,I44,$C$4,$C$5)</f>
        <v>#NAME?</v>
      </c>
      <c r="O44" s="249" t="e">
        <f t="shared" ca="1" si="7"/>
        <v>#NAME?</v>
      </c>
      <c r="Q44" s="249" t="e">
        <f t="shared" ref="Q44:Q52" ca="1" si="13">L44</f>
        <v>#NAME?</v>
      </c>
      <c r="R44" s="249" t="e">
        <f t="shared" ca="1" si="8"/>
        <v>#NAME?</v>
      </c>
      <c r="S44" s="249" t="e">
        <f ca="1">$R$53+N44</f>
        <v>#NAME?</v>
      </c>
      <c r="T44" s="249" t="e">
        <f ca="1">O44</f>
        <v>#NAME?</v>
      </c>
    </row>
    <row r="45" spans="1:20">
      <c r="A45">
        <v>2</v>
      </c>
      <c r="B45">
        <f t="shared" si="9"/>
        <v>4.0000000000000001E-3</v>
      </c>
      <c r="C45">
        <f t="shared" si="10"/>
        <v>1.8000000000000002E-2</v>
      </c>
      <c r="D45">
        <f t="shared" si="3"/>
        <v>1.0999999999999999E-2</v>
      </c>
      <c r="E45">
        <f t="shared" si="11"/>
        <v>1.6E-2</v>
      </c>
      <c r="G45">
        <f t="shared" ref="G45:G52" si="14">B45</f>
        <v>4.0000000000000001E-3</v>
      </c>
      <c r="H45">
        <f>$B$53-C45</f>
        <v>1.9999999999999983E-3</v>
      </c>
      <c r="I45">
        <f>ABS($C$53-D45)</f>
        <v>9.9999999999999915E-4</v>
      </c>
      <c r="J45">
        <f t="shared" si="12"/>
        <v>1.6E-2</v>
      </c>
      <c r="L45" s="249" t="e">
        <f t="shared" ref="L45:L52" ca="1" si="15">stress($C$3,G45,$C$4,$C$5)</f>
        <v>#NAME?</v>
      </c>
      <c r="M45" s="249" t="e">
        <f t="shared" ca="1" si="5"/>
        <v>#NAME?</v>
      </c>
      <c r="N45" s="249" t="e">
        <f t="shared" ca="1" si="6"/>
        <v>#NAME?</v>
      </c>
      <c r="O45" s="249" t="e">
        <f t="shared" ca="1" si="7"/>
        <v>#NAME?</v>
      </c>
      <c r="Q45" s="249" t="e">
        <f t="shared" ca="1" si="13"/>
        <v>#NAME?</v>
      </c>
      <c r="R45" s="249" t="e">
        <f t="shared" ca="1" si="8"/>
        <v>#NAME?</v>
      </c>
      <c r="S45" s="249" t="e">
        <f ca="1">$R$53+N45</f>
        <v>#NAME?</v>
      </c>
      <c r="T45" s="249" t="e">
        <f t="shared" ref="T45:T53" ca="1" si="16">O45</f>
        <v>#NAME?</v>
      </c>
    </row>
    <row r="46" spans="1:20">
      <c r="A46">
        <v>3</v>
      </c>
      <c r="B46">
        <f t="shared" si="9"/>
        <v>6.0000000000000001E-3</v>
      </c>
      <c r="C46">
        <f t="shared" si="10"/>
        <v>1.7000000000000001E-2</v>
      </c>
      <c r="D46">
        <f t="shared" si="3"/>
        <v>1.15E-2</v>
      </c>
      <c r="E46">
        <f t="shared" si="11"/>
        <v>1.6500000000000001E-2</v>
      </c>
      <c r="G46">
        <f t="shared" si="14"/>
        <v>6.0000000000000001E-3</v>
      </c>
      <c r="H46">
        <f t="shared" si="4"/>
        <v>2.9999999999999992E-3</v>
      </c>
      <c r="I46">
        <f t="shared" ref="I46:I53" si="17">ABS($C$53-D46)</f>
        <v>1.4999999999999996E-3</v>
      </c>
      <c r="J46">
        <f t="shared" si="12"/>
        <v>1.6500000000000001E-2</v>
      </c>
      <c r="L46" s="249" t="e">
        <f t="shared" ca="1" si="15"/>
        <v>#NAME?</v>
      </c>
      <c r="M46" s="249" t="e">
        <f t="shared" ca="1" si="5"/>
        <v>#NAME?</v>
      </c>
      <c r="N46" s="249" t="e">
        <f t="shared" ca="1" si="6"/>
        <v>#NAME?</v>
      </c>
      <c r="O46" s="249" t="e">
        <f t="shared" ca="1" si="7"/>
        <v>#NAME?</v>
      </c>
      <c r="Q46" s="249" t="e">
        <f t="shared" ca="1" si="13"/>
        <v>#NAME?</v>
      </c>
      <c r="R46" s="249" t="e">
        <f t="shared" ca="1" si="8"/>
        <v>#NAME?</v>
      </c>
      <c r="S46" s="249" t="e">
        <f ca="1">$R$53+N46</f>
        <v>#NAME?</v>
      </c>
      <c r="T46" s="249" t="e">
        <f t="shared" ca="1" si="16"/>
        <v>#NAME?</v>
      </c>
    </row>
    <row r="47" spans="1:20">
      <c r="A47">
        <v>4</v>
      </c>
      <c r="B47">
        <f t="shared" si="9"/>
        <v>8.0000000000000002E-3</v>
      </c>
      <c r="C47">
        <f t="shared" si="10"/>
        <v>1.6E-2</v>
      </c>
      <c r="D47">
        <f t="shared" si="3"/>
        <v>1.2E-2</v>
      </c>
      <c r="E47">
        <f t="shared" si="11"/>
        <v>1.7000000000000001E-2</v>
      </c>
      <c r="G47">
        <f t="shared" si="14"/>
        <v>8.0000000000000002E-3</v>
      </c>
      <c r="H47">
        <f t="shared" si="4"/>
        <v>4.0000000000000001E-3</v>
      </c>
      <c r="I47">
        <f t="shared" si="17"/>
        <v>2E-3</v>
      </c>
      <c r="J47">
        <f t="shared" si="12"/>
        <v>1.7000000000000001E-2</v>
      </c>
      <c r="L47" s="249" t="e">
        <f t="shared" ca="1" si="15"/>
        <v>#NAME?</v>
      </c>
      <c r="M47" s="249" t="e">
        <f t="shared" ca="1" si="5"/>
        <v>#NAME?</v>
      </c>
      <c r="N47" s="249" t="e">
        <f t="shared" ca="1" si="6"/>
        <v>#NAME?</v>
      </c>
      <c r="O47" s="249" t="e">
        <f t="shared" ca="1" si="7"/>
        <v>#NAME?</v>
      </c>
      <c r="Q47" s="249" t="e">
        <f t="shared" ca="1" si="13"/>
        <v>#NAME?</v>
      </c>
      <c r="R47" s="249" t="e">
        <f t="shared" ca="1" si="8"/>
        <v>#NAME?</v>
      </c>
      <c r="S47" s="249" t="e">
        <f t="shared" ref="S47:S53" ca="1" si="18">$R$53+N47</f>
        <v>#NAME?</v>
      </c>
      <c r="T47" s="249" t="e">
        <f t="shared" ca="1" si="16"/>
        <v>#NAME?</v>
      </c>
    </row>
    <row r="48" spans="1:20">
      <c r="A48">
        <v>5</v>
      </c>
      <c r="B48" s="168">
        <f t="shared" si="9"/>
        <v>0.01</v>
      </c>
      <c r="C48">
        <f t="shared" si="10"/>
        <v>1.4999999999999999E-2</v>
      </c>
      <c r="D48">
        <f t="shared" si="3"/>
        <v>1.2500000000000001E-2</v>
      </c>
      <c r="E48">
        <f t="shared" si="11"/>
        <v>1.7500000000000002E-2</v>
      </c>
      <c r="G48">
        <f t="shared" si="14"/>
        <v>0.01</v>
      </c>
      <c r="H48">
        <f t="shared" si="4"/>
        <v>5.000000000000001E-3</v>
      </c>
      <c r="I48">
        <f t="shared" si="17"/>
        <v>2.5000000000000005E-3</v>
      </c>
      <c r="J48">
        <f t="shared" si="12"/>
        <v>1.7500000000000002E-2</v>
      </c>
      <c r="L48" s="249" t="e">
        <f t="shared" ca="1" si="15"/>
        <v>#NAME?</v>
      </c>
      <c r="M48" s="249" t="e">
        <f t="shared" ca="1" si="5"/>
        <v>#NAME?</v>
      </c>
      <c r="N48" s="249" t="e">
        <f t="shared" ca="1" si="6"/>
        <v>#NAME?</v>
      </c>
      <c r="O48" s="249" t="e">
        <f t="shared" ca="1" si="7"/>
        <v>#NAME?</v>
      </c>
      <c r="Q48" s="249" t="e">
        <f t="shared" ca="1" si="13"/>
        <v>#NAME?</v>
      </c>
      <c r="R48" s="249" t="e">
        <f t="shared" ca="1" si="8"/>
        <v>#NAME?</v>
      </c>
      <c r="S48" s="249" t="e">
        <f t="shared" ca="1" si="18"/>
        <v>#NAME?</v>
      </c>
      <c r="T48" s="249" t="e">
        <f t="shared" ca="1" si="16"/>
        <v>#NAME?</v>
      </c>
    </row>
    <row r="49" spans="1:20">
      <c r="A49">
        <v>6</v>
      </c>
      <c r="B49">
        <f t="shared" si="9"/>
        <v>1.2E-2</v>
      </c>
      <c r="C49">
        <f t="shared" si="10"/>
        <v>1.4E-2</v>
      </c>
      <c r="D49">
        <f t="shared" si="3"/>
        <v>1.2999999999999999E-2</v>
      </c>
      <c r="E49">
        <f t="shared" si="11"/>
        <v>1.7999999999999999E-2</v>
      </c>
      <c r="G49">
        <f t="shared" si="14"/>
        <v>1.2E-2</v>
      </c>
      <c r="H49">
        <f t="shared" si="4"/>
        <v>6.0000000000000001E-3</v>
      </c>
      <c r="I49">
        <f t="shared" si="17"/>
        <v>2.9999999999999992E-3</v>
      </c>
      <c r="J49">
        <f t="shared" si="12"/>
        <v>1.7999999999999999E-2</v>
      </c>
      <c r="L49" s="249" t="e">
        <f t="shared" ca="1" si="15"/>
        <v>#NAME?</v>
      </c>
      <c r="M49" s="249" t="e">
        <f t="shared" ca="1" si="5"/>
        <v>#NAME?</v>
      </c>
      <c r="N49" s="249" t="e">
        <f t="shared" ca="1" si="6"/>
        <v>#NAME?</v>
      </c>
      <c r="O49" s="249" t="e">
        <f t="shared" ca="1" si="7"/>
        <v>#NAME?</v>
      </c>
      <c r="Q49" s="249" t="e">
        <f t="shared" ca="1" si="13"/>
        <v>#NAME?</v>
      </c>
      <c r="R49" s="249" t="e">
        <f t="shared" ca="1" si="8"/>
        <v>#NAME?</v>
      </c>
      <c r="S49" s="249" t="e">
        <f t="shared" ca="1" si="18"/>
        <v>#NAME?</v>
      </c>
      <c r="T49" s="249" t="e">
        <f t="shared" ca="1" si="16"/>
        <v>#NAME?</v>
      </c>
    </row>
    <row r="50" spans="1:20">
      <c r="A50">
        <v>7</v>
      </c>
      <c r="B50">
        <f t="shared" si="9"/>
        <v>1.4000000000000002E-2</v>
      </c>
      <c r="C50">
        <f t="shared" si="10"/>
        <v>1.2999999999999999E-2</v>
      </c>
      <c r="D50">
        <f t="shared" si="3"/>
        <v>1.35E-2</v>
      </c>
      <c r="E50">
        <f t="shared" si="11"/>
        <v>1.8499999999999999E-2</v>
      </c>
      <c r="G50">
        <f t="shared" si="14"/>
        <v>1.4000000000000002E-2</v>
      </c>
      <c r="H50">
        <f t="shared" si="4"/>
        <v>7.000000000000001E-3</v>
      </c>
      <c r="I50">
        <f t="shared" si="17"/>
        <v>3.4999999999999996E-3</v>
      </c>
      <c r="J50">
        <f t="shared" si="12"/>
        <v>1.8499999999999999E-2</v>
      </c>
      <c r="L50" s="249" t="e">
        <f t="shared" ca="1" si="15"/>
        <v>#NAME?</v>
      </c>
      <c r="M50" s="249" t="e">
        <f t="shared" ca="1" si="5"/>
        <v>#NAME?</v>
      </c>
      <c r="N50" s="249" t="e">
        <f t="shared" ca="1" si="6"/>
        <v>#NAME?</v>
      </c>
      <c r="O50" s="249" t="e">
        <f t="shared" ca="1" si="7"/>
        <v>#NAME?</v>
      </c>
      <c r="Q50" s="249" t="e">
        <f t="shared" ca="1" si="13"/>
        <v>#NAME?</v>
      </c>
      <c r="R50" s="249" t="e">
        <f t="shared" ca="1" si="8"/>
        <v>#NAME?</v>
      </c>
      <c r="S50" s="249" t="e">
        <f t="shared" ca="1" si="18"/>
        <v>#NAME?</v>
      </c>
      <c r="T50" s="249" t="e">
        <f t="shared" ca="1" si="16"/>
        <v>#NAME?</v>
      </c>
    </row>
    <row r="51" spans="1:20">
      <c r="A51">
        <v>8</v>
      </c>
      <c r="B51">
        <f t="shared" si="9"/>
        <v>1.6E-2</v>
      </c>
      <c r="C51">
        <f t="shared" si="10"/>
        <v>1.2E-2</v>
      </c>
      <c r="D51">
        <f t="shared" si="3"/>
        <v>1.3999999999999999E-2</v>
      </c>
      <c r="E51">
        <f t="shared" si="11"/>
        <v>1.9E-2</v>
      </c>
      <c r="G51">
        <f t="shared" si="14"/>
        <v>1.6E-2</v>
      </c>
      <c r="H51">
        <f t="shared" si="4"/>
        <v>8.0000000000000002E-3</v>
      </c>
      <c r="I51">
        <f t="shared" si="17"/>
        <v>3.9999999999999983E-3</v>
      </c>
      <c r="J51">
        <f t="shared" si="12"/>
        <v>1.9E-2</v>
      </c>
      <c r="L51" s="249" t="e">
        <f t="shared" ca="1" si="15"/>
        <v>#NAME?</v>
      </c>
      <c r="M51" s="249" t="e">
        <f t="shared" ca="1" si="5"/>
        <v>#NAME?</v>
      </c>
      <c r="N51" s="249" t="e">
        <f ca="1">stress_range($C$3,I51,$C$4,$C$5)</f>
        <v>#NAME?</v>
      </c>
      <c r="O51" s="249" t="e">
        <f t="shared" ca="1" si="7"/>
        <v>#NAME?</v>
      </c>
      <c r="Q51" s="249" t="e">
        <f t="shared" ca="1" si="13"/>
        <v>#NAME?</v>
      </c>
      <c r="R51" s="249" t="e">
        <f t="shared" ca="1" si="8"/>
        <v>#NAME?</v>
      </c>
      <c r="S51" s="249" t="e">
        <f t="shared" ca="1" si="18"/>
        <v>#NAME?</v>
      </c>
      <c r="T51" s="249" t="e">
        <f t="shared" ca="1" si="16"/>
        <v>#NAME?</v>
      </c>
    </row>
    <row r="52" spans="1:20">
      <c r="A52">
        <v>9</v>
      </c>
      <c r="B52">
        <f t="shared" si="9"/>
        <v>1.7999999999999999E-2</v>
      </c>
      <c r="C52">
        <f t="shared" si="10"/>
        <v>1.1000000000000001E-2</v>
      </c>
      <c r="D52">
        <f t="shared" si="3"/>
        <v>1.4499999999999999E-2</v>
      </c>
      <c r="E52">
        <f t="shared" si="11"/>
        <v>1.95E-2</v>
      </c>
      <c r="G52">
        <f t="shared" si="14"/>
        <v>1.7999999999999999E-2</v>
      </c>
      <c r="H52">
        <f t="shared" si="4"/>
        <v>8.9999999999999993E-3</v>
      </c>
      <c r="I52">
        <f t="shared" si="17"/>
        <v>4.4999999999999988E-3</v>
      </c>
      <c r="J52">
        <f t="shared" si="12"/>
        <v>1.95E-2</v>
      </c>
      <c r="L52" s="249" t="e">
        <f t="shared" ca="1" si="15"/>
        <v>#NAME?</v>
      </c>
      <c r="M52" s="249" t="e">
        <f t="shared" ca="1" si="5"/>
        <v>#NAME?</v>
      </c>
      <c r="N52" s="249" t="e">
        <f t="shared" ca="1" si="6"/>
        <v>#NAME?</v>
      </c>
      <c r="O52" s="249" t="e">
        <f t="shared" ca="1" si="7"/>
        <v>#NAME?</v>
      </c>
      <c r="Q52" s="249" t="e">
        <f t="shared" ca="1" si="13"/>
        <v>#NAME?</v>
      </c>
      <c r="R52" s="249" t="e">
        <f t="shared" ca="1" si="8"/>
        <v>#NAME?</v>
      </c>
      <c r="S52" s="249" t="e">
        <f t="shared" ca="1" si="18"/>
        <v>#NAME?</v>
      </c>
      <c r="T52" s="249" t="e">
        <f t="shared" ca="1" si="16"/>
        <v>#NAME?</v>
      </c>
    </row>
    <row r="53" spans="1:20">
      <c r="A53">
        <v>10</v>
      </c>
      <c r="B53">
        <f t="shared" si="9"/>
        <v>0.02</v>
      </c>
      <c r="C53">
        <f t="shared" si="10"/>
        <v>0.01</v>
      </c>
      <c r="D53">
        <f t="shared" si="3"/>
        <v>1.4999999999999999E-2</v>
      </c>
      <c r="E53">
        <f t="shared" si="11"/>
        <v>0.02</v>
      </c>
      <c r="G53">
        <f>B53</f>
        <v>0.02</v>
      </c>
      <c r="H53">
        <f t="shared" si="4"/>
        <v>0.01</v>
      </c>
      <c r="I53">
        <f t="shared" si="17"/>
        <v>4.9999999999999992E-3</v>
      </c>
      <c r="J53">
        <f t="shared" si="12"/>
        <v>0.02</v>
      </c>
      <c r="L53" s="249" t="e">
        <f ca="1">stress($C$3,G53,$C$4,$C$5)</f>
        <v>#NAME?</v>
      </c>
      <c r="M53" s="249" t="e">
        <f ca="1">stress_range($C$3,H53,$C$4,$C$5)</f>
        <v>#NAME?</v>
      </c>
      <c r="N53" s="249" t="e">
        <f ca="1">stress_range($C$3,I53,$C$4,$C$5)</f>
        <v>#NAME?</v>
      </c>
      <c r="O53" s="249" t="e">
        <f t="shared" ca="1" si="7"/>
        <v>#NAME?</v>
      </c>
      <c r="Q53" s="249" t="e">
        <f ca="1">L53</f>
        <v>#NAME?</v>
      </c>
      <c r="R53" s="249" t="e">
        <f t="shared" ca="1" si="8"/>
        <v>#NAME?</v>
      </c>
      <c r="S53" s="249" t="e">
        <f t="shared" ca="1" si="18"/>
        <v>#NAME?</v>
      </c>
      <c r="T53" s="249" t="e">
        <f t="shared" ca="1" si="16"/>
        <v>#NAME?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54DE9-0D91-4549-A2DF-7CD7376B0BA6}">
  <dimension ref="A12:L13"/>
  <sheetViews>
    <sheetView topLeftCell="A4" workbookViewId="0">
      <selection activeCell="P37" sqref="P37"/>
    </sheetView>
  </sheetViews>
  <sheetFormatPr defaultRowHeight="12.75"/>
  <sheetData>
    <row r="12" spans="1:12">
      <c r="A12">
        <v>0</v>
      </c>
      <c r="B12">
        <v>1</v>
      </c>
      <c r="C12">
        <v>2</v>
      </c>
      <c r="D12">
        <v>3</v>
      </c>
      <c r="L12">
        <f>134/2</f>
        <v>67</v>
      </c>
    </row>
    <row r="13" spans="1:12">
      <c r="A13">
        <v>0</v>
      </c>
      <c r="B13">
        <v>70</v>
      </c>
      <c r="C13">
        <v>-64</v>
      </c>
      <c r="D13">
        <v>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대동조선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정 우열</cp:lastModifiedBy>
  <cp:revision/>
  <dcterms:created xsi:type="dcterms:W3CDTF">2001-02-09T06:00:48Z</dcterms:created>
  <dcterms:modified xsi:type="dcterms:W3CDTF">2025-05-09T18:47:24Z</dcterms:modified>
  <cp:category/>
  <cp:contentStatus/>
</cp:coreProperties>
</file>